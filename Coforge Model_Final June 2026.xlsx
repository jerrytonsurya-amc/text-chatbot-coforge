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filterPrivacy="1" defaultThemeVersion="124226"/>
  <xr:revisionPtr revIDLastSave="1601" documentId="13_ncr:1_{65CD5FB0-1F43-4D6B-B318-DBFC2662B94C}" xr6:coauthVersionLast="47" xr6:coauthVersionMax="47" xr10:uidLastSave="{DFF8D1CF-4FE0-42C8-9BA1-B72C413EC98A}"/>
  <bookViews>
    <workbookView xWindow="-110" yWindow="-110" windowWidth="19420" windowHeight="11500" tabRatio="861" firstSheet="3" activeTab="3" xr2:uid="{00000000-000D-0000-FFFF-FFFF00000000}"/>
  </bookViews>
  <sheets>
    <sheet name="Front page" sheetId="61" r:id="rId1"/>
    <sheet name="Valuation" sheetId="5" r:id="rId2"/>
    <sheet name="Sheet2" sheetId="85" r:id="rId3"/>
    <sheet name="P&amp;L consol" sheetId="2" r:id="rId4"/>
    <sheet name="Revenue and Cost model" sheetId="3" r:id="rId5"/>
    <sheet name="Sheet1" sheetId="83" state="hidden" r:id="rId6"/>
    <sheet name="BS Consol" sheetId="7" r:id="rId7"/>
    <sheet name="Cashflow consol" sheetId="8" r:id="rId8"/>
    <sheet name="Operating Metrics" sheetId="12" r:id="rId9"/>
    <sheet name="Ratios" sheetId="4" r:id="rId10"/>
    <sheet name="Encora Acquisition" sheetId="80" r:id="rId11"/>
    <sheet name="Operating Metrics (organic)" sheetId="70" r:id="rId12"/>
    <sheet name="Encora Financials" sheetId="82" r:id="rId13"/>
    <sheet name="P&amp;L revenue (cigniti)" sheetId="72" r:id="rId14"/>
    <sheet name="AI Sensitivity" sheetId="84" r:id="rId15"/>
  </sheets>
  <definedNames>
    <definedName name="\a">#REF!</definedName>
    <definedName name="\b">#REF!</definedName>
    <definedName name="\c">#REF!</definedName>
    <definedName name="\d">#N/A</definedName>
    <definedName name="\e">#REF!</definedName>
    <definedName name="\f">#N/A</definedName>
    <definedName name="\g">#REF!</definedName>
    <definedName name="\h">#N/A</definedName>
    <definedName name="\i">#REF!</definedName>
    <definedName name="\l">#REF!</definedName>
    <definedName name="\n">#REF!</definedName>
    <definedName name="\o">#REF!</definedName>
    <definedName name="\p">#REF!</definedName>
    <definedName name="\q">#REF!</definedName>
    <definedName name="\r">#REF!</definedName>
    <definedName name="\s">#N/A</definedName>
    <definedName name="\t">#REF!</definedName>
    <definedName name="\v">#REF!</definedName>
    <definedName name="\w">#REF!</definedName>
    <definedName name="\x">#REF!</definedName>
    <definedName name="\y">#REF!</definedName>
    <definedName name="\z">#REF!</definedName>
    <definedName name="__________Less_Misc_expenditure" localSheetId="0">#REF!</definedName>
    <definedName name="__________Less_Misc_expenditure">#REF!</definedName>
    <definedName name="__________Reserves_n_surplus" localSheetId="0">#REF!</definedName>
    <definedName name="__________Reserves_n_surplus">#REF!</definedName>
    <definedName name="__________Revaluation_reserves" localSheetId="0">#REF!</definedName>
    <definedName name="__________Revaluation_reserves">#REF!</definedName>
    <definedName name="______Current_Year_maturity" localSheetId="0">#REF!</definedName>
    <definedName name="______Current_Year_maturity">#REF!</definedName>
    <definedName name="______Long_term_borrowings" localSheetId="0">#REF!</definedName>
    <definedName name="______Long_term_borrowings">#REF!</definedName>
    <definedName name="______Short_term_borrowings" localSheetId="0">#REF!</definedName>
    <definedName name="______Short_term_borrowings">#REF!</definedName>
    <definedName name="______Trade_Payables" localSheetId="0">#REF!</definedName>
    <definedName name="______Trade_Payables">#REF!</definedName>
    <definedName name="_____Deferred_tax_Assets" localSheetId="0">#REF!</definedName>
    <definedName name="_____Deferred_tax_Assets">#REF!</definedName>
    <definedName name="_____Fixed_assets_Net_block" localSheetId="0">#REF!</definedName>
    <definedName name="_____Fixed_assets_Net_block">#REF!</definedName>
    <definedName name="_____Goodwill_on_Consolidation" localSheetId="0">#REF!</definedName>
    <definedName name="_____Goodwill_on_Consolidation">#REF!</definedName>
    <definedName name="_____Long_Term_loans_and_advances" localSheetId="0">#REF!</definedName>
    <definedName name="_____Long_Term_loans_and_advances">#REF!</definedName>
    <definedName name="_____Non_current_Investments" localSheetId="0">#REF!</definedName>
    <definedName name="_____Non_current_Investments">#REF!</definedName>
    <definedName name="_____Other_non_current_assets" localSheetId="0">#REF!</definedName>
    <definedName name="_____Other_non_current_assets">#REF!</definedName>
    <definedName name="_____Share_Capital" localSheetId="0">#REF!</definedName>
    <definedName name="_____Share_Capital">#REF!</definedName>
    <definedName name="____Minorities_interests_BS" localSheetId="0">#REF!</definedName>
    <definedName name="____Minorities_interests_BS">#REF!</definedName>
    <definedName name="____Share_application_money_pending_allotment" localSheetId="0">#REF!</definedName>
    <definedName name="____Share_application_money_pending_allotment">#REF!</definedName>
    <definedName name="____Shareholders_funds" localSheetId="0">#REF!</definedName>
    <definedName name="____Shareholders_funds">#REF!</definedName>
    <definedName name="___Adjusted_EPS_Rs" localSheetId="0">#REF!</definedName>
    <definedName name="___Adjusted_EPS_Rs">#REF!</definedName>
    <definedName name="___Adjustment_to_Profits" localSheetId="0">#REF!</definedName>
    <definedName name="___Adjustment_to_Profits">#REF!</definedName>
    <definedName name="___Book_NAV_share_Rs" localSheetId="0">#REF!</definedName>
    <definedName name="___Book_NAV_share_Rs">#REF!</definedName>
    <definedName name="___Cash_and_cash_equivalents" localSheetId="0">#REF!</definedName>
    <definedName name="___Cash_and_cash_equivalents">#REF!</definedName>
    <definedName name="___CEPS_Rs" localSheetId="0">#REF!</definedName>
    <definedName name="___CEPS_Rs">#REF!</definedName>
    <definedName name="___Current_Investments" localSheetId="0">#REF!</definedName>
    <definedName name="___Current_Investments">#REF!</definedName>
    <definedName name="___Deferred_tax" localSheetId="0">#REF!</definedName>
    <definedName name="___Deferred_tax">#REF!</definedName>
    <definedName name="___DPS_Rs" localSheetId="0">#REF!</definedName>
    <definedName name="___DPS_Rs">#REF!</definedName>
    <definedName name="___Inventories" localSheetId="0">#REF!</definedName>
    <definedName name="___Inventories">#REF!</definedName>
    <definedName name="___Profit___Loss_from_Discontinuing_Operations" localSheetId="0">#REF!</definedName>
    <definedName name="___Profit___Loss_from_Discontinuing_Operations">#REF!</definedName>
    <definedName name="___Tax_Expense_of_Discontinuing_Operations" localSheetId="0">#REF!</definedName>
    <definedName name="___Tax_Expense_of_Discontinuing_Operations">#REF!</definedName>
    <definedName name="___Tax_on_Adjustment_to_Profit" localSheetId="0">#REF!</definedName>
    <definedName name="___Tax_on_Adjustment_to_Profit">#REF!</definedName>
    <definedName name="___Tax_provided" localSheetId="0">#REF!</definedName>
    <definedName name="___Tax_provided">#REF!</definedName>
    <definedName name="___Tax_rate_PCT" localSheetId="0">#REF!</definedName>
    <definedName name="___Tax_rate_PCT">#REF!</definedName>
    <definedName name="___Total_amortisation" localSheetId="0">#REF!</definedName>
    <definedName name="___Total_amortisation">#REF!</definedName>
    <definedName name="___Total_depreciation" localSheetId="0">#REF!</definedName>
    <definedName name="___Total_depreciation">#REF!</definedName>
    <definedName name="___Trade_Receivables" localSheetId="0">#REF!</definedName>
    <definedName name="___Trade_Receivables">#REF!</definedName>
    <definedName name="__123Graph_A" hidden="1">#REF!</definedName>
    <definedName name="__123Graph_ACAD" localSheetId="0" hidden="1">#REF!</definedName>
    <definedName name="__123Graph_ACAD" hidden="1">#REF!</definedName>
    <definedName name="__123Graph_ACAD1" localSheetId="0" hidden="1">#REF!</definedName>
    <definedName name="__123Graph_ACAD1" hidden="1">#REF!</definedName>
    <definedName name="__123Graph_ACAD2" hidden="1">#REF!</definedName>
    <definedName name="__123Graph_ACOL" hidden="1">#REF!</definedName>
    <definedName name="__123Graph_ACOL2" hidden="1">#REF!</definedName>
    <definedName name="__123Graph_ACOL3" hidden="1">#REF!</definedName>
    <definedName name="__123Graph_AMM" localSheetId="0" hidden="1">#REF!</definedName>
    <definedName name="__123Graph_AMM" hidden="1">#REF!</definedName>
    <definedName name="__123Graph_B" hidden="1">#REF!</definedName>
    <definedName name="__123Graph_BCAD" localSheetId="0" hidden="1">#REF!</definedName>
    <definedName name="__123Graph_BCAD" hidden="1">#REF!</definedName>
    <definedName name="__123Graph_BCAD1" localSheetId="0" hidden="1">#REF!</definedName>
    <definedName name="__123Graph_BCAD1" hidden="1">#REF!</definedName>
    <definedName name="__123Graph_BCAD2" hidden="1">#REF!</definedName>
    <definedName name="__123Graph_BCOL" hidden="1">#REF!</definedName>
    <definedName name="__123Graph_BCOL2" hidden="1">#REF!</definedName>
    <definedName name="__123Graph_BCOL3" hidden="1">#REF!</definedName>
    <definedName name="__123Graph_BMM" localSheetId="0" hidden="1">#REF!</definedName>
    <definedName name="__123Graph_BMM" hidden="1">#REF!</definedName>
    <definedName name="__123Graph_C" hidden="1">#REF!</definedName>
    <definedName name="__123Graph_CCAD" localSheetId="0" hidden="1">#REF!</definedName>
    <definedName name="__123Graph_CCAD" hidden="1">#REF!</definedName>
    <definedName name="__123Graph_CCAD1" localSheetId="0" hidden="1">#REF!</definedName>
    <definedName name="__123Graph_CCAD1" hidden="1">#REF!</definedName>
    <definedName name="__123Graph_CCAD2" hidden="1">#REF!</definedName>
    <definedName name="__123Graph_CCOL" hidden="1">#REF!</definedName>
    <definedName name="__123Graph_CCOL2" hidden="1">#REF!</definedName>
    <definedName name="__123Graph_CCOL3" hidden="1">#REF!</definedName>
    <definedName name="__123Graph_D" hidden="1">#REF!</definedName>
    <definedName name="__123Graph_DCAD" localSheetId="0" hidden="1">#REF!</definedName>
    <definedName name="__123Graph_DCAD" hidden="1">#REF!</definedName>
    <definedName name="__123Graph_DCAD1" localSheetId="0" hidden="1">#REF!</definedName>
    <definedName name="__123Graph_DCAD1" hidden="1">#REF!</definedName>
    <definedName name="__123Graph_DCAD2" hidden="1">#REF!</definedName>
    <definedName name="__123Graph_DCOL" hidden="1">#REF!</definedName>
    <definedName name="__123Graph_DCOL2" hidden="1">#REF!</definedName>
    <definedName name="__123Graph_DCOL3" hidden="1">#REF!</definedName>
    <definedName name="__123Graph_E" hidden="1">#REF!</definedName>
    <definedName name="__123Graph_ECAD" localSheetId="0" hidden="1">#REF!</definedName>
    <definedName name="__123Graph_ECAD" hidden="1">#REF!</definedName>
    <definedName name="__123Graph_ECAD1" localSheetId="0" hidden="1">#REF!</definedName>
    <definedName name="__123Graph_ECAD1" hidden="1">#REF!</definedName>
    <definedName name="__123Graph_ECAD2" hidden="1">#REF!</definedName>
    <definedName name="__123Graph_ECOL" hidden="1">#REF!</definedName>
    <definedName name="__123Graph_ECOL2" hidden="1">#REF!</definedName>
    <definedName name="__123Graph_ECOL3" hidden="1">#REF!</definedName>
    <definedName name="__123Graph_F" hidden="1">#REF!</definedName>
    <definedName name="__123Graph_FCAD2" hidden="1">#REF!</definedName>
    <definedName name="__123Graph_FCOL3" hidden="1">#REF!</definedName>
    <definedName name="__123Graph_X" hidden="1">#REF!</definedName>
    <definedName name="__123Graph_XCAD" localSheetId="0" hidden="1">#REF!</definedName>
    <definedName name="__123Graph_XCAD" hidden="1">#REF!</definedName>
    <definedName name="__123Graph_XCAD1" localSheetId="0" hidden="1">#REF!</definedName>
    <definedName name="__123Graph_XCAD1" hidden="1">#REF!</definedName>
    <definedName name="__123Graph_XCAD2" hidden="1">#REF!</definedName>
    <definedName name="__123Graph_XCOL" hidden="1">#REF!</definedName>
    <definedName name="__123Graph_XCOL2" hidden="1">#REF!</definedName>
    <definedName name="__123Graph_XCOL3" hidden="1">#REF!</definedName>
    <definedName name="__dcf1" hidden="1">#REF!</definedName>
    <definedName name="__key1" hidden="1">#REF!</definedName>
    <definedName name="_Dist_Values" localSheetId="0" hidden="1">#REF!</definedName>
    <definedName name="_Dist_Values"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MatInverse_In" localSheetId="0" hidden="1">#REF!</definedName>
    <definedName name="_MatInverse_In" hidden="1">#REF!</definedName>
    <definedName name="_MatInverse_Out" hidden="1">#REF!</definedName>
    <definedName name="_Order1" hidden="1">255</definedName>
    <definedName name="_Order2" hidden="1">255</definedName>
    <definedName name="_Parse_Out" localSheetId="0" hidden="1">#REF!</definedName>
    <definedName name="_Parse_Out" hidden="1">#REF!</definedName>
    <definedName name="_PG1">#REF!</definedName>
    <definedName name="_Regression_Int" hidden="1">1</definedName>
    <definedName name="_Regression_Out" localSheetId="0" hidden="1">#REF!</definedName>
    <definedName name="_Regression_Out" hidden="1">#REF!</definedName>
    <definedName name="_Regression_Y" hidden="1">#REF!</definedName>
    <definedName name="_RT1">#REF!</definedName>
    <definedName name="_RT2">#REF!</definedName>
    <definedName name="_RT3">#REF!</definedName>
    <definedName name="_Sort" localSheetId="0" hidden="1">#REF!</definedName>
    <definedName name="_Sort" hidden="1">#REF!</definedName>
    <definedName name="_Table1_In1" localSheetId="0" hidden="1">#REF!</definedName>
    <definedName name="_Table1_In1" hidden="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aaa" localSheetId="0" hidden="1">{"'PS-SOTM'!$A$1","'PS-SOTM'!$A$2:$M$30","'PS-SOTM'!$A$31:$A$38"}</definedName>
    <definedName name="aaa" hidden="1">{"'PS-SOTM'!$A$1","'PS-SOTM'!$A$2:$M$30","'PS-SOTM'!$A$31:$A$38"}</definedName>
    <definedName name="AAB_Addin5" hidden="1">"AAB_Description for addin 5,Description for addin 5,Description for addin 5,Description for addin 5,Description for addin 5,Description for addin 5"</definedName>
    <definedName name="AccessDatabase" hidden="1">"D:\MIS\TALLY  31.09.04 sep\AS PER TALLY 31.09.04.mdb"</definedName>
    <definedName name="Adj_Price_Rs_at_Period_End">#REF!</definedName>
    <definedName name="adjusted_net_profit_qtr" localSheetId="0">#REF!</definedName>
    <definedName name="adjusted_net_profit_qtr">#REF!</definedName>
    <definedName name="Adjusted_Net_profit6" localSheetId="0">#REF!</definedName>
    <definedName name="Adjusted_Net_profit6">#REF!</definedName>
    <definedName name="AdmExpSer" hidden="1">#REF!</definedName>
    <definedName name="anscount" hidden="1">3</definedName>
    <definedName name="AS2ReportLS" hidden="1">1</definedName>
    <definedName name="AS2SyncStepLS" hidden="1">0</definedName>
    <definedName name="AS2TickmarkLS" localSheetId="0" hidden="1">#REF!</definedName>
    <definedName name="AS2TickmarkLS" hidden="1">#REF!</definedName>
    <definedName name="AS2VersionLS" hidden="1">300</definedName>
    <definedName name="AvgSellPr" hidden="1">#REF!,#REF!,#REF!,#REF!,#REF!,#REF!,#REF!,#REF!</definedName>
    <definedName name="BG_Ins" hidden="1">4</definedName>
    <definedName name="BG_Mod" hidden="1">6</definedName>
    <definedName name="BLPH1" hidden="1">#REF!</definedName>
    <definedName name="BLPH10" hidden="1">#REF!</definedName>
    <definedName name="BLPH100" localSheetId="0" hidden="1">#REF!</definedName>
    <definedName name="BLPH100" hidden="1">#REF!</definedName>
    <definedName name="BLPH101" localSheetId="0" hidden="1">#REF!</definedName>
    <definedName name="BLPH101" hidden="1">#REF!</definedName>
    <definedName name="BLPH102" localSheetId="0" hidden="1">#REF!</definedName>
    <definedName name="BLPH102" hidden="1">#REF!</definedName>
    <definedName name="BLPH103" localSheetId="0" hidden="1">#REF!</definedName>
    <definedName name="BLPH103" hidden="1">#REF!</definedName>
    <definedName name="BLPH104" localSheetId="0" hidden="1">#REF!</definedName>
    <definedName name="BLPH104" hidden="1">#REF!</definedName>
    <definedName name="BLPH105" localSheetId="0" hidden="1">#REF!</definedName>
    <definedName name="BLPH105" hidden="1">#REF!</definedName>
    <definedName name="BLPH106" localSheetId="0" hidden="1">#REF!</definedName>
    <definedName name="BLPH106" hidden="1">#REF!</definedName>
    <definedName name="BLPH107" localSheetId="0" hidden="1">#REF!</definedName>
    <definedName name="BLPH107" hidden="1">#REF!</definedName>
    <definedName name="BLPH108" localSheetId="0" hidden="1">#REF!</definedName>
    <definedName name="BLPH108" hidden="1">#REF!</definedName>
    <definedName name="BLPH109" localSheetId="0" hidden="1">#REF!</definedName>
    <definedName name="BLPH109" hidden="1">#REF!</definedName>
    <definedName name="BLPH11" localSheetId="0" hidden="1">#REF!</definedName>
    <definedName name="BLPH11" hidden="1">#REF!</definedName>
    <definedName name="BLPH110" localSheetId="0" hidden="1">#REF!</definedName>
    <definedName name="BLPH110" hidden="1">#REF!</definedName>
    <definedName name="BLPH111" localSheetId="0" hidden="1">#REF!</definedName>
    <definedName name="BLPH111" hidden="1">#REF!</definedName>
    <definedName name="BLPH112" localSheetId="0" hidden="1">#REF!</definedName>
    <definedName name="BLPH112" hidden="1">#REF!</definedName>
    <definedName name="BLPH113" localSheetId="0" hidden="1">#REF!</definedName>
    <definedName name="BLPH113" hidden="1">#REF!</definedName>
    <definedName name="BLPH114" localSheetId="0" hidden="1">#REF!</definedName>
    <definedName name="BLPH114" hidden="1">#REF!</definedName>
    <definedName name="BLPH115" localSheetId="0" hidden="1">#REF!</definedName>
    <definedName name="BLPH115" hidden="1">#REF!</definedName>
    <definedName name="BLPH116" localSheetId="0" hidden="1">#REF!</definedName>
    <definedName name="BLPH116" hidden="1">#REF!</definedName>
    <definedName name="BLPH117" localSheetId="0" hidden="1">#REF!</definedName>
    <definedName name="BLPH117" hidden="1">#REF!</definedName>
    <definedName name="BLPH118" localSheetId="0" hidden="1">#REF!</definedName>
    <definedName name="BLPH118" hidden="1">#REF!</definedName>
    <definedName name="BLPH119" localSheetId="0" hidden="1">#REF!</definedName>
    <definedName name="BLPH119" hidden="1">#REF!</definedName>
    <definedName name="BLPH12" localSheetId="0" hidden="1">#REF!</definedName>
    <definedName name="BLPH12" hidden="1">#REF!</definedName>
    <definedName name="BLPH120" localSheetId="0" hidden="1">#REF!</definedName>
    <definedName name="BLPH120" hidden="1">#REF!</definedName>
    <definedName name="BLPH121" localSheetId="0" hidden="1">#REF!</definedName>
    <definedName name="BLPH121" hidden="1">#REF!</definedName>
    <definedName name="BLPH122" localSheetId="0" hidden="1">#REF!</definedName>
    <definedName name="BLPH122" hidden="1">#REF!</definedName>
    <definedName name="BLPH123" localSheetId="0" hidden="1">#REF!</definedName>
    <definedName name="BLPH123" hidden="1">#REF!</definedName>
    <definedName name="BLPH124" localSheetId="0" hidden="1">#REF!</definedName>
    <definedName name="BLPH124" hidden="1">#REF!</definedName>
    <definedName name="BLPH125" localSheetId="0" hidden="1">#REF!</definedName>
    <definedName name="BLPH125" hidden="1">#REF!</definedName>
    <definedName name="BLPH126" localSheetId="0" hidden="1">#REF!</definedName>
    <definedName name="BLPH126" hidden="1">#REF!</definedName>
    <definedName name="BLPH127" localSheetId="0" hidden="1">#REF!</definedName>
    <definedName name="BLPH127" hidden="1">#REF!</definedName>
    <definedName name="BLPH128" localSheetId="0" hidden="1">#REF!</definedName>
    <definedName name="BLPH128" hidden="1">#REF!</definedName>
    <definedName name="BLPH129" localSheetId="0" hidden="1">#REF!</definedName>
    <definedName name="BLPH129" hidden="1">#REF!</definedName>
    <definedName name="BLPH13" localSheetId="0" hidden="1">#REF!</definedName>
    <definedName name="BLPH13" hidden="1">#REF!</definedName>
    <definedName name="BLPH130" localSheetId="0" hidden="1">#REF!</definedName>
    <definedName name="BLPH130" hidden="1">#REF!</definedName>
    <definedName name="BLPH131" localSheetId="0" hidden="1">#REF!</definedName>
    <definedName name="BLPH131" hidden="1">#REF!</definedName>
    <definedName name="BLPH132" localSheetId="0" hidden="1">#REF!</definedName>
    <definedName name="BLPH132" hidden="1">#REF!</definedName>
    <definedName name="BLPH133" localSheetId="0" hidden="1">#REF!</definedName>
    <definedName name="BLPH133" hidden="1">#REF!</definedName>
    <definedName name="BLPH134" localSheetId="0" hidden="1">#REF!</definedName>
    <definedName name="BLPH134" hidden="1">#REF!</definedName>
    <definedName name="BLPH135" localSheetId="0" hidden="1">#REF!</definedName>
    <definedName name="BLPH135" hidden="1">#REF!</definedName>
    <definedName name="BLPH136" localSheetId="0" hidden="1">#REF!</definedName>
    <definedName name="BLPH136" hidden="1">#REF!</definedName>
    <definedName name="BLPH137" localSheetId="0" hidden="1">#REF!</definedName>
    <definedName name="BLPH137" hidden="1">#REF!</definedName>
    <definedName name="BLPH138" localSheetId="0" hidden="1">#REF!</definedName>
    <definedName name="BLPH138" hidden="1">#REF!</definedName>
    <definedName name="BLPH139" localSheetId="0" hidden="1">#REF!</definedName>
    <definedName name="BLPH139" hidden="1">#REF!</definedName>
    <definedName name="BLPH14" localSheetId="0" hidden="1">#REF!</definedName>
    <definedName name="BLPH14" hidden="1">#REF!</definedName>
    <definedName name="BLPH140" localSheetId="0" hidden="1">#REF!</definedName>
    <definedName name="BLPH140" hidden="1">#REF!</definedName>
    <definedName name="BLPH141" localSheetId="0" hidden="1">#REF!</definedName>
    <definedName name="BLPH141" hidden="1">#REF!</definedName>
    <definedName name="BLPH142" localSheetId="0" hidden="1">#REF!</definedName>
    <definedName name="BLPH142" hidden="1">#REF!</definedName>
    <definedName name="BLPH143" localSheetId="0" hidden="1">#REF!</definedName>
    <definedName name="BLPH143" hidden="1">#REF!</definedName>
    <definedName name="BLPH144" localSheetId="0" hidden="1">#REF!</definedName>
    <definedName name="BLPH144" hidden="1">#REF!</definedName>
    <definedName name="BLPH145" localSheetId="0" hidden="1">#REF!</definedName>
    <definedName name="BLPH145" hidden="1">#REF!</definedName>
    <definedName name="BLPH146" localSheetId="0" hidden="1">#REF!</definedName>
    <definedName name="BLPH146" hidden="1">#REF!</definedName>
    <definedName name="BLPH147" localSheetId="0" hidden="1">#REF!</definedName>
    <definedName name="BLPH147" hidden="1">#REF!</definedName>
    <definedName name="BLPH148" localSheetId="0" hidden="1">#REF!</definedName>
    <definedName name="BLPH148" hidden="1">#REF!</definedName>
    <definedName name="BLPH149" localSheetId="0" hidden="1">#REF!</definedName>
    <definedName name="BLPH149" hidden="1">#REF!</definedName>
    <definedName name="BLPH15" localSheetId="0" hidden="1">#REF!</definedName>
    <definedName name="BLPH15" hidden="1">#REF!</definedName>
    <definedName name="BLPH150" localSheetId="0" hidden="1">#REF!</definedName>
    <definedName name="BLPH150" hidden="1">#REF!</definedName>
    <definedName name="BLPH151" localSheetId="0" hidden="1">#REF!</definedName>
    <definedName name="BLPH151" hidden="1">#REF!</definedName>
    <definedName name="BLPH152" localSheetId="0" hidden="1">#REF!</definedName>
    <definedName name="BLPH152" hidden="1">#REF!</definedName>
    <definedName name="BLPH153" localSheetId="0" hidden="1">#REF!</definedName>
    <definedName name="BLPH153" hidden="1">#REF!</definedName>
    <definedName name="BLPH154" localSheetId="0" hidden="1">#REF!</definedName>
    <definedName name="BLPH154" hidden="1">#REF!</definedName>
    <definedName name="BLPH155" localSheetId="0" hidden="1">#REF!</definedName>
    <definedName name="BLPH155" hidden="1">#REF!</definedName>
    <definedName name="BLPH156" localSheetId="0" hidden="1">#REF!</definedName>
    <definedName name="BLPH156" hidden="1">#REF!</definedName>
    <definedName name="BLPH157" localSheetId="0" hidden="1">#REF!</definedName>
    <definedName name="BLPH157" hidden="1">#REF!</definedName>
    <definedName name="BLPH158" localSheetId="0" hidden="1">#REF!</definedName>
    <definedName name="BLPH158" hidden="1">#REF!</definedName>
    <definedName name="BLPH159" localSheetId="0" hidden="1">#REF!</definedName>
    <definedName name="BLPH159" hidden="1">#REF!</definedName>
    <definedName name="BLPH16" localSheetId="0" hidden="1">#REF!</definedName>
    <definedName name="BLPH16" hidden="1">#REF!</definedName>
    <definedName name="BLPH160" localSheetId="0" hidden="1">#REF!</definedName>
    <definedName name="BLPH160" hidden="1">#REF!</definedName>
    <definedName name="BLPH161" localSheetId="0" hidden="1">#REF!</definedName>
    <definedName name="BLPH161" hidden="1">#REF!</definedName>
    <definedName name="BLPH162" localSheetId="0" hidden="1">#REF!</definedName>
    <definedName name="BLPH162" hidden="1">#REF!</definedName>
    <definedName name="BLPH163" localSheetId="0" hidden="1">#REF!</definedName>
    <definedName name="BLPH163" hidden="1">#REF!</definedName>
    <definedName name="BLPH164" localSheetId="0" hidden="1">#REF!</definedName>
    <definedName name="BLPH164" hidden="1">#REF!</definedName>
    <definedName name="BLPH165" localSheetId="0" hidden="1">#REF!</definedName>
    <definedName name="BLPH165" hidden="1">#REF!</definedName>
    <definedName name="BLPH166" localSheetId="0" hidden="1">#REF!</definedName>
    <definedName name="BLPH166" hidden="1">#REF!</definedName>
    <definedName name="BLPH167" localSheetId="0" hidden="1">#REF!</definedName>
    <definedName name="BLPH167" hidden="1">#REF!</definedName>
    <definedName name="BLPH168" localSheetId="0" hidden="1">#REF!</definedName>
    <definedName name="BLPH168" hidden="1">#REF!</definedName>
    <definedName name="BLPH169" localSheetId="0" hidden="1">#REF!</definedName>
    <definedName name="BLPH169" hidden="1">#REF!</definedName>
    <definedName name="BLPH17" localSheetId="0" hidden="1">#REF!</definedName>
    <definedName name="BLPH17" hidden="1">#REF!</definedName>
    <definedName name="BLPH170" localSheetId="0" hidden="1">#REF!</definedName>
    <definedName name="BLPH170" hidden="1">#REF!</definedName>
    <definedName name="BLPH171" localSheetId="0" hidden="1">#REF!</definedName>
    <definedName name="BLPH171" hidden="1">#REF!</definedName>
    <definedName name="BLPH172" localSheetId="0" hidden="1">#REF!</definedName>
    <definedName name="BLPH172" hidden="1">#REF!</definedName>
    <definedName name="BLPH173" localSheetId="0" hidden="1">#REF!</definedName>
    <definedName name="BLPH173" hidden="1">#REF!</definedName>
    <definedName name="BLPH174" localSheetId="0" hidden="1">#REF!</definedName>
    <definedName name="BLPH174" hidden="1">#REF!</definedName>
    <definedName name="BLPH175" localSheetId="0" hidden="1">#REF!</definedName>
    <definedName name="BLPH175" hidden="1">#REF!</definedName>
    <definedName name="BLPH176" localSheetId="0" hidden="1">#REF!</definedName>
    <definedName name="BLPH176" hidden="1">#REF!</definedName>
    <definedName name="BLPH177" localSheetId="0" hidden="1">#REF!</definedName>
    <definedName name="BLPH177" hidden="1">#REF!</definedName>
    <definedName name="BLPH178" localSheetId="0" hidden="1">#REF!</definedName>
    <definedName name="BLPH178" hidden="1">#REF!</definedName>
    <definedName name="BLPH179" localSheetId="0" hidden="1">#REF!</definedName>
    <definedName name="BLPH179" hidden="1">#REF!</definedName>
    <definedName name="BLPH18" localSheetId="0" hidden="1">#REF!</definedName>
    <definedName name="BLPH18" hidden="1">#REF!</definedName>
    <definedName name="BLPH180" localSheetId="0" hidden="1">#REF!</definedName>
    <definedName name="BLPH180" hidden="1">#REF!</definedName>
    <definedName name="BLPH181" localSheetId="0" hidden="1">#REF!</definedName>
    <definedName name="BLPH181" hidden="1">#REF!</definedName>
    <definedName name="BLPH182" localSheetId="0" hidden="1">#REF!</definedName>
    <definedName name="BLPH182" hidden="1">#REF!</definedName>
    <definedName name="BLPH183" localSheetId="0" hidden="1">#REF!</definedName>
    <definedName name="BLPH183" hidden="1">#REF!</definedName>
    <definedName name="BLPH184" localSheetId="0" hidden="1">#REF!</definedName>
    <definedName name="BLPH184" hidden="1">#REF!</definedName>
    <definedName name="BLPH185" localSheetId="0" hidden="1">#REF!</definedName>
    <definedName name="BLPH185" hidden="1">#REF!</definedName>
    <definedName name="BLPH186" localSheetId="0" hidden="1">#REF!</definedName>
    <definedName name="BLPH186" hidden="1">#REF!</definedName>
    <definedName name="BLPH187" localSheetId="0" hidden="1">#REF!</definedName>
    <definedName name="BLPH187" hidden="1">#REF!</definedName>
    <definedName name="BLPH188" localSheetId="0" hidden="1">#REF!</definedName>
    <definedName name="BLPH188" hidden="1">#REF!</definedName>
    <definedName name="BLPH189" localSheetId="0" hidden="1">#REF!</definedName>
    <definedName name="BLPH189" hidden="1">#REF!</definedName>
    <definedName name="BLPH19" localSheetId="0" hidden="1">#REF!</definedName>
    <definedName name="BLPH19" hidden="1">#REF!</definedName>
    <definedName name="BLPH190" localSheetId="0" hidden="1">#REF!</definedName>
    <definedName name="BLPH190" hidden="1">#REF!</definedName>
    <definedName name="BLPH191" localSheetId="0" hidden="1">#REF!</definedName>
    <definedName name="BLPH191" hidden="1">#REF!</definedName>
    <definedName name="BLPH192" localSheetId="0" hidden="1">#REF!</definedName>
    <definedName name="BLPH192" hidden="1">#REF!</definedName>
    <definedName name="BLPH193" localSheetId="0" hidden="1">#REF!</definedName>
    <definedName name="BLPH193" hidden="1">#REF!</definedName>
    <definedName name="BLPH194" localSheetId="0" hidden="1">#REF!</definedName>
    <definedName name="BLPH194" hidden="1">#REF!</definedName>
    <definedName name="BLPH195" localSheetId="0" hidden="1">#REF!</definedName>
    <definedName name="BLPH195" hidden="1">#REF!</definedName>
    <definedName name="BLPH196" localSheetId="0" hidden="1">#REF!</definedName>
    <definedName name="BLPH196" hidden="1">#REF!</definedName>
    <definedName name="BLPH197" localSheetId="0" hidden="1">#REF!</definedName>
    <definedName name="BLPH197" hidden="1">#REF!</definedName>
    <definedName name="BLPH198" localSheetId="0" hidden="1">#REF!</definedName>
    <definedName name="BLPH198" hidden="1">#REF!</definedName>
    <definedName name="BLPH199" localSheetId="0" hidden="1">#REF!</definedName>
    <definedName name="BLPH199" hidden="1">#REF!</definedName>
    <definedName name="BLPH2" hidden="1">#REF!</definedName>
    <definedName name="BLPH20" localSheetId="0" hidden="1">#REF!</definedName>
    <definedName name="BLPH20" hidden="1">#REF!</definedName>
    <definedName name="BLPH200" localSheetId="0" hidden="1">#REF!</definedName>
    <definedName name="BLPH200" hidden="1">#REF!</definedName>
    <definedName name="BLPH201" localSheetId="0" hidden="1">#REF!</definedName>
    <definedName name="BLPH201" hidden="1">#REF!</definedName>
    <definedName name="BLPH202" localSheetId="0" hidden="1">#REF!</definedName>
    <definedName name="BLPH202" hidden="1">#REF!</definedName>
    <definedName name="BLPH203" localSheetId="0" hidden="1">#REF!</definedName>
    <definedName name="BLPH203" hidden="1">#REF!</definedName>
    <definedName name="BLPH204" localSheetId="0" hidden="1">#REF!</definedName>
    <definedName name="BLPH204" hidden="1">#REF!</definedName>
    <definedName name="BLPH205" localSheetId="0" hidden="1">#REF!</definedName>
    <definedName name="BLPH205" hidden="1">#REF!</definedName>
    <definedName name="BLPH206" localSheetId="0" hidden="1">#REF!</definedName>
    <definedName name="BLPH206" hidden="1">#REF!</definedName>
    <definedName name="BLPH207" localSheetId="0" hidden="1">#REF!</definedName>
    <definedName name="BLPH207" hidden="1">#REF!</definedName>
    <definedName name="BLPH208" localSheetId="0" hidden="1">#REF!</definedName>
    <definedName name="BLPH208" hidden="1">#REF!</definedName>
    <definedName name="BLPH209" localSheetId="0" hidden="1">#REF!</definedName>
    <definedName name="BLPH209" hidden="1">#REF!</definedName>
    <definedName name="BLPH21" localSheetId="0" hidden="1">#REF!</definedName>
    <definedName name="BLPH21" hidden="1">#REF!</definedName>
    <definedName name="BLPH210" localSheetId="0" hidden="1">#REF!</definedName>
    <definedName name="BLPH210" hidden="1">#REF!</definedName>
    <definedName name="BLPH211" localSheetId="0" hidden="1">#REF!</definedName>
    <definedName name="BLPH211" hidden="1">#REF!</definedName>
    <definedName name="BLPH212" localSheetId="0" hidden="1">#REF!</definedName>
    <definedName name="BLPH212" hidden="1">#REF!</definedName>
    <definedName name="BLPH213" localSheetId="0" hidden="1">#REF!</definedName>
    <definedName name="BLPH213" hidden="1">#REF!</definedName>
    <definedName name="BLPH214" localSheetId="0" hidden="1">#REF!</definedName>
    <definedName name="BLPH214" hidden="1">#REF!</definedName>
    <definedName name="BLPH22" localSheetId="0" hidden="1">#REF!</definedName>
    <definedName name="BLPH22" hidden="1">#REF!</definedName>
    <definedName name="BLPH23" localSheetId="0" hidden="1">#REF!</definedName>
    <definedName name="BLPH23" hidden="1">#REF!</definedName>
    <definedName name="BLPH24" localSheetId="0" hidden="1">#REF!</definedName>
    <definedName name="BLPH24" hidden="1">#REF!</definedName>
    <definedName name="BLPH25" localSheetId="0" hidden="1">#REF!</definedName>
    <definedName name="BLPH25" hidden="1">#REF!</definedName>
    <definedName name="BLPH26" localSheetId="0" hidden="1">#REF!</definedName>
    <definedName name="BLPH26" hidden="1">#REF!</definedName>
    <definedName name="BLPH27" localSheetId="0" hidden="1">#REF!</definedName>
    <definedName name="BLPH27" hidden="1">#REF!</definedName>
    <definedName name="BLPH28" localSheetId="0" hidden="1">#REF!</definedName>
    <definedName name="BLPH28" hidden="1">#REF!</definedName>
    <definedName name="BLPH29" localSheetId="0" hidden="1">#REF!</definedName>
    <definedName name="BLPH29" hidden="1">#REF!</definedName>
    <definedName name="BLPH3" hidden="1">#REF!</definedName>
    <definedName name="BLPH30" localSheetId="0" hidden="1">#REF!</definedName>
    <definedName name="BLPH30" hidden="1">#REF!</definedName>
    <definedName name="BLPH31" localSheetId="0" hidden="1">#REF!</definedName>
    <definedName name="BLPH31" hidden="1">#REF!</definedName>
    <definedName name="BLPH32" localSheetId="0" hidden="1">#REF!</definedName>
    <definedName name="BLPH32" hidden="1">#REF!</definedName>
    <definedName name="BLPH33" localSheetId="0" hidden="1">#REF!</definedName>
    <definedName name="BLPH33" hidden="1">#REF!</definedName>
    <definedName name="BLPH34" localSheetId="0" hidden="1">#REF!</definedName>
    <definedName name="BLPH34" hidden="1">#REF!</definedName>
    <definedName name="BLPH35" localSheetId="0" hidden="1">#REF!</definedName>
    <definedName name="BLPH35" hidden="1">#REF!</definedName>
    <definedName name="BLPH36" localSheetId="0" hidden="1">#REF!</definedName>
    <definedName name="BLPH36" hidden="1">#REF!</definedName>
    <definedName name="BLPH37" localSheetId="0" hidden="1">#REF!</definedName>
    <definedName name="BLPH37" hidden="1">#REF!</definedName>
    <definedName name="BLPH38" localSheetId="0" hidden="1">#REF!</definedName>
    <definedName name="BLPH38" hidden="1">#REF!</definedName>
    <definedName name="BLPH39" localSheetId="0" hidden="1">#REF!</definedName>
    <definedName name="BLPH39" hidden="1">#REF!</definedName>
    <definedName name="BLPH4" localSheetId="0" hidden="1">#REF!</definedName>
    <definedName name="BLPH4" hidden="1">#REF!</definedName>
    <definedName name="BLPH40" localSheetId="0" hidden="1">#REF!</definedName>
    <definedName name="BLPH40" hidden="1">#REF!</definedName>
    <definedName name="BLPH41" localSheetId="0" hidden="1">#REF!</definedName>
    <definedName name="BLPH41" hidden="1">#REF!</definedName>
    <definedName name="BLPH42" localSheetId="0" hidden="1">#REF!</definedName>
    <definedName name="BLPH42" hidden="1">#REF!</definedName>
    <definedName name="BLPH43" localSheetId="0" hidden="1">#REF!</definedName>
    <definedName name="BLPH43" hidden="1">#REF!</definedName>
    <definedName name="BLPH44" localSheetId="0" hidden="1">#REF!</definedName>
    <definedName name="BLPH44" hidden="1">#REF!</definedName>
    <definedName name="BLPH45" localSheetId="0" hidden="1">#REF!</definedName>
    <definedName name="BLPH45" hidden="1">#REF!</definedName>
    <definedName name="BLPH46" localSheetId="0" hidden="1">#REF!</definedName>
    <definedName name="BLPH46" hidden="1">#REF!</definedName>
    <definedName name="BLPH47" localSheetId="0" hidden="1">#REF!</definedName>
    <definedName name="BLPH47" hidden="1">#REF!</definedName>
    <definedName name="BLPH48" localSheetId="0" hidden="1">#REF!</definedName>
    <definedName name="BLPH48" hidden="1">#REF!</definedName>
    <definedName name="BLPH49" localSheetId="0" hidden="1">#REF!</definedName>
    <definedName name="BLPH49" hidden="1">#REF!</definedName>
    <definedName name="BLPH5" localSheetId="0" hidden="1">#REF!</definedName>
    <definedName name="BLPH5" hidden="1">#REF!</definedName>
    <definedName name="BLPH50" localSheetId="0" hidden="1">#REF!</definedName>
    <definedName name="BLPH50" hidden="1">#REF!</definedName>
    <definedName name="BLPH51" localSheetId="0" hidden="1">#REF!</definedName>
    <definedName name="BLPH51" hidden="1">#REF!</definedName>
    <definedName name="BLPH52" localSheetId="0" hidden="1">#REF!</definedName>
    <definedName name="BLPH52" hidden="1">#REF!</definedName>
    <definedName name="BLPH53" localSheetId="0" hidden="1">#REF!</definedName>
    <definedName name="BLPH53" hidden="1">#REF!</definedName>
    <definedName name="BLPH54" localSheetId="0" hidden="1">#REF!</definedName>
    <definedName name="BLPH54" hidden="1">#REF!</definedName>
    <definedName name="BLPH55" localSheetId="0" hidden="1">#REF!</definedName>
    <definedName name="BLPH55" hidden="1">#REF!</definedName>
    <definedName name="BLPH56" localSheetId="0" hidden="1">#REF!</definedName>
    <definedName name="BLPH56" hidden="1">#REF!</definedName>
    <definedName name="BLPH57" localSheetId="0" hidden="1">#REF!</definedName>
    <definedName name="BLPH57" hidden="1">#REF!</definedName>
    <definedName name="BLPH58" localSheetId="0" hidden="1">#REF!</definedName>
    <definedName name="BLPH58" hidden="1">#REF!</definedName>
    <definedName name="BLPH59" localSheetId="0" hidden="1">#REF!</definedName>
    <definedName name="BLPH59" hidden="1">#REF!</definedName>
    <definedName name="BLPH6" localSheetId="0" hidden="1">#REF!</definedName>
    <definedName name="BLPH6" hidden="1">#REF!</definedName>
    <definedName name="BLPH60" localSheetId="0" hidden="1">#REF!</definedName>
    <definedName name="BLPH60" hidden="1">#REF!</definedName>
    <definedName name="BLPH61" localSheetId="0" hidden="1">#REF!</definedName>
    <definedName name="BLPH61" hidden="1">#REF!</definedName>
    <definedName name="BLPH62" localSheetId="0" hidden="1">#REF!</definedName>
    <definedName name="BLPH62" hidden="1">#REF!</definedName>
    <definedName name="BLPH63" localSheetId="0" hidden="1">#REF!</definedName>
    <definedName name="BLPH63" hidden="1">#REF!</definedName>
    <definedName name="BLPH64" localSheetId="0" hidden="1">#REF!</definedName>
    <definedName name="BLPH64" hidden="1">#REF!</definedName>
    <definedName name="BLPH65" localSheetId="0" hidden="1">#REF!</definedName>
    <definedName name="BLPH65" hidden="1">#REF!</definedName>
    <definedName name="BLPH66" localSheetId="0" hidden="1">#REF!</definedName>
    <definedName name="BLPH66" hidden="1">#REF!</definedName>
    <definedName name="BLPH67" localSheetId="0" hidden="1">#REF!</definedName>
    <definedName name="BLPH67" hidden="1">#REF!</definedName>
    <definedName name="BLPH68" localSheetId="0" hidden="1">#REF!</definedName>
    <definedName name="BLPH68" hidden="1">#REF!</definedName>
    <definedName name="BLPH69" localSheetId="0" hidden="1">#REF!</definedName>
    <definedName name="BLPH69" hidden="1">#REF!</definedName>
    <definedName name="BLPH7" localSheetId="0" hidden="1">#REF!</definedName>
    <definedName name="BLPH7" hidden="1">#REF!</definedName>
    <definedName name="BLPH70" localSheetId="0" hidden="1">#REF!</definedName>
    <definedName name="BLPH70" hidden="1">#REF!</definedName>
    <definedName name="BLPH71" localSheetId="0" hidden="1">#REF!</definedName>
    <definedName name="BLPH71" hidden="1">#REF!</definedName>
    <definedName name="BLPH72" localSheetId="0" hidden="1">#REF!</definedName>
    <definedName name="BLPH72" hidden="1">#REF!</definedName>
    <definedName name="BLPH73" localSheetId="0" hidden="1">#REF!</definedName>
    <definedName name="BLPH73" hidden="1">#REF!</definedName>
    <definedName name="BLPH74" localSheetId="0" hidden="1">#REF!</definedName>
    <definedName name="BLPH74" hidden="1">#REF!</definedName>
    <definedName name="BLPH75" localSheetId="0" hidden="1">#REF!</definedName>
    <definedName name="BLPH75" hidden="1">#REF!</definedName>
    <definedName name="BLPH76" localSheetId="0" hidden="1">#REF!</definedName>
    <definedName name="BLPH76" hidden="1">#REF!</definedName>
    <definedName name="BLPH77" localSheetId="0" hidden="1">#REF!</definedName>
    <definedName name="BLPH77" hidden="1">#REF!</definedName>
    <definedName name="BLPH78" localSheetId="0" hidden="1">#REF!</definedName>
    <definedName name="BLPH78" hidden="1">#REF!</definedName>
    <definedName name="BLPH79" localSheetId="0" hidden="1">#REF!</definedName>
    <definedName name="BLPH79" hidden="1">#REF!</definedName>
    <definedName name="BLPH8" localSheetId="0" hidden="1">#REF!</definedName>
    <definedName name="BLPH8" hidden="1">#REF!</definedName>
    <definedName name="BLPH80" localSheetId="0" hidden="1">#REF!</definedName>
    <definedName name="BLPH80" hidden="1">#REF!</definedName>
    <definedName name="BLPH81" localSheetId="0" hidden="1">#REF!</definedName>
    <definedName name="BLPH81" hidden="1">#REF!</definedName>
    <definedName name="BLPH82" localSheetId="0" hidden="1">#REF!</definedName>
    <definedName name="BLPH82" hidden="1">#REF!</definedName>
    <definedName name="BLPH83" localSheetId="0" hidden="1">#REF!</definedName>
    <definedName name="BLPH83" hidden="1">#REF!</definedName>
    <definedName name="BLPH84" localSheetId="0" hidden="1">#REF!</definedName>
    <definedName name="BLPH84" hidden="1">#REF!</definedName>
    <definedName name="BLPH85" localSheetId="0" hidden="1">#REF!</definedName>
    <definedName name="BLPH85" hidden="1">#REF!</definedName>
    <definedName name="BLPH86" localSheetId="0" hidden="1">#REF!</definedName>
    <definedName name="BLPH86" hidden="1">#REF!</definedName>
    <definedName name="BLPH87" localSheetId="0" hidden="1">#REF!</definedName>
    <definedName name="BLPH87" hidden="1">#REF!</definedName>
    <definedName name="BLPH88" localSheetId="0" hidden="1">#REF!</definedName>
    <definedName name="BLPH88" hidden="1">#REF!</definedName>
    <definedName name="BLPH89" localSheetId="0" hidden="1">#REF!</definedName>
    <definedName name="BLPH89" hidden="1">#REF!</definedName>
    <definedName name="BLPH9" localSheetId="0" hidden="1">#REF!</definedName>
    <definedName name="BLPH9" hidden="1">#REF!</definedName>
    <definedName name="BLPH90" localSheetId="0" hidden="1">#REF!</definedName>
    <definedName name="BLPH90" hidden="1">#REF!</definedName>
    <definedName name="BLPH91" localSheetId="0" hidden="1">#REF!</definedName>
    <definedName name="BLPH91" hidden="1">#REF!</definedName>
    <definedName name="BLPH92" localSheetId="0" hidden="1">#REF!</definedName>
    <definedName name="BLPH92" hidden="1">#REF!</definedName>
    <definedName name="BLPH93" localSheetId="0" hidden="1">#REF!</definedName>
    <definedName name="BLPH93" hidden="1">#REF!</definedName>
    <definedName name="BLPH94" localSheetId="0" hidden="1">#REF!</definedName>
    <definedName name="BLPH94" hidden="1">#REF!</definedName>
    <definedName name="BLPH95" localSheetId="0" hidden="1">#REF!</definedName>
    <definedName name="BLPH95" hidden="1">#REF!</definedName>
    <definedName name="BLPH96" localSheetId="0" hidden="1">#REF!</definedName>
    <definedName name="BLPH96" hidden="1">#REF!</definedName>
    <definedName name="BLPH97" localSheetId="0" hidden="1">#REF!</definedName>
    <definedName name="BLPH97" hidden="1">#REF!</definedName>
    <definedName name="BLPH98" localSheetId="0" hidden="1">#REF!</definedName>
    <definedName name="BLPH98" hidden="1">#REF!</definedName>
    <definedName name="BLPH99" localSheetId="0" hidden="1">#REF!</definedName>
    <definedName name="BLPH99" hidden="1">#REF!</definedName>
    <definedName name="bsheet">#REF!</definedName>
    <definedName name="Capital_employed6" localSheetId="0">#REF!</definedName>
    <definedName name="Capital_employed6">#REF!</definedName>
    <definedName name="Cash_flow_from_financing6" localSheetId="0">#REF!</definedName>
    <definedName name="Cash_flow_from_financing6">#REF!</definedName>
    <definedName name="Cash_flow_from_investing6" localSheetId="0">#REF!</definedName>
    <definedName name="Cash_flow_from_investing6">#REF!</definedName>
    <definedName name="cash_flow_from_operations6" localSheetId="0">#REF!</definedName>
    <definedName name="cash_flow_from_operations6">#REF!</definedName>
    <definedName name="CF">#REF!</definedName>
    <definedName name="CoName" hidden="1">#REF!</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rrent_assets6" localSheetId="0">#REF!</definedName>
    <definedName name="Current_assets6">#REF!</definedName>
    <definedName name="Current_liabilities6" localSheetId="0">#REF!</definedName>
    <definedName name="Current_liabilities6">#REF!</definedName>
    <definedName name="deferred_tax_qtr" localSheetId="0">#REF!</definedName>
    <definedName name="deferred_tax_qtr">#REF!</definedName>
    <definedName name="depreciation_qtr" localSheetId="0">#REF!</definedName>
    <definedName name="depreciation_qtr">#REF!</definedName>
    <definedName name="Depreciation6" localSheetId="0">#REF!</definedName>
    <definedName name="Depreciation6">#REF!</definedName>
    <definedName name="DispFmt" hidden="1">#REF!</definedName>
    <definedName name="Dividend_provided" localSheetId="0">#REF!</definedName>
    <definedName name="Dividend_provided">#REF!</definedName>
    <definedName name="ebit_qtr" localSheetId="0">#REF!</definedName>
    <definedName name="ebit_qtr">#REF!</definedName>
    <definedName name="EBIT6" localSheetId="0">#REF!</definedName>
    <definedName name="EBIT6">#REF!</definedName>
    <definedName name="ebitda_qtr" localSheetId="0">#REF!</definedName>
    <definedName name="ebitda_qtr">#REF!</definedName>
    <definedName name="EBITDA6" localSheetId="0">#REF!</definedName>
    <definedName name="EBITDA6">#REF!</definedName>
    <definedName name="employee_expenses_qtr" localSheetId="0">#REF!</definedName>
    <definedName name="employee_expenses_qtr">#REF!</definedName>
    <definedName name="EnEsMode" hidden="1">#REF!</definedName>
    <definedName name="Enterprise_value6">#REF!</definedName>
    <definedName name="EnYrRng" hidden="1">#REF!</definedName>
    <definedName name="EqMult" hidden="1">#REF!</definedName>
    <definedName name="EstRef" hidden="1">#REF!</definedName>
    <definedName name="EsYrRng" hidden="1">#REF!</definedName>
    <definedName name="Exceptional_Items" localSheetId="0">#REF!</definedName>
    <definedName name="Exceptional_Items">#REF!</definedName>
    <definedName name="excise_duty_qtr" localSheetId="0">#REF!</definedName>
    <definedName name="excise_duty_qtr">#REF!</definedName>
    <definedName name="ExpMfgDmy" hidden="1">#REF!</definedName>
    <definedName name="ExpPerDmy" hidden="1">#REF!</definedName>
    <definedName name="ExpSaleDmy" hidden="1">#REF!</definedName>
    <definedName name="Extraordinary_items" localSheetId="0">#REF!</definedName>
    <definedName name="Extraordinary_items">#REF!</definedName>
    <definedName name="FaceVal" hidden="1">#REF!</definedName>
    <definedName name="FASer" hidden="1">#REF!</definedName>
    <definedName name="FDP_100_1_aSrv" localSheetId="0" hidden="1">#REF!</definedName>
    <definedName name="FDP_100_1_aSrv" hidden="1">#REF!</definedName>
    <definedName name="FDP_101_1_aSrv" localSheetId="0" hidden="1">#REF!</definedName>
    <definedName name="FDP_101_1_aSrv" hidden="1">#REF!</definedName>
    <definedName name="FDP_102_1_aSrv" localSheetId="0" hidden="1">#REF!</definedName>
    <definedName name="FDP_102_1_aSrv" hidden="1">#REF!</definedName>
    <definedName name="FDP_103_1_aSrv" localSheetId="0" hidden="1">#REF!</definedName>
    <definedName name="FDP_103_1_aSrv" hidden="1">#REF!</definedName>
    <definedName name="FDP_104_1_aSrv" localSheetId="0" hidden="1">#REF!</definedName>
    <definedName name="FDP_104_1_aSrv" hidden="1">#REF!</definedName>
    <definedName name="FDP_12_1_aDrv" localSheetId="0" hidden="1">#REF!</definedName>
    <definedName name="FDP_12_1_aDrv" hidden="1">#REF!</definedName>
    <definedName name="FDP_13_1_aDrv" localSheetId="0" hidden="1">#REF!</definedName>
    <definedName name="FDP_13_1_aDrv" hidden="1">#REF!</definedName>
    <definedName name="FDP_14_1_aDrv" localSheetId="0" hidden="1">#REF!</definedName>
    <definedName name="FDP_14_1_aDrv" hidden="1">#REF!</definedName>
    <definedName name="FDP_15_1_aUrv" localSheetId="0" hidden="1">#REF!</definedName>
    <definedName name="FDP_15_1_aUrv" hidden="1">#REF!</definedName>
    <definedName name="FDP_17_1_aSrv" localSheetId="0" hidden="1">#REF!</definedName>
    <definedName name="FDP_17_1_aSrv" hidden="1">#REF!</definedName>
    <definedName name="FDP_19_1_aDrv" localSheetId="0" hidden="1">#REF!</definedName>
    <definedName name="FDP_19_1_aDrv" hidden="1">#REF!</definedName>
    <definedName name="FDP_2_1_aSrv" localSheetId="0" hidden="1">#REF!</definedName>
    <definedName name="FDP_2_1_aSrv" hidden="1">#REF!</definedName>
    <definedName name="FDP_20_1_aDrv" localSheetId="0" hidden="1">#REF!</definedName>
    <definedName name="FDP_20_1_aDrv" hidden="1">#REF!</definedName>
    <definedName name="FDP_21_1_aDrv" localSheetId="0" hidden="1">#REF!</definedName>
    <definedName name="FDP_21_1_aDrv" hidden="1">#REF!</definedName>
    <definedName name="FDP_22_1_aDrv" localSheetId="0" hidden="1">#REF!</definedName>
    <definedName name="FDP_22_1_aDrv" hidden="1">#REF!</definedName>
    <definedName name="FDP_23_1_aDrv" localSheetId="0" hidden="1">#REF!</definedName>
    <definedName name="FDP_23_1_aDrv" hidden="1">#REF!</definedName>
    <definedName name="FDP_24_1_aDrv" localSheetId="0" hidden="1">#REF!</definedName>
    <definedName name="FDP_24_1_aDrv" hidden="1">#REF!</definedName>
    <definedName name="FDP_25_1_aUrv" localSheetId="0" hidden="1">#REF!</definedName>
    <definedName name="FDP_25_1_aUrv" hidden="1">#REF!</definedName>
    <definedName name="FDP_26_1_aSrv" localSheetId="0" hidden="1">#REF!</definedName>
    <definedName name="FDP_26_1_aSrv" hidden="1">#REF!</definedName>
    <definedName name="FDP_27_1_aUrv" localSheetId="0" hidden="1">#REF!</definedName>
    <definedName name="FDP_27_1_aUrv" hidden="1">#REF!</definedName>
    <definedName name="FDP_28_1_aUrv" localSheetId="0" hidden="1">#REF!</definedName>
    <definedName name="FDP_28_1_aUrv" hidden="1">#REF!</definedName>
    <definedName name="FDP_29_1_aUrv" localSheetId="0" hidden="1">#REF!</definedName>
    <definedName name="FDP_29_1_aUrv" hidden="1">#REF!</definedName>
    <definedName name="FDP_30_1_aUrv" localSheetId="0" hidden="1">#REF!</definedName>
    <definedName name="FDP_30_1_aUrv" hidden="1">#REF!</definedName>
    <definedName name="FDP_31_1_aUrv" localSheetId="0" hidden="1">#REF!</definedName>
    <definedName name="FDP_31_1_aUrv" hidden="1">#REF!</definedName>
    <definedName name="FDP_32_1_aUrv" localSheetId="0" hidden="1">#REF!</definedName>
    <definedName name="FDP_32_1_aUrv" hidden="1">#REF!</definedName>
    <definedName name="FDP_33_1_aUrv" localSheetId="0" hidden="1">#REF!</definedName>
    <definedName name="FDP_33_1_aUrv" hidden="1">#REF!</definedName>
    <definedName name="FDP_34_1_aUrv" localSheetId="0" hidden="1">#REF!</definedName>
    <definedName name="FDP_34_1_aUrv" hidden="1">#REF!</definedName>
    <definedName name="FDP_35_1_aUrv" localSheetId="0" hidden="1">#REF!</definedName>
    <definedName name="FDP_35_1_aUrv" hidden="1">#REF!</definedName>
    <definedName name="FDP_36_1_aUrv" localSheetId="0" hidden="1">#REF!</definedName>
    <definedName name="FDP_36_1_aUrv" hidden="1">#REF!</definedName>
    <definedName name="FDP_37_1_aUrv" localSheetId="0" hidden="1">#REF!</definedName>
    <definedName name="FDP_37_1_aUrv" hidden="1">#REF!</definedName>
    <definedName name="FDP_38_1_aUrv" localSheetId="0" hidden="1">#REF!</definedName>
    <definedName name="FDP_38_1_aUrv" hidden="1">#REF!</definedName>
    <definedName name="FDP_39_1_aUrv" localSheetId="0" hidden="1">#REF!</definedName>
    <definedName name="FDP_39_1_aUrv" hidden="1">#REF!</definedName>
    <definedName name="FDP_4_1_aSrv" localSheetId="0" hidden="1">#REF!</definedName>
    <definedName name="FDP_4_1_aSrv" hidden="1">#REF!</definedName>
    <definedName name="FDP_40_1_aUrv" localSheetId="0" hidden="1">#REF!</definedName>
    <definedName name="FDP_40_1_aUrv" hidden="1">#REF!</definedName>
    <definedName name="FDP_50_1_aDrv" localSheetId="0" hidden="1">#REF!</definedName>
    <definedName name="FDP_50_1_aDrv" hidden="1">#REF!</definedName>
    <definedName name="FDP_51_1_aDrv" localSheetId="0" hidden="1">#REF!</definedName>
    <definedName name="FDP_51_1_aDrv" hidden="1">#REF!</definedName>
    <definedName name="FDP_52_1_aDrv" localSheetId="0" hidden="1">#REF!</definedName>
    <definedName name="FDP_52_1_aDrv" hidden="1">#REF!</definedName>
    <definedName name="FDP_53_1_aUrv" localSheetId="0" hidden="1">#REF!</definedName>
    <definedName name="FDP_53_1_aUrv" hidden="1">#REF!</definedName>
    <definedName name="FDP_54_1_aUrv" localSheetId="0" hidden="1">#REF!</definedName>
    <definedName name="FDP_54_1_aUrv" hidden="1">#REF!</definedName>
    <definedName name="FDP_57_1_aSrv" localSheetId="0" hidden="1">#REF!</definedName>
    <definedName name="FDP_57_1_aSrv" hidden="1">#REF!</definedName>
    <definedName name="FDP_59_1_aUrv" localSheetId="0" hidden="1">#REF!</definedName>
    <definedName name="FDP_59_1_aUrv" hidden="1">#REF!</definedName>
    <definedName name="FDP_60_1_aUrv" localSheetId="0" hidden="1">#REF!</definedName>
    <definedName name="FDP_60_1_aUrv" hidden="1">#REF!</definedName>
    <definedName name="FDP_61_1_aSrv" localSheetId="0" hidden="1">#REF!</definedName>
    <definedName name="FDP_61_1_aSrv" hidden="1">#REF!</definedName>
    <definedName name="FDP_62_1_aDrv" localSheetId="0" hidden="1">#REF!</definedName>
    <definedName name="FDP_62_1_aDrv" hidden="1">#REF!</definedName>
    <definedName name="FDP_63_1_aUrv" localSheetId="0" hidden="1">#REF!</definedName>
    <definedName name="FDP_63_1_aUrv" hidden="1">#REF!</definedName>
    <definedName name="FDP_64_1_aUrv" localSheetId="0" hidden="1">#REF!</definedName>
    <definedName name="FDP_64_1_aUrv" hidden="1">#REF!</definedName>
    <definedName name="FDP_65_1_aUrv" localSheetId="0" hidden="1">#REF!</definedName>
    <definedName name="FDP_65_1_aUrv" hidden="1">#REF!</definedName>
    <definedName name="FDP_66_1_aUrv" localSheetId="0" hidden="1">#REF!</definedName>
    <definedName name="FDP_66_1_aUrv" hidden="1">#REF!</definedName>
    <definedName name="FDP_67_1_aDrv" localSheetId="0" hidden="1">#REF!</definedName>
    <definedName name="FDP_67_1_aDrv" hidden="1">#REF!</definedName>
    <definedName name="FDP_68_1_aUrv" localSheetId="0" hidden="1">#REF!</definedName>
    <definedName name="FDP_68_1_aUrv" hidden="1">#REF!</definedName>
    <definedName name="FDP_69_1_aUrv" localSheetId="0" hidden="1">#REF!</definedName>
    <definedName name="FDP_69_1_aUrv" hidden="1">#REF!</definedName>
    <definedName name="FDP_70_1_aUrv" localSheetId="0" hidden="1">#REF!</definedName>
    <definedName name="FDP_70_1_aUrv" hidden="1">#REF!</definedName>
    <definedName name="FDP_71_1_aDrv" localSheetId="0" hidden="1">#REF!</definedName>
    <definedName name="FDP_71_1_aDrv" hidden="1">#REF!</definedName>
    <definedName name="FDP_72_1_aDrv" localSheetId="0" hidden="1">#REF!</definedName>
    <definedName name="FDP_72_1_aDrv" hidden="1">#REF!</definedName>
    <definedName name="FDP_73_1_aDrv" localSheetId="0" hidden="1">#REF!</definedName>
    <definedName name="FDP_73_1_aDrv" hidden="1">#REF!</definedName>
    <definedName name="FDP_74_1_aDrv" localSheetId="0" hidden="1">#REF!</definedName>
    <definedName name="FDP_74_1_aDrv" hidden="1">#REF!</definedName>
    <definedName name="FDP_75_1_aUrv" localSheetId="0" hidden="1">#REF!</definedName>
    <definedName name="FDP_75_1_aUrv" hidden="1">#REF!</definedName>
    <definedName name="FDP_76_1_aUrv" localSheetId="0" hidden="1">#REF!</definedName>
    <definedName name="FDP_76_1_aUrv" hidden="1">#REF!</definedName>
    <definedName name="FDP_77_1_aDrv" localSheetId="0" hidden="1">#REF!</definedName>
    <definedName name="FDP_77_1_aDrv" hidden="1">#REF!</definedName>
    <definedName name="FDP_78_1_aUrv" localSheetId="0" hidden="1">#REF!</definedName>
    <definedName name="FDP_78_1_aUrv" hidden="1">#REF!</definedName>
    <definedName name="FDP_79_1_aUrv" localSheetId="0" hidden="1">#REF!</definedName>
    <definedName name="FDP_79_1_aUrv" hidden="1">#REF!</definedName>
    <definedName name="FDP_80_1_aDrv" localSheetId="0" hidden="1">#REF!</definedName>
    <definedName name="FDP_80_1_aDrv" hidden="1">#REF!</definedName>
    <definedName name="FDP_81_1_aSrv" localSheetId="0" hidden="1">#REF!</definedName>
    <definedName name="FDP_81_1_aSrv" hidden="1">#REF!</definedName>
    <definedName name="FDP_82_1_aUrv" localSheetId="0" hidden="1">#REF!</definedName>
    <definedName name="FDP_82_1_aUrv" hidden="1">#REF!</definedName>
    <definedName name="FDP_83_1_aDrv" localSheetId="0" hidden="1">#REF!</definedName>
    <definedName name="FDP_83_1_aDrv" hidden="1">#REF!</definedName>
    <definedName name="FDP_84_1_aDrv" localSheetId="0" hidden="1">#REF!</definedName>
    <definedName name="FDP_84_1_aDrv" hidden="1">#REF!</definedName>
    <definedName name="FDP_85_1_aDrv" localSheetId="0" hidden="1">#REF!</definedName>
    <definedName name="FDP_85_1_aDrv" hidden="1">#REF!</definedName>
    <definedName name="FDP_86_1_aDrv" localSheetId="0" hidden="1">#REF!</definedName>
    <definedName name="FDP_86_1_aDrv" hidden="1">#REF!</definedName>
    <definedName name="FDP_87_1_aDrv" localSheetId="0" hidden="1">#REF!</definedName>
    <definedName name="FDP_87_1_aDrv" hidden="1">#REF!</definedName>
    <definedName name="FDP_88_1_aDrv" localSheetId="0" hidden="1">#REF!</definedName>
    <definedName name="FDP_88_1_aDrv" hidden="1">#REF!</definedName>
    <definedName name="FDP_89_1_aDrv" localSheetId="0" hidden="1">#REF!</definedName>
    <definedName name="FDP_89_1_aDrv" hidden="1">#REF!</definedName>
    <definedName name="FDP_90_1_aDrv" localSheetId="0" hidden="1">#REF!</definedName>
    <definedName name="FDP_90_1_aDrv" hidden="1">#REF!</definedName>
    <definedName name="FDP_91_1_aDrv" localSheetId="0" hidden="1">#REF!</definedName>
    <definedName name="FDP_91_1_aDrv" hidden="1">#REF!</definedName>
    <definedName name="FDP_92_1_aDrv" localSheetId="0" hidden="1">#REF!</definedName>
    <definedName name="FDP_92_1_aDrv" hidden="1">#REF!</definedName>
    <definedName name="FDP_93_1_aSrv" localSheetId="0" hidden="1">#REF!</definedName>
    <definedName name="FDP_93_1_aSrv" hidden="1">#REF!</definedName>
    <definedName name="FDP_94_1_aSrv" localSheetId="0" hidden="1">#REF!</definedName>
    <definedName name="FDP_94_1_aSrv" hidden="1">#REF!</definedName>
    <definedName name="FDP_95_1_aSrv" localSheetId="0" hidden="1">#REF!</definedName>
    <definedName name="FDP_95_1_aSrv" hidden="1">#REF!</definedName>
    <definedName name="FDP_96_1_aSrv" localSheetId="0" hidden="1">#REF!</definedName>
    <definedName name="FDP_96_1_aSrv" hidden="1">#REF!</definedName>
    <definedName name="FDP_97_1_aUrv" localSheetId="0" hidden="1">#REF!</definedName>
    <definedName name="FDP_97_1_aUrv" hidden="1">#REF!</definedName>
    <definedName name="FDP_98_1_aSrv" localSheetId="0" hidden="1">#REF!</definedName>
    <definedName name="FDP_98_1_aSrv" hidden="1">#REF!</definedName>
    <definedName name="FDP_99_1_aSrv" localSheetId="0" hidden="1">#REF!</definedName>
    <definedName name="FDP_99_1_aSrv" hidden="1">#REF!</definedName>
    <definedName name="fgdfgd" localSheetId="0" hidden="1">#REF!</definedName>
    <definedName name="fgdfgd" hidden="1">#REF!</definedName>
    <definedName name="fill" hidden="1">#REF!</definedName>
    <definedName name="Finance_Cost" localSheetId="0">#REF!</definedName>
    <definedName name="Finance_Cost">#REF!</definedName>
    <definedName name="Free_cash_flow6" localSheetId="0">#REF!</definedName>
    <definedName name="Free_cash_flow6">#REF!</definedName>
    <definedName name="Fully_diluted_earnings6" localSheetId="0">#REF!</definedName>
    <definedName name="Fully_diluted_earnings6">#REF!</definedName>
    <definedName name="Fully_diluted_shares_m" localSheetId="0">#REF!</definedName>
    <definedName name="Fully_diluted_shares_m">#REF!</definedName>
    <definedName name="ghb" hidden="1">#N/A</definedName>
    <definedName name="gls_ALLOW_PARENT_OR_CONSOLIDATED" hidden="1">#REF!</definedName>
    <definedName name="gls_EXC_NOT_EXT" hidden="1">#REF!</definedName>
    <definedName name="gls_GLOSS_MONTHS" hidden="1">#REF!</definedName>
    <definedName name="gls_GW_IN" hidden="1">#REF!</definedName>
    <definedName name="gls_StockTicker" hidden="1">#REF!</definedName>
    <definedName name="gross_sales_qtr" localSheetId="0">#REF!</definedName>
    <definedName name="gross_sales_qtr">#REF!</definedName>
    <definedName name="HTML_CodePage" hidden="1">1252</definedName>
    <definedName name="HTML_Control" localSheetId="0" hidden="1">{"'Input'!$D$3"}</definedName>
    <definedName name="HTML_Control" hidden="1">{"'Input'!$D$3"}</definedName>
    <definedName name="HTML_Description" hidden="1">""</definedName>
    <definedName name="HTML_Email" hidden="1">""</definedName>
    <definedName name="HTML_Header" hidden="1">"Input"</definedName>
    <definedName name="HTML_LastUpdate" hidden="1">"2/7/01"</definedName>
    <definedName name="HTML_LineAfter" hidden="1">FALSE</definedName>
    <definedName name="HTML_LineBefore" hidden="1">FALSE</definedName>
    <definedName name="HTML_Name" hidden="1">"I-SEC"</definedName>
    <definedName name="HTML_OBDlg2" hidden="1">TRUE</definedName>
    <definedName name="HTML_OBDlg3" hidden="1">TRUE</definedName>
    <definedName name="HTML_OBDlg4" hidden="1">TRUE</definedName>
    <definedName name="HTML_OS" hidden="1">0</definedName>
    <definedName name="HTML_PathFile" hidden="1">"I:\EQUITY\EQ_RSCH\PCM\RIL\MyHTML.htm"</definedName>
    <definedName name="HTML_PathTemplate" hidden="1">"C:\infac\pricewth\Aug99\Page06e.htm"</definedName>
    <definedName name="HTML_Title" hidden="1">"RILDEC1"</definedName>
    <definedName name="INR_USD_Avg">#REF!</definedName>
    <definedName name="INR_USD_Cls">#REF!</definedName>
    <definedName name="InstCap" hidden="1">#REF!,#REF!,#REF!,#REF!,#REF!,#REF!,#REF!,#REF!</definedName>
    <definedName name="int_paid_qtr" localSheetId="0">#REF!</definedName>
    <definedName name="int_paid_qtr">#REF!</definedName>
    <definedName name="InvChg" hidden="1">#REF!</definedName>
    <definedName name="Invested_capital_avg6" localSheetId="0">#REF!</definedName>
    <definedName name="Invested_capital_avg6">#REF!</definedName>
    <definedName name="Invested_capital6" localSheetId="0">#REF!</definedName>
    <definedName name="Invested_capital6">#REF!</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39244.5892013889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limcount" hidden="1">1</definedName>
    <definedName name="LtDebtChg" hidden="1">#REF!</definedName>
    <definedName name="LtDebtDmy" hidden="1">#REF!,#REF!,#REF!,#REF!,#REF!</definedName>
    <definedName name="LTDebtSer" hidden="1">#REF!</definedName>
    <definedName name="Market_cap_Rs_m">#REF!</definedName>
    <definedName name="MfgExpSer" hidden="1">#REF!</definedName>
    <definedName name="minority_interests_pl_qtr" localSheetId="0">#REF!</definedName>
    <definedName name="minority_interests_pl_qtr">#REF!</definedName>
    <definedName name="Minority_interests_PL6" localSheetId="0">#REF!</definedName>
    <definedName name="Minority_interests_PL6">#REF!</definedName>
    <definedName name="Net_chg_in_cash6" localSheetId="0">#REF!</definedName>
    <definedName name="Net_chg_in_cash6">#REF!</definedName>
    <definedName name="Net_debt_cash6" localSheetId="0">#REF!</definedName>
    <definedName name="Net_debt_cash6">#REF!</definedName>
    <definedName name="Net_fixed_assets_avg6" localSheetId="0">#REF!</definedName>
    <definedName name="Net_fixed_assets_avg6">#REF!</definedName>
    <definedName name="net_income_qtr" localSheetId="0">#REF!</definedName>
    <definedName name="net_income_qtr">#REF!</definedName>
    <definedName name="Net_Interest_saved_on_account_of_Dilution" localSheetId="0">#REF!</definedName>
    <definedName name="Net_Interest_saved_on_account_of_Dilution">#REF!</definedName>
    <definedName name="net_profit_qtr" localSheetId="0">#REF!</definedName>
    <definedName name="net_profit_qtr">#REF!</definedName>
    <definedName name="net_sales_qtr" localSheetId="0">#REF!</definedName>
    <definedName name="net_sales_qtr">#REF!</definedName>
    <definedName name="NetCAChg" hidden="1">#REF!</definedName>
    <definedName name="NetDebtChg" hidden="1">#REF!</definedName>
    <definedName name="NetEqChg" hidden="1">#REF!</definedName>
    <definedName name="NFAChg" hidden="1">#REF!</definedName>
    <definedName name="No_of_Months_in_the_reporting_period" localSheetId="0">#REF!</definedName>
    <definedName name="No_of_Months_in_the_reporting_period">#REF!</definedName>
    <definedName name="Non_current_assets6" localSheetId="0">#REF!</definedName>
    <definedName name="Non_current_assets6">#REF!</definedName>
    <definedName name="non_recurring_items_qtr" localSheetId="0">#REF!</definedName>
    <definedName name="non_recurring_items_qtr">#REF!</definedName>
    <definedName name="NOPLAT6" localSheetId="0">#REF!</definedName>
    <definedName name="NOPLAT6">#REF!</definedName>
    <definedName name="NtnlPr" hidden="1">#REF!</definedName>
    <definedName name="operating_expenses_qtr" localSheetId="0">#REF!</definedName>
    <definedName name="operating_expenses_qtr">#REF!</definedName>
    <definedName name="Operating_expenses6" localSheetId="0">#REF!</definedName>
    <definedName name="Operating_expenses6">#REF!</definedName>
    <definedName name="Operating_Profit_before_working_Capital_changes" localSheetId="0">#REF!</definedName>
    <definedName name="Operating_Profit_before_working_Capital_changes">#REF!</definedName>
    <definedName name="operating_profit_qtr" localSheetId="0">#REF!</definedName>
    <definedName name="operating_profit_qtr">#REF!</definedName>
    <definedName name="Operating_profit6" localSheetId="0">#REF!</definedName>
    <definedName name="Operating_profit6">#REF!</definedName>
    <definedName name="OpIncDmy" hidden="1">#REF!</definedName>
    <definedName name="OpIncSer" hidden="1">#REF!</definedName>
    <definedName name="other_income_qtr" localSheetId="0">#REF!</definedName>
    <definedName name="other_income_qtr">#REF!</definedName>
    <definedName name="Other_income6" localSheetId="0">#REF!</definedName>
    <definedName name="Other_income6">#REF!</definedName>
    <definedName name="other_operating_expenses_qtr" localSheetId="0">#REF!</definedName>
    <definedName name="other_operating_expenses_qtr">#REF!</definedName>
    <definedName name="other_operating_income_qtr" localSheetId="0">#REF!</definedName>
    <definedName name="other_operating_income_qtr">#REF!</definedName>
    <definedName name="Other_operating_income6" localSheetId="0">#REF!</definedName>
    <definedName name="Other_operating_income6">#REF!</definedName>
    <definedName name="period_months_qtr" localSheetId="0">#REF!</definedName>
    <definedName name="period_months_qtr">#REF!</definedName>
    <definedName name="pre_tax_profit_before_non_recurring_items_qtr" localSheetId="0">#REF!</definedName>
    <definedName name="pre_tax_profit_before_non_recurring_items_qtr">#REF!</definedName>
    <definedName name="pre_tax_profit_qtr" localSheetId="0">#REF!</definedName>
    <definedName name="pre_tax_profit_qtr">#REF!</definedName>
    <definedName name="preference_dividend_qtr" localSheetId="0">#REF!</definedName>
    <definedName name="preference_dividend_qtr">#REF!</definedName>
    <definedName name="Preference_dividend6" localSheetId="0">#REF!</definedName>
    <definedName name="Preference_dividend6">#REF!</definedName>
    <definedName name="PrfDmy" hidden="1">#REF!</definedName>
    <definedName name="PrfShSer" hidden="1">#REF!</definedName>
    <definedName name="_xlnm.Print_Area">#REF!</definedName>
    <definedName name="prior_period_adjustments_qtr" localSheetId="0">#REF!</definedName>
    <definedName name="prior_period_adjustments_qtr">#REF!</definedName>
    <definedName name="ProdDmy" hidden="1">#REF!</definedName>
    <definedName name="Product" hidden="1">#REF!</definedName>
    <definedName name="ProdUnit" hidden="1">#REF!</definedName>
    <definedName name="Profit___Loss_for_the_period" localSheetId="0">#REF!</definedName>
    <definedName name="Profit___Loss_for_the_period">#REF!</definedName>
    <definedName name="Profit___Loss_for_the_period_from_continuing_Operations" localSheetId="0">#REF!</definedName>
    <definedName name="Profit___Loss_for_the_period_from_continuing_Operations">#REF!</definedName>
    <definedName name="Profit___Loss_form_discontinuing_Operations" localSheetId="0">#REF!</definedName>
    <definedName name="Profit___Loss_form_discontinuing_Operations">#REF!</definedName>
    <definedName name="Profit_before_exceptional_and_extraordinary_items_and_tax" localSheetId="0">#REF!</definedName>
    <definedName name="Profit_before_exceptional_and_extraordinary_items_and_tax">#REF!</definedName>
    <definedName name="Profit_before_extraordinary_items_and_tax" localSheetId="0">#REF!</definedName>
    <definedName name="Profit_before_extraordinary_items_and_tax">#REF!</definedName>
    <definedName name="Profit_before_tax" localSheetId="0">#REF!</definedName>
    <definedName name="Profit_before_tax">#REF!</definedName>
    <definedName name="Profit_n_Loss_of_associate" localSheetId="0">#REF!</definedName>
    <definedName name="Profit_n_Loss_of_associate">#REF!</definedName>
    <definedName name="PrsExpSer" hidden="1">#REF!</definedName>
    <definedName name="PrYears" hidden="1">#REF!</definedName>
    <definedName name="PUB_UserID" hidden="1">"MAYERX"</definedName>
    <definedName name="purchase_of_finished_goods_qtr" localSheetId="0">#REF!</definedName>
    <definedName name="purchase_of_finished_goods_qtr">#REF!</definedName>
    <definedName name="qq" localSheetId="0" hidden="1">#REF!</definedName>
    <definedName name="qq" hidden="1">#REF!</definedName>
    <definedName name="raw_material_consumed_qtr" localSheetId="0">#REF!</definedName>
    <definedName name="raw_material_consumed_qtr">#REF!</definedName>
    <definedName name="RawMat" hidden="1">#REF!</definedName>
    <definedName name="Reported_Profit___Loss_for_the_period" localSheetId="0">#REF!</definedName>
    <definedName name="Reported_Profit___Loss_for_the_period">#REF!</definedName>
    <definedName name="Revenue_from_Operations" localSheetId="0">#REF!</definedName>
    <definedName name="Revenue_from_Operations">#REF!</definedName>
    <definedName name="RMDmy" hidden="1">#REF!</definedName>
    <definedName name="RMUnit" hidden="1">#REF!</definedName>
    <definedName name="SaleUnit" hidden="1">#REF!,#REF!,#REF!,#REF!,#REF!,#REF!,#REF!,#REF!</definedName>
    <definedName name="SaleValue" hidden="1">#REF!,#REF!,#REF!,#REF!,#REF!,#REF!,#REF!,#REF!</definedName>
    <definedName name="SelExpSer" hidden="1">#REF!</definedName>
    <definedName name="sencount" hidden="1">1</definedName>
    <definedName name="sfsd" localSheetId="0" hidden="1">#REF!</definedName>
    <definedName name="sfsd" hidden="1">#REF!</definedName>
    <definedName name="SGCInvChg" hidden="1">#REF!</definedName>
    <definedName name="share_of_associate_profit_qtr" localSheetId="0">#REF!</definedName>
    <definedName name="share_of_associate_profit_qtr">#REF!</definedName>
    <definedName name="ShPrmChg" hidden="1">#REF!</definedName>
    <definedName name="solver_lhs10" localSheetId="0" hidden="1">#REF!</definedName>
    <definedName name="solver_lhs10" hidden="1">#REF!</definedName>
    <definedName name="solver_lhs11" localSheetId="0" hidden="1">#REF!</definedName>
    <definedName name="solver_lhs11" hidden="1">#REF!</definedName>
    <definedName name="solver_lhs12" localSheetId="0" hidden="1">#REF!</definedName>
    <definedName name="solver_lhs12" hidden="1">#REF!</definedName>
    <definedName name="solver_lhs13" localSheetId="0" hidden="1">#REF!</definedName>
    <definedName name="solver_lhs13" hidden="1">#REF!</definedName>
    <definedName name="solver_lhs14" localSheetId="0" hidden="1">#REF!</definedName>
    <definedName name="solver_lhs14" hidden="1">#REF!</definedName>
    <definedName name="solver_lhs15" localSheetId="0" hidden="1">#REF!</definedName>
    <definedName name="solver_lhs15" hidden="1">#REF!</definedName>
    <definedName name="solver_lhs16" localSheetId="0" hidden="1">#REF!</definedName>
    <definedName name="solver_lhs16" hidden="1">#REF!</definedName>
    <definedName name="solver_lhs17" localSheetId="0" hidden="1">#REF!</definedName>
    <definedName name="solver_lhs17" hidden="1">#REF!</definedName>
    <definedName name="solver_lhs18" localSheetId="0" hidden="1">#REF!</definedName>
    <definedName name="solver_lhs18" hidden="1">#REF!</definedName>
    <definedName name="solver_lhs19" localSheetId="0" hidden="1">#REF!</definedName>
    <definedName name="solver_lhs19" hidden="1">#REF!</definedName>
    <definedName name="solver_lhs20" localSheetId="0" hidden="1">#REF!</definedName>
    <definedName name="solver_lhs20" hidden="1">#REF!</definedName>
    <definedName name="solver_lhs21" localSheetId="0" hidden="1">#REF!</definedName>
    <definedName name="solver_lhs21" hidden="1">#REF!</definedName>
    <definedName name="solver_lhs22" localSheetId="0" hidden="1">#REF!</definedName>
    <definedName name="solver_lhs22" hidden="1">#REF!</definedName>
    <definedName name="solver_lhs23" localSheetId="0" hidden="1">#REF!</definedName>
    <definedName name="solver_lhs23" hidden="1">#REF!</definedName>
    <definedName name="solver_lhs24" localSheetId="0" hidden="1">#REF!</definedName>
    <definedName name="solver_lhs24" hidden="1">#REF!</definedName>
    <definedName name="solver_lhs25" localSheetId="0" hidden="1">#REF!</definedName>
    <definedName name="solver_lhs25" hidden="1">#REF!</definedName>
    <definedName name="solver_lhs26" localSheetId="0" hidden="1">#REF!</definedName>
    <definedName name="solver_lhs26" hidden="1">#REF!</definedName>
    <definedName name="solver_lhs27" localSheetId="0" hidden="1">#REF!</definedName>
    <definedName name="solver_lhs27" hidden="1">#REF!</definedName>
    <definedName name="solver_lhs6" localSheetId="0" hidden="1">#REF!</definedName>
    <definedName name="solver_lhs6" hidden="1">#REF!</definedName>
    <definedName name="solver_lhs7" localSheetId="0" hidden="1">#REF!</definedName>
    <definedName name="solver_lhs7" hidden="1">#REF!</definedName>
    <definedName name="solver_lhs8" localSheetId="0" hidden="1">#REF!</definedName>
    <definedName name="solver_lhs8" hidden="1">#REF!</definedName>
    <definedName name="solver_lhs9" localSheetId="0" hidden="1">#REF!</definedName>
    <definedName name="solver_lhs9" hidden="1">#REF!</definedName>
    <definedName name="solver_lin" hidden="1">0</definedName>
    <definedName name="solver_num" hidden="1">0</definedName>
    <definedName name="solver_opt" hidden="1">#REF!</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2</definedName>
    <definedName name="solver_rel16" hidden="1">3</definedName>
    <definedName name="solver_rel17" hidden="1">3</definedName>
    <definedName name="solver_rel18" hidden="1">3</definedName>
    <definedName name="solver_rel19" hidden="1">3</definedName>
    <definedName name="solver_rel20" hidden="1">3</definedName>
    <definedName name="solver_rel21" hidden="1">3</definedName>
    <definedName name="solver_rel22" hidden="1">2</definedName>
    <definedName name="solver_rel23" hidden="1">2</definedName>
    <definedName name="solver_rel24" hidden="1">3</definedName>
    <definedName name="solver_rel25" hidden="1">3</definedName>
    <definedName name="solver_rel26" hidden="1">1</definedName>
    <definedName name="solver_rel27" hidden="1">3</definedName>
    <definedName name="solver_rel6" hidden="1">3</definedName>
    <definedName name="solver_rel7" hidden="1">3</definedName>
    <definedName name="solver_rel8" hidden="1">3</definedName>
    <definedName name="solver_rel9" hidden="1">3</definedName>
    <definedName name="solver_rhs10" hidden="1">270</definedName>
    <definedName name="solver_rhs11" hidden="1">10</definedName>
    <definedName name="solver_rhs12" hidden="1">40</definedName>
    <definedName name="solver_rhs13" hidden="1">30</definedName>
    <definedName name="solver_rhs14" hidden="1">20</definedName>
    <definedName name="solver_rhs15" hidden="1">100</definedName>
    <definedName name="solver_rhs16" hidden="1">15</definedName>
    <definedName name="solver_rhs17" hidden="1">10</definedName>
    <definedName name="solver_rhs18" hidden="1">5</definedName>
    <definedName name="solver_rhs19" hidden="1">1</definedName>
    <definedName name="solver_rhs20" hidden="1">1</definedName>
    <definedName name="solver_rhs21" hidden="1">15</definedName>
    <definedName name="solver_rhs22" hidden="1">0</definedName>
    <definedName name="solver_rhs23" hidden="1">0</definedName>
    <definedName name="solver_rhs24" hidden="1">4</definedName>
    <definedName name="solver_rhs25" hidden="1">5</definedName>
    <definedName name="solver_rhs26" hidden="1">3</definedName>
    <definedName name="solver_rhs27" hidden="1">10</definedName>
    <definedName name="solver_rhs6" hidden="1">8.5</definedName>
    <definedName name="solver_rhs7" hidden="1">25</definedName>
    <definedName name="solver_rhs8" hidden="1">110</definedName>
    <definedName name="solver_rhs9" hidden="1">40</definedName>
    <definedName name="solver_typ" hidden="1">3</definedName>
    <definedName name="solver_val" hidden="1">0.1076</definedName>
    <definedName name="StDebtChg" hidden="1">#REF!</definedName>
    <definedName name="StDebtDmy" hidden="1">#REF!,#REF!,#REF!,#REF!,#REF!</definedName>
    <definedName name="STDebtSer" hidden="1">#REF!</definedName>
    <definedName name="stock_adjustment_qtr" localSheetId="0">#REF!</definedName>
    <definedName name="stock_adjustment_qtr">#REF!</definedName>
    <definedName name="Tax_current_n_deferred" localSheetId="0">#REF!</definedName>
    <definedName name="Tax_current_n_deferred">#REF!</definedName>
    <definedName name="Tax_on_dividend_provided" localSheetId="0">#REF!</definedName>
    <definedName name="Tax_on_dividend_provided">#REF!</definedName>
    <definedName name="tax_on_non_recurring_items_qtr" localSheetId="0">#REF!</definedName>
    <definedName name="tax_on_non_recurring_items_qtr">#REF!</definedName>
    <definedName name="tax_provided_qtr" localSheetId="0">#REF!</definedName>
    <definedName name="tax_provided_qtr">#REF!</definedName>
    <definedName name="tax_qtr" localSheetId="0">#REF!</definedName>
    <definedName name="tax_qtr">#REF!</definedName>
    <definedName name="total_amortisation_qtr" localSheetId="0">#REF!</definedName>
    <definedName name="total_amortisation_qtr">#REF!</definedName>
    <definedName name="Total_assets_avg6" localSheetId="0">#REF!</definedName>
    <definedName name="Total_assets_avg6">#REF!</definedName>
    <definedName name="Total_debt6" localSheetId="0">#REF!</definedName>
    <definedName name="Total_debt6">#REF!</definedName>
    <definedName name="total_depreciation_qtr" localSheetId="0">#REF!</definedName>
    <definedName name="total_depreciation_qtr">#REF!</definedName>
    <definedName name="Total_Equity_and_Liablities" localSheetId="0">#REF!</definedName>
    <definedName name="Total_Equity_and_Liablities">#REF!</definedName>
    <definedName name="Total_Equity_shareholders_funds" localSheetId="0">#REF!</definedName>
    <definedName name="Total_Equity_shareholders_funds">#REF!</definedName>
    <definedName name="total_material_cost" localSheetId="0">#REF!</definedName>
    <definedName name="total_material_cost">#REF!</definedName>
    <definedName name="Total_shareholders_funds_avg6" localSheetId="0">#REF!</definedName>
    <definedName name="Total_shareholders_funds_avg6">#REF!</definedName>
    <definedName name="UtilCap" hidden="1">#REF!,#REF!,#REF!,#REF!,#REF!,#REF!,#REF!,#REF!</definedName>
    <definedName name="UtilProd" hidden="1">#REF!,#REF!,#REF!,#REF!,#REF!,#REF!,#REF!,#REF!</definedName>
    <definedName name="Working_Capital" localSheetId="0">#REF!</definedName>
    <definedName name="Working_Capital">#REF!</definedName>
    <definedName name="Working_Capital_ex_Cash_Curr_Invst" localSheetId="0">#REF!</definedName>
    <definedName name="Working_Capital_ex_Cash_Curr_Invst">#REF!</definedName>
    <definedName name="Wtd_avg_shares_m" localSheetId="0">#REF!</definedName>
    <definedName name="Wtd_avg_shares_m">#REF!</definedName>
    <definedName name="wtd_avg_shares_qtr" localSheetId="0">#REF!</definedName>
    <definedName name="wtd_avg_shares_qtr">#REF!</definedName>
    <definedName name="YrRange" hidden="1">#REF!</definedName>
  </definedNames>
  <calcPr calcId="191028"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4" l="1"/>
  <c r="K29" i="4"/>
  <c r="J29" i="4"/>
  <c r="I29" i="4"/>
  <c r="H29" i="4"/>
  <c r="G29" i="4"/>
  <c r="F29" i="4"/>
  <c r="E29" i="4"/>
  <c r="D29" i="4"/>
  <c r="C29" i="4"/>
  <c r="D30" i="4"/>
  <c r="E30" i="4"/>
  <c r="F30" i="4"/>
  <c r="G30" i="4"/>
  <c r="H30" i="4"/>
  <c r="I30" i="4"/>
  <c r="J30" i="4"/>
  <c r="K30" i="4"/>
  <c r="L30" i="4"/>
  <c r="C30" i="4"/>
  <c r="I126" i="7"/>
  <c r="I115" i="7"/>
  <c r="B16" i="85"/>
  <c r="B15" i="85"/>
  <c r="D11" i="85"/>
  <c r="F11" i="85"/>
  <c r="C8" i="85"/>
  <c r="D8" i="85" s="1"/>
  <c r="C10" i="85"/>
  <c r="D10" i="85" s="1"/>
  <c r="C11" i="85"/>
  <c r="E11" i="85"/>
  <c r="B8" i="85"/>
  <c r="B10" i="85"/>
  <c r="B11" i="85"/>
  <c r="A9" i="85"/>
  <c r="B9" i="85" s="1"/>
  <c r="Z147" i="3"/>
  <c r="C9" i="85" l="1"/>
  <c r="A7" i="85"/>
  <c r="E10" i="85"/>
  <c r="F10" i="85" s="1"/>
  <c r="E8" i="85"/>
  <c r="F8" i="85" s="1"/>
  <c r="I30" i="84"/>
  <c r="C30" i="84"/>
  <c r="D30" i="84" s="1"/>
  <c r="E30" i="84" s="1"/>
  <c r="E6" i="84"/>
  <c r="I29" i="84"/>
  <c r="I28" i="84"/>
  <c r="I27" i="84"/>
  <c r="C7" i="85" l="1"/>
  <c r="B7" i="85"/>
  <c r="E9" i="85"/>
  <c r="F9" i="85" s="1"/>
  <c r="D9" i="85"/>
  <c r="I26" i="84"/>
  <c r="E8" i="84"/>
  <c r="E5" i="84"/>
  <c r="D7" i="85" l="1"/>
  <c r="E7" i="85"/>
  <c r="F7" i="85" s="1"/>
  <c r="C29" i="84"/>
  <c r="D29" i="84" s="1"/>
  <c r="E29" i="84" s="1"/>
  <c r="C28" i="84"/>
  <c r="D28" i="84" s="1"/>
  <c r="E28" i="84" s="1"/>
  <c r="C27" i="84"/>
  <c r="D27" i="84" s="1"/>
  <c r="E27" i="84" s="1"/>
  <c r="E26" i="84"/>
  <c r="D26" i="84"/>
  <c r="C26" i="84"/>
  <c r="B11" i="84"/>
  <c r="B10" i="84"/>
  <c r="B9" i="84"/>
  <c r="B6" i="84"/>
  <c r="B17" i="84" s="1"/>
  <c r="AI143" i="3"/>
  <c r="AK143" i="3"/>
  <c r="AJ143" i="3"/>
  <c r="AH143" i="3"/>
  <c r="BJ115" i="3"/>
  <c r="BJ120" i="3"/>
  <c r="BJ110" i="3"/>
  <c r="C8" i="83"/>
  <c r="C3" i="83"/>
  <c r="C4" i="83"/>
  <c r="C5" i="83"/>
  <c r="C6" i="83"/>
  <c r="C7" i="83"/>
  <c r="C2" i="83"/>
  <c r="J113" i="7"/>
  <c r="J115" i="7"/>
  <c r="I114" i="7"/>
  <c r="L89" i="7"/>
  <c r="K89" i="7"/>
  <c r="AQ146" i="3"/>
  <c r="AR146" i="3"/>
  <c r="AS146" i="3"/>
  <c r="AP146" i="3"/>
  <c r="AM146" i="3"/>
  <c r="AN146" i="3"/>
  <c r="AO146" i="3"/>
  <c r="AL146" i="3"/>
  <c r="J88" i="7"/>
  <c r="J84" i="7"/>
  <c r="J17" i="7"/>
  <c r="BM5" i="2"/>
  <c r="H12" i="80"/>
  <c r="F14" i="80"/>
  <c r="G14" i="80"/>
  <c r="E14" i="80"/>
  <c r="I131" i="7"/>
  <c r="I130" i="7"/>
  <c r="C4" i="5"/>
  <c r="C32" i="5" s="1"/>
  <c r="AZ5" i="12"/>
  <c r="E44" i="5"/>
  <c r="D44" i="5"/>
  <c r="C44" i="5"/>
  <c r="D35" i="5" a="1"/>
  <c r="D35" i="5" s="1"/>
  <c r="D33" i="5" a="1"/>
  <c r="D33" i="5" s="1"/>
  <c r="D30" i="5" a="1"/>
  <c r="D30" i="5" s="1"/>
  <c r="G33" i="5" a="1"/>
  <c r="G33" i="5" s="1"/>
  <c r="G31" i="5" a="1"/>
  <c r="G31" i="5" s="1"/>
  <c r="G32" i="5" a="1"/>
  <c r="G32" i="5" s="1"/>
  <c r="B35" i="84" l="1"/>
  <c r="B34" i="84"/>
  <c r="B18" i="84"/>
  <c r="B19" i="84" s="1"/>
  <c r="O42" i="8"/>
  <c r="BM65" i="2"/>
  <c r="W33" i="5" l="1"/>
  <c r="Z33" i="5" s="1"/>
  <c r="X33" i="5"/>
  <c r="AA33" i="5" s="1"/>
  <c r="Y33" i="5"/>
  <c r="AB33" i="5" s="1"/>
  <c r="M38" i="80"/>
  <c r="AQ92" i="2"/>
  <c r="E15" i="82"/>
  <c r="L88" i="7"/>
  <c r="L40" i="4"/>
  <c r="L38" i="4"/>
  <c r="L41" i="4" s="1"/>
  <c r="Q23" i="5" s="1"/>
  <c r="AP60" i="2"/>
  <c r="I85" i="7"/>
  <c r="I84" i="7"/>
  <c r="J43" i="7"/>
  <c r="D39" i="82"/>
  <c r="J5" i="7"/>
  <c r="E36" i="82"/>
  <c r="D34" i="82"/>
  <c r="J12" i="7"/>
  <c r="K12" i="7" s="1"/>
  <c r="L12" i="7" s="1"/>
  <c r="D25" i="82"/>
  <c r="C25" i="82"/>
  <c r="I144" i="7"/>
  <c r="I138" i="7"/>
  <c r="I117" i="7"/>
  <c r="I110" i="7"/>
  <c r="I100" i="7"/>
  <c r="I73" i="7"/>
  <c r="L73" i="7"/>
  <c r="BP4" i="2"/>
  <c r="BP46" i="2"/>
  <c r="BA103" i="2"/>
  <c r="BA35" i="2"/>
  <c r="AZ35" i="2"/>
  <c r="AY35" i="2"/>
  <c r="AX35" i="2"/>
  <c r="BM20" i="2"/>
  <c r="BM81" i="2" s="1"/>
  <c r="BL20" i="2"/>
  <c r="BL27" i="2" s="1"/>
  <c r="BL29" i="2" s="1"/>
  <c r="AH304" i="12"/>
  <c r="AG169" i="3"/>
  <c r="AG154" i="3"/>
  <c r="AG77" i="3"/>
  <c r="AG75" i="3" s="1"/>
  <c r="AF77" i="3"/>
  <c r="AF75" i="3" s="1"/>
  <c r="AG68" i="3"/>
  <c r="AF68" i="3"/>
  <c r="AG61" i="3"/>
  <c r="AF61" i="3"/>
  <c r="AG56" i="3"/>
  <c r="AF56" i="3"/>
  <c r="AS73" i="3"/>
  <c r="AR73" i="3"/>
  <c r="AQ73" i="3"/>
  <c r="AP73" i="3"/>
  <c r="O5" i="8"/>
  <c r="O27" i="8" s="1"/>
  <c r="O110" i="8"/>
  <c r="O109" i="8"/>
  <c r="O75" i="8"/>
  <c r="O63" i="8"/>
  <c r="I28" i="7"/>
  <c r="I33" i="7" s="1"/>
  <c r="I7" i="7"/>
  <c r="AS305" i="12"/>
  <c r="AS286" i="12"/>
  <c r="AR286" i="12"/>
  <c r="AR278" i="12"/>
  <c r="AS278" i="12"/>
  <c r="AS256" i="12"/>
  <c r="AS250" i="12"/>
  <c r="AS249" i="12"/>
  <c r="AS255" i="12" s="1"/>
  <c r="AS233" i="12"/>
  <c r="AR70" i="12"/>
  <c r="AQ70" i="12"/>
  <c r="AS70" i="12"/>
  <c r="AS52" i="12"/>
  <c r="AR41" i="12"/>
  <c r="AQ41" i="12"/>
  <c r="AP41" i="12"/>
  <c r="AO41" i="12"/>
  <c r="AS41" i="12"/>
  <c r="AC294" i="12"/>
  <c r="AF294" i="12"/>
  <c r="AG294" i="12"/>
  <c r="AC286" i="12"/>
  <c r="AG286" i="12"/>
  <c r="AF286" i="12"/>
  <c r="AC278" i="12"/>
  <c r="AG278" i="12"/>
  <c r="AF278" i="12"/>
  <c r="AC267" i="12"/>
  <c r="AF267" i="12"/>
  <c r="AG267" i="12"/>
  <c r="BL34" i="2"/>
  <c r="BM34" i="2"/>
  <c r="BM38" i="2" s="1"/>
  <c r="AO20" i="2"/>
  <c r="AG165" i="3" s="1"/>
  <c r="BM13" i="2"/>
  <c r="BM138" i="2" s="1"/>
  <c r="BM215" i="2"/>
  <c r="BM206" i="2"/>
  <c r="BM205" i="2"/>
  <c r="BM204" i="2"/>
  <c r="BM203" i="2"/>
  <c r="BM202" i="2"/>
  <c r="BM201" i="2"/>
  <c r="BM200" i="2"/>
  <c r="BM199" i="2"/>
  <c r="BM198" i="2"/>
  <c r="BM197" i="2"/>
  <c r="BM196" i="2"/>
  <c r="BM195" i="2"/>
  <c r="BM194" i="2"/>
  <c r="BM193" i="2"/>
  <c r="BM192" i="2"/>
  <c r="BM191" i="2"/>
  <c r="BM190" i="2"/>
  <c r="BM189" i="2"/>
  <c r="BM188" i="2"/>
  <c r="BM187" i="2"/>
  <c r="BM186" i="2"/>
  <c r="BM185" i="2"/>
  <c r="BM184" i="2"/>
  <c r="BM183" i="2"/>
  <c r="BM182" i="2"/>
  <c r="BM181" i="2"/>
  <c r="BM178" i="2"/>
  <c r="BM148" i="2"/>
  <c r="BM147" i="2"/>
  <c r="BM146" i="2"/>
  <c r="BM144" i="2"/>
  <c r="BM149" i="2" s="1"/>
  <c r="BM134" i="2"/>
  <c r="BM132" i="2"/>
  <c r="BM133" i="2" s="1"/>
  <c r="BM80" i="2"/>
  <c r="BM43" i="2"/>
  <c r="BM23" i="2"/>
  <c r="BM6" i="2"/>
  <c r="AN71" i="2"/>
  <c r="AO71" i="2" s="1"/>
  <c r="AN70" i="2"/>
  <c r="AO70" i="2" s="1"/>
  <c r="AO34" i="2"/>
  <c r="AK20" i="2"/>
  <c r="AK27" i="2" s="1"/>
  <c r="AO3" i="2"/>
  <c r="AO4" i="2"/>
  <c r="AO7" i="2"/>
  <c r="AO6" i="2"/>
  <c r="AO238" i="2"/>
  <c r="AO101" i="2"/>
  <c r="AO99" i="2"/>
  <c r="AO102" i="2" s="1"/>
  <c r="AO80" i="2"/>
  <c r="AO53" i="2"/>
  <c r="AO49" i="2"/>
  <c r="AO43" i="2"/>
  <c r="AO35" i="2"/>
  <c r="AO23" i="2"/>
  <c r="AO18" i="2"/>
  <c r="AS324" i="12"/>
  <c r="AS321" i="12"/>
  <c r="AS318" i="12"/>
  <c r="AS315" i="12"/>
  <c r="AS293" i="12"/>
  <c r="AS292" i="12"/>
  <c r="AS291" i="12"/>
  <c r="AS290" i="12"/>
  <c r="AS199" i="12"/>
  <c r="AS198" i="12"/>
  <c r="AS197" i="12"/>
  <c r="AS189" i="12"/>
  <c r="AS65" i="12"/>
  <c r="AS60" i="12"/>
  <c r="AS36" i="12"/>
  <c r="AS35" i="12"/>
  <c r="AG327" i="12"/>
  <c r="AS327" i="12" s="1"/>
  <c r="AG325" i="12"/>
  <c r="AG324" i="12"/>
  <c r="AG322" i="12"/>
  <c r="AG321" i="12"/>
  <c r="AG319" i="12"/>
  <c r="AG318" i="12"/>
  <c r="AG316" i="12"/>
  <c r="AG315" i="12"/>
  <c r="AG306" i="12"/>
  <c r="AG305" i="12"/>
  <c r="AG293" i="12"/>
  <c r="AG292" i="12"/>
  <c r="AG291" i="12"/>
  <c r="AG290" i="12"/>
  <c r="AG259" i="12"/>
  <c r="AS259" i="12" s="1"/>
  <c r="AG255" i="12"/>
  <c r="AG253" i="12"/>
  <c r="AG252" i="12"/>
  <c r="AG251" i="12"/>
  <c r="AG235" i="12"/>
  <c r="AG234" i="12"/>
  <c r="AG199" i="12"/>
  <c r="AG200" i="12" s="1"/>
  <c r="AG198" i="12"/>
  <c r="AG197" i="12"/>
  <c r="AG189" i="12"/>
  <c r="AG107" i="12"/>
  <c r="AG70" i="12"/>
  <c r="AG65" i="12"/>
  <c r="AG60" i="12"/>
  <c r="AG52" i="12"/>
  <c r="AG41" i="12"/>
  <c r="AG35" i="12"/>
  <c r="AG4" i="12"/>
  <c r="AG129" i="12" s="1"/>
  <c r="AG297" i="12" l="1"/>
  <c r="AG73" i="3"/>
  <c r="L45" i="4"/>
  <c r="K88" i="7"/>
  <c r="R50" i="8"/>
  <c r="BM27" i="2"/>
  <c r="I132" i="7" s="1"/>
  <c r="BL39" i="2"/>
  <c r="AG60" i="3"/>
  <c r="AG65" i="3" s="1"/>
  <c r="AG64" i="3" s="1"/>
  <c r="AO81" i="2"/>
  <c r="AG155" i="3"/>
  <c r="AO27" i="2"/>
  <c r="AO29" i="2" s="1"/>
  <c r="AO39" i="2" s="1"/>
  <c r="AG166" i="3"/>
  <c r="AG171" i="3"/>
  <c r="O44" i="8"/>
  <c r="O47" i="8" s="1"/>
  <c r="O85" i="8" s="1"/>
  <c r="AS295" i="12"/>
  <c r="AG295" i="12"/>
  <c r="BM135" i="2"/>
  <c r="BM18" i="2"/>
  <c r="BM21" i="2"/>
  <c r="BM207" i="2"/>
  <c r="AO37" i="2"/>
  <c r="AO21" i="2"/>
  <c r="AG126" i="12"/>
  <c r="AG127" i="12"/>
  <c r="AG152" i="12"/>
  <c r="AG206" i="12"/>
  <c r="AG205" i="12"/>
  <c r="AG73" i="12"/>
  <c r="AG128" i="12"/>
  <c r="AG75" i="12"/>
  <c r="AG108" i="3" s="1"/>
  <c r="AG78" i="12"/>
  <c r="AG123" i="3" s="1"/>
  <c r="AH123" i="3" s="1"/>
  <c r="AI123" i="3" s="1"/>
  <c r="AG167" i="12"/>
  <c r="AG76" i="12"/>
  <c r="AG113" i="3" s="1"/>
  <c r="AH113" i="3" s="1"/>
  <c r="AG130" i="12"/>
  <c r="AG77" i="12"/>
  <c r="AG118" i="3" s="1"/>
  <c r="AH118" i="3" s="1"/>
  <c r="AG300" i="12"/>
  <c r="AG168" i="12"/>
  <c r="AG172" i="12"/>
  <c r="AG173" i="12"/>
  <c r="AG309" i="12"/>
  <c r="AG310" i="12"/>
  <c r="AG149" i="12"/>
  <c r="AG203" i="12"/>
  <c r="AG148" i="12"/>
  <c r="AG150" i="12"/>
  <c r="AG204" i="12"/>
  <c r="AS200" i="12"/>
  <c r="AG74" i="12"/>
  <c r="BO44" i="2"/>
  <c r="AG102" i="3" l="1"/>
  <c r="AO30" i="2"/>
  <c r="AG174" i="3" s="1"/>
  <c r="O79" i="8"/>
  <c r="O84" i="8"/>
  <c r="AG169" i="12"/>
  <c r="AO40" i="2"/>
  <c r="AO51" i="2"/>
  <c r="AG174" i="12"/>
  <c r="AG151" i="12"/>
  <c r="AG131" i="12"/>
  <c r="AG80" i="12"/>
  <c r="AF169" i="3"/>
  <c r="AF154" i="3"/>
  <c r="AO82" i="2" l="1"/>
  <c r="AO31" i="2"/>
  <c r="AO83" i="2"/>
  <c r="AG176" i="3"/>
  <c r="AO61" i="2"/>
  <c r="AO66" i="2" s="1"/>
  <c r="AO58" i="2"/>
  <c r="AO52" i="2"/>
  <c r="AO57" i="2"/>
  <c r="AB34" i="12"/>
  <c r="AE34" i="12"/>
  <c r="AD113" i="3"/>
  <c r="AA113" i="3"/>
  <c r="Z113" i="3"/>
  <c r="Y113" i="3"/>
  <c r="X113" i="3"/>
  <c r="W113" i="3"/>
  <c r="V113" i="3"/>
  <c r="U113" i="3"/>
  <c r="T113" i="3"/>
  <c r="S113" i="3"/>
  <c r="R113" i="3"/>
  <c r="Q113" i="3"/>
  <c r="P113" i="3"/>
  <c r="O113" i="3"/>
  <c r="N113" i="3"/>
  <c r="M113" i="3"/>
  <c r="L113" i="3"/>
  <c r="K113" i="3"/>
  <c r="J113" i="3"/>
  <c r="I113" i="3"/>
  <c r="H113" i="3"/>
  <c r="G113" i="3"/>
  <c r="F113" i="3"/>
  <c r="E113" i="3"/>
  <c r="D113" i="3"/>
  <c r="C113" i="3"/>
  <c r="A113" i="3"/>
  <c r="AA116" i="3"/>
  <c r="Z116" i="3"/>
  <c r="Y116" i="3"/>
  <c r="X116" i="3"/>
  <c r="W116" i="3"/>
  <c r="V116" i="3"/>
  <c r="U116" i="3"/>
  <c r="T116" i="3"/>
  <c r="S116" i="3"/>
  <c r="R116" i="3"/>
  <c r="Q116" i="3"/>
  <c r="P116" i="3"/>
  <c r="O116" i="3"/>
  <c r="N116" i="3"/>
  <c r="M116" i="3"/>
  <c r="L116" i="3"/>
  <c r="K116" i="3"/>
  <c r="J116" i="3"/>
  <c r="I116" i="3"/>
  <c r="H116" i="3"/>
  <c r="G116" i="3"/>
  <c r="F116" i="3"/>
  <c r="H115" i="3"/>
  <c r="G115" i="3"/>
  <c r="F115" i="3"/>
  <c r="H114" i="3"/>
  <c r="G114" i="3"/>
  <c r="F114" i="3"/>
  <c r="AF259" i="12"/>
  <c r="AF252" i="12"/>
  <c r="AP70" i="2" l="1"/>
  <c r="AP71" i="2"/>
  <c r="BE113" i="3"/>
  <c r="BB113" i="3"/>
  <c r="AZ113" i="3"/>
  <c r="BC113" i="3"/>
  <c r="BA113" i="3"/>
  <c r="BD113" i="3"/>
  <c r="AN34" i="2"/>
  <c r="AO36" i="2" s="1"/>
  <c r="AN20" i="2"/>
  <c r="AN245" i="2"/>
  <c r="AN238" i="2"/>
  <c r="AN101" i="2"/>
  <c r="AN99" i="2"/>
  <c r="AN102" i="2" s="1"/>
  <c r="AN80" i="2"/>
  <c r="AN53" i="2"/>
  <c r="AN49" i="2"/>
  <c r="AN43" i="2"/>
  <c r="AN35" i="2"/>
  <c r="AN23" i="2"/>
  <c r="AN18" i="2"/>
  <c r="AN7" i="2"/>
  <c r="AN6" i="2"/>
  <c r="AN4" i="2"/>
  <c r="AN3" i="2"/>
  <c r="AE35" i="12"/>
  <c r="BE114" i="3" l="1"/>
  <c r="AN81" i="2"/>
  <c r="AF165" i="3"/>
  <c r="AG167" i="3" s="1"/>
  <c r="AN37" i="2"/>
  <c r="BC114" i="3"/>
  <c r="BA114" i="3"/>
  <c r="BB114" i="3"/>
  <c r="BD114" i="3"/>
  <c r="AO72" i="2"/>
  <c r="AO67" i="2"/>
  <c r="AO84" i="2" s="1"/>
  <c r="AO73" i="2"/>
  <c r="AN27" i="2"/>
  <c r="AN29" i="2" s="1"/>
  <c r="AN21" i="2"/>
  <c r="AF327" i="12"/>
  <c r="AG328" i="12" s="1"/>
  <c r="AF325" i="12"/>
  <c r="AF324" i="12"/>
  <c r="AF322" i="12"/>
  <c r="AF321" i="12"/>
  <c r="AF319" i="12"/>
  <c r="AF318" i="12"/>
  <c r="AF316" i="12"/>
  <c r="AF315" i="12"/>
  <c r="AF306" i="12"/>
  <c r="AF305" i="12"/>
  <c r="AF293" i="12"/>
  <c r="AF292" i="12"/>
  <c r="AF291" i="12"/>
  <c r="AF290" i="12"/>
  <c r="AF255" i="12"/>
  <c r="AF253" i="12"/>
  <c r="AF251" i="12"/>
  <c r="AF235" i="12"/>
  <c r="AF234" i="12"/>
  <c r="AF199" i="12"/>
  <c r="AF198" i="12"/>
  <c r="AF197" i="12"/>
  <c r="AF189" i="12"/>
  <c r="AF107" i="12"/>
  <c r="AF70" i="12"/>
  <c r="AF65" i="12"/>
  <c r="AF60" i="12"/>
  <c r="AF52" i="12"/>
  <c r="AF41" i="12"/>
  <c r="AF35" i="12"/>
  <c r="B55" i="82"/>
  <c r="B66" i="82"/>
  <c r="B73" i="82"/>
  <c r="D97" i="82"/>
  <c r="D96" i="82"/>
  <c r="D95" i="82"/>
  <c r="D94" i="82"/>
  <c r="C97" i="82"/>
  <c r="B97" i="82"/>
  <c r="D91" i="82"/>
  <c r="C91" i="82"/>
  <c r="B91" i="82"/>
  <c r="D90" i="82"/>
  <c r="D89" i="82"/>
  <c r="D88" i="82"/>
  <c r="D87" i="82"/>
  <c r="C90" i="82"/>
  <c r="C89" i="82"/>
  <c r="C88" i="82"/>
  <c r="C87" i="82"/>
  <c r="D84" i="82"/>
  <c r="B80" i="82"/>
  <c r="C42" i="82"/>
  <c r="B45" i="82" s="1"/>
  <c r="C72" i="82"/>
  <c r="C71" i="82"/>
  <c r="C70" i="82"/>
  <c r="C73" i="82" s="1"/>
  <c r="C65" i="82"/>
  <c r="C64" i="82"/>
  <c r="C63" i="82"/>
  <c r="C62" i="82"/>
  <c r="C61" i="82"/>
  <c r="C60" i="82"/>
  <c r="C59" i="82"/>
  <c r="C54" i="82"/>
  <c r="C53" i="82"/>
  <c r="C52" i="82"/>
  <c r="D14" i="82"/>
  <c r="D13" i="82"/>
  <c r="D10" i="82"/>
  <c r="C8" i="82"/>
  <c r="C9" i="82" s="1"/>
  <c r="B8" i="82"/>
  <c r="B9" i="82" s="1"/>
  <c r="D7" i="82"/>
  <c r="D6" i="82"/>
  <c r="C5" i="82"/>
  <c r="B5" i="82"/>
  <c r="D4" i="82"/>
  <c r="D3" i="82"/>
  <c r="M39" i="80"/>
  <c r="N39" i="80" s="1"/>
  <c r="M42" i="80"/>
  <c r="M43" i="80" s="1"/>
  <c r="M45" i="80"/>
  <c r="M46" i="80"/>
  <c r="N46" i="80" s="1"/>
  <c r="L36" i="80"/>
  <c r="H26" i="80"/>
  <c r="H27" i="80"/>
  <c r="I25" i="80"/>
  <c r="D36" i="80"/>
  <c r="D20" i="80" s="1"/>
  <c r="D19" i="80"/>
  <c r="E40" i="80"/>
  <c r="E38" i="80"/>
  <c r="E34" i="80"/>
  <c r="E36" i="80" s="1"/>
  <c r="D29" i="80"/>
  <c r="D28" i="80"/>
  <c r="D30" i="80" s="1"/>
  <c r="D18" i="80"/>
  <c r="D24" i="80" s="1"/>
  <c r="D25" i="80" s="1"/>
  <c r="J43" i="80" s="1"/>
  <c r="D8" i="80"/>
  <c r="D10" i="80" s="1"/>
  <c r="E46" i="80" l="1"/>
  <c r="E47" i="80" s="1"/>
  <c r="E48" i="80" s="1"/>
  <c r="D31" i="80"/>
  <c r="I43" i="80" s="1"/>
  <c r="AN30" i="2"/>
  <c r="AF174" i="3" s="1"/>
  <c r="AN39" i="2"/>
  <c r="AF295" i="12"/>
  <c r="AF297" i="12"/>
  <c r="AF200" i="12"/>
  <c r="C66" i="82"/>
  <c r="D5" i="82"/>
  <c r="C55" i="82"/>
  <c r="B47" i="82"/>
  <c r="B43" i="82"/>
  <c r="B46" i="82"/>
  <c r="B11" i="82"/>
  <c r="B12" i="82" s="1"/>
  <c r="B44" i="82"/>
  <c r="C11" i="82"/>
  <c r="D8" i="82"/>
  <c r="D9" i="82" s="1"/>
  <c r="N42" i="80"/>
  <c r="N47" i="80" s="1"/>
  <c r="M47" i="80"/>
  <c r="M48" i="80" s="1"/>
  <c r="M49" i="80"/>
  <c r="E24" i="80"/>
  <c r="F24" i="80"/>
  <c r="E30" i="80"/>
  <c r="F30" i="80" s="1"/>
  <c r="E39" i="80"/>
  <c r="E41" i="80" s="1"/>
  <c r="E49" i="80"/>
  <c r="E50" i="80" s="1"/>
  <c r="E42" i="80"/>
  <c r="E43" i="80" s="1"/>
  <c r="E44" i="80" s="1"/>
  <c r="H123" i="7"/>
  <c r="AJ77" i="2"/>
  <c r="AM33" i="2"/>
  <c r="AM245" i="2"/>
  <c r="AE169" i="3"/>
  <c r="AE154" i="3"/>
  <c r="AD154" i="3"/>
  <c r="AE77" i="3"/>
  <c r="AE75" i="3" s="1"/>
  <c r="AE68" i="3"/>
  <c r="AE61" i="3"/>
  <c r="AE56" i="3"/>
  <c r="AF60" i="3" s="1"/>
  <c r="AF65" i="3" s="1"/>
  <c r="AF64" i="3" s="1"/>
  <c r="AE327" i="12"/>
  <c r="AF328" i="12" s="1"/>
  <c r="AE325" i="12"/>
  <c r="AE324" i="12"/>
  <c r="AE322" i="12"/>
  <c r="AE321" i="12"/>
  <c r="AE319" i="12"/>
  <c r="AE318" i="12"/>
  <c r="AE316" i="12"/>
  <c r="AE315" i="12"/>
  <c r="AE306" i="12"/>
  <c r="AE305" i="12"/>
  <c r="AE293" i="12"/>
  <c r="AE292" i="12"/>
  <c r="AE291" i="12"/>
  <c r="AE290" i="12"/>
  <c r="AE286" i="12"/>
  <c r="AE278" i="12"/>
  <c r="AE259" i="12"/>
  <c r="AE255" i="12"/>
  <c r="AE253" i="12"/>
  <c r="AE252" i="12"/>
  <c r="AE251" i="12"/>
  <c r="AE235" i="12"/>
  <c r="AE234" i="12"/>
  <c r="AE199" i="12"/>
  <c r="AE198" i="12"/>
  <c r="AE197" i="12"/>
  <c r="AE189" i="12"/>
  <c r="AE107" i="12"/>
  <c r="AE70" i="12"/>
  <c r="AE65" i="12"/>
  <c r="AE60" i="12"/>
  <c r="AE52" i="12"/>
  <c r="AE41" i="12"/>
  <c r="AE4" i="12"/>
  <c r="AI71" i="2"/>
  <c r="AI70" i="2"/>
  <c r="AL71" i="2"/>
  <c r="AL70" i="2"/>
  <c r="AL46" i="2"/>
  <c r="A26" i="2"/>
  <c r="A25" i="2"/>
  <c r="AI34" i="2"/>
  <c r="AI20" i="2"/>
  <c r="AI27" i="2" s="1"/>
  <c r="AL20" i="2"/>
  <c r="AL27" i="2" s="1"/>
  <c r="AJ20" i="2"/>
  <c r="AM71" i="2"/>
  <c r="AM70" i="2"/>
  <c r="AM46" i="2"/>
  <c r="AM43" i="2" s="1"/>
  <c r="AL49" i="2"/>
  <c r="AM34" i="2"/>
  <c r="AN36" i="2" s="1"/>
  <c r="AM20" i="2"/>
  <c r="AM27" i="2" s="1"/>
  <c r="AM4" i="2"/>
  <c r="AM3" i="2"/>
  <c r="AM238" i="2"/>
  <c r="AM101" i="2"/>
  <c r="AM99" i="2"/>
  <c r="AM102" i="2" s="1"/>
  <c r="AM80" i="2"/>
  <c r="AM53" i="2"/>
  <c r="AM49" i="2"/>
  <c r="AM35" i="2"/>
  <c r="AM23" i="2"/>
  <c r="AM18" i="2"/>
  <c r="AM7" i="2"/>
  <c r="AM6" i="2"/>
  <c r="D46" i="7"/>
  <c r="AN31" i="2" l="1"/>
  <c r="BM70" i="2"/>
  <c r="AE165" i="3"/>
  <c r="AF167" i="3" s="1"/>
  <c r="BM71" i="2"/>
  <c r="AN82" i="2"/>
  <c r="AE301" i="12"/>
  <c r="AN51" i="2"/>
  <c r="AN52" i="2" s="1"/>
  <c r="AO41" i="2"/>
  <c r="AE155" i="3"/>
  <c r="AE173" i="12"/>
  <c r="AE76" i="12"/>
  <c r="AE113" i="3" s="1"/>
  <c r="AE126" i="12"/>
  <c r="AE127" i="12"/>
  <c r="AE128" i="12"/>
  <c r="AE297" i="12"/>
  <c r="AE295" i="12"/>
  <c r="AE300" i="12"/>
  <c r="AN40" i="2"/>
  <c r="AE148" i="12"/>
  <c r="AE130" i="12"/>
  <c r="AE310" i="12"/>
  <c r="AE129" i="12"/>
  <c r="AE203" i="12"/>
  <c r="AE204" i="12"/>
  <c r="AE205" i="12"/>
  <c r="B15" i="82"/>
  <c r="B16" i="82" s="1"/>
  <c r="C15" i="82"/>
  <c r="C16" i="82" s="1"/>
  <c r="C12" i="82"/>
  <c r="D11" i="82"/>
  <c r="D12" i="82" s="1"/>
  <c r="N48" i="80"/>
  <c r="N49" i="80" s="1"/>
  <c r="M50" i="80"/>
  <c r="M53" i="80"/>
  <c r="E52" i="80"/>
  <c r="F50" i="80"/>
  <c r="AE200" i="12"/>
  <c r="AE206" i="12" s="1"/>
  <c r="AE73" i="12"/>
  <c r="AE149" i="12"/>
  <c r="AE167" i="12"/>
  <c r="AE74" i="12"/>
  <c r="AE150" i="12"/>
  <c r="AE168" i="12"/>
  <c r="AE75" i="12"/>
  <c r="AE77" i="12"/>
  <c r="AE152" i="12"/>
  <c r="AE172" i="12"/>
  <c r="AE309" i="12"/>
  <c r="AE78" i="12"/>
  <c r="AI46" i="2"/>
  <c r="AI43" i="2" s="1"/>
  <c r="AM37" i="2"/>
  <c r="AM81" i="2"/>
  <c r="AM29" i="2"/>
  <c r="AM21" i="2"/>
  <c r="H107" i="7"/>
  <c r="H103" i="7"/>
  <c r="G107" i="7"/>
  <c r="G103" i="7"/>
  <c r="F107" i="7"/>
  <c r="F103" i="7"/>
  <c r="E107" i="7"/>
  <c r="E103" i="7"/>
  <c r="H81" i="7"/>
  <c r="C111" i="7"/>
  <c r="D111" i="7"/>
  <c r="E111" i="7"/>
  <c r="H111" i="7"/>
  <c r="F111" i="7"/>
  <c r="G111" i="7"/>
  <c r="G126" i="7"/>
  <c r="F126" i="7"/>
  <c r="E126" i="7"/>
  <c r="AX284" i="12"/>
  <c r="AW284" i="12"/>
  <c r="AV284" i="12"/>
  <c r="AU284" i="12"/>
  <c r="AX283" i="12"/>
  <c r="AW283" i="12"/>
  <c r="AV283" i="12"/>
  <c r="AU283" i="12"/>
  <c r="AX282" i="12"/>
  <c r="AW282" i="12"/>
  <c r="AV282" i="12"/>
  <c r="AU282" i="12"/>
  <c r="AX281" i="12"/>
  <c r="AW281" i="12"/>
  <c r="AV281" i="12"/>
  <c r="AU281" i="12"/>
  <c r="AU276" i="12"/>
  <c r="AU275" i="12"/>
  <c r="AU274" i="12"/>
  <c r="AU273" i="12"/>
  <c r="AV276" i="12"/>
  <c r="AV275" i="12"/>
  <c r="AV274" i="12"/>
  <c r="AV273" i="12"/>
  <c r="AW276" i="12"/>
  <c r="AW275" i="12"/>
  <c r="AW274" i="12"/>
  <c r="AW273" i="12"/>
  <c r="AX274" i="12"/>
  <c r="AX275" i="12"/>
  <c r="AX276" i="12"/>
  <c r="AX273" i="12"/>
  <c r="AN290" i="12"/>
  <c r="AN291" i="12"/>
  <c r="AN292" i="12"/>
  <c r="AN293" i="12"/>
  <c r="AO290" i="12"/>
  <c r="AP290" i="12"/>
  <c r="AO291" i="12"/>
  <c r="AP291" i="12"/>
  <c r="AO292" i="12"/>
  <c r="AP292" i="12"/>
  <c r="AO293" i="12"/>
  <c r="AP293" i="12"/>
  <c r="AQ293" i="12"/>
  <c r="AQ292" i="12"/>
  <c r="AQ291" i="12"/>
  <c r="AQ290" i="12"/>
  <c r="AR293" i="12"/>
  <c r="AR292" i="12"/>
  <c r="AR291" i="12"/>
  <c r="AR290" i="12"/>
  <c r="AN286" i="12"/>
  <c r="AO286" i="12"/>
  <c r="AP286" i="12"/>
  <c r="AQ286" i="12"/>
  <c r="AO278" i="12"/>
  <c r="AP278" i="12"/>
  <c r="AQ278" i="12"/>
  <c r="AX278" i="12"/>
  <c r="BF181" i="2"/>
  <c r="BG181" i="2"/>
  <c r="BH181" i="2"/>
  <c r="BK181" i="2"/>
  <c r="BF182" i="2"/>
  <c r="BG182" i="2"/>
  <c r="BH182" i="2"/>
  <c r="BK182" i="2"/>
  <c r="BF183" i="2"/>
  <c r="BG183" i="2"/>
  <c r="BH183" i="2"/>
  <c r="BK183" i="2"/>
  <c r="BF184" i="2"/>
  <c r="BG184" i="2"/>
  <c r="BH184" i="2"/>
  <c r="BK184" i="2"/>
  <c r="BF185" i="2"/>
  <c r="BG185" i="2"/>
  <c r="BH185" i="2"/>
  <c r="BK185" i="2"/>
  <c r="BF186" i="2"/>
  <c r="BG186" i="2"/>
  <c r="BH186" i="2"/>
  <c r="BK186" i="2"/>
  <c r="BF187" i="2"/>
  <c r="BG187" i="2"/>
  <c r="BH187" i="2"/>
  <c r="BK187" i="2"/>
  <c r="BF188" i="2"/>
  <c r="BG188" i="2"/>
  <c r="BH188" i="2"/>
  <c r="BK188" i="2"/>
  <c r="BF189" i="2"/>
  <c r="BG189" i="2"/>
  <c r="BH189" i="2"/>
  <c r="BK189" i="2"/>
  <c r="BF190" i="2"/>
  <c r="BG190" i="2"/>
  <c r="BH190" i="2"/>
  <c r="BK190" i="2"/>
  <c r="BF191" i="2"/>
  <c r="BG191" i="2"/>
  <c r="BH191" i="2"/>
  <c r="BK191" i="2"/>
  <c r="BF192" i="2"/>
  <c r="BG192" i="2"/>
  <c r="BH192" i="2"/>
  <c r="BK192" i="2"/>
  <c r="BF193" i="2"/>
  <c r="BG193" i="2"/>
  <c r="BH193" i="2"/>
  <c r="BK193" i="2"/>
  <c r="BF194" i="2"/>
  <c r="BG194" i="2"/>
  <c r="BH194" i="2"/>
  <c r="BK194" i="2"/>
  <c r="BF195" i="2"/>
  <c r="BG195" i="2"/>
  <c r="BH195" i="2"/>
  <c r="BK195" i="2"/>
  <c r="BF196" i="2"/>
  <c r="BG196" i="2"/>
  <c r="BH196" i="2"/>
  <c r="BK196" i="2"/>
  <c r="BF197" i="2"/>
  <c r="BG197" i="2"/>
  <c r="BH197" i="2"/>
  <c r="BK197" i="2"/>
  <c r="BF198" i="2"/>
  <c r="BG198" i="2"/>
  <c r="BH198" i="2"/>
  <c r="BK198" i="2"/>
  <c r="BF199" i="2"/>
  <c r="BG199" i="2"/>
  <c r="BH199" i="2"/>
  <c r="BK199" i="2"/>
  <c r="BF200" i="2"/>
  <c r="BG200" i="2"/>
  <c r="BH200" i="2"/>
  <c r="BK200" i="2"/>
  <c r="BF201" i="2"/>
  <c r="BG201" i="2"/>
  <c r="BH201" i="2"/>
  <c r="BK201" i="2"/>
  <c r="BF202" i="2"/>
  <c r="BG202" i="2"/>
  <c r="BH202" i="2"/>
  <c r="BK202" i="2"/>
  <c r="BF203" i="2"/>
  <c r="BG203" i="2"/>
  <c r="BH203" i="2"/>
  <c r="BK203" i="2"/>
  <c r="BF204" i="2"/>
  <c r="BG204" i="2"/>
  <c r="BH204" i="2"/>
  <c r="BK204" i="2"/>
  <c r="BF205" i="2"/>
  <c r="BG205" i="2"/>
  <c r="BH205" i="2"/>
  <c r="BK205" i="2"/>
  <c r="BF206" i="2"/>
  <c r="BG206" i="2"/>
  <c r="BH206" i="2"/>
  <c r="BK206" i="2"/>
  <c r="BL182" i="2"/>
  <c r="BL183" i="2"/>
  <c r="BL184" i="2"/>
  <c r="BL185" i="2"/>
  <c r="BL186" i="2"/>
  <c r="BL187" i="2"/>
  <c r="BL188" i="2"/>
  <c r="BL189" i="2"/>
  <c r="BL190" i="2"/>
  <c r="BL191" i="2"/>
  <c r="BL192" i="2"/>
  <c r="BL193" i="2"/>
  <c r="BL194" i="2"/>
  <c r="BL195" i="2"/>
  <c r="BL196" i="2"/>
  <c r="BL197" i="2"/>
  <c r="BL198" i="2"/>
  <c r="BL199" i="2"/>
  <c r="BL200" i="2"/>
  <c r="BL201" i="2"/>
  <c r="BL202" i="2"/>
  <c r="BL203" i="2"/>
  <c r="BL204" i="2"/>
  <c r="BL205" i="2"/>
  <c r="BL206" i="2"/>
  <c r="BL181" i="2"/>
  <c r="BL178" i="2"/>
  <c r="BK146" i="2"/>
  <c r="BK148" i="2"/>
  <c r="BK147" i="2"/>
  <c r="BL148" i="2"/>
  <c r="BL146" i="2"/>
  <c r="BL147" i="2"/>
  <c r="BL144" i="2"/>
  <c r="BL149" i="2" s="1"/>
  <c r="BK144" i="2"/>
  <c r="BK149" i="2" s="1"/>
  <c r="BJ144" i="2"/>
  <c r="BI144" i="2"/>
  <c r="BH144" i="2"/>
  <c r="BG144" i="2"/>
  <c r="BF144" i="2"/>
  <c r="BL215" i="2"/>
  <c r="BF135" i="2"/>
  <c r="BG135" i="2"/>
  <c r="BH135" i="2"/>
  <c r="BI135" i="2"/>
  <c r="BJ135" i="2"/>
  <c r="BK135" i="2"/>
  <c r="BF134" i="2"/>
  <c r="BG134" i="2"/>
  <c r="BH134" i="2"/>
  <c r="BK134" i="2"/>
  <c r="BL134" i="2"/>
  <c r="BL132" i="2"/>
  <c r="BL133" i="2" s="1"/>
  <c r="AE171" i="3" l="1"/>
  <c r="AE166" i="3"/>
  <c r="AF73" i="3"/>
  <c r="BM179" i="2"/>
  <c r="AM30" i="2"/>
  <c r="AM31" i="2" s="1"/>
  <c r="AE174" i="12"/>
  <c r="AN57" i="2"/>
  <c r="AN83" i="2"/>
  <c r="AF176" i="3"/>
  <c r="AX286" i="12"/>
  <c r="AW293" i="12"/>
  <c r="AU286" i="12"/>
  <c r="AV292" i="12"/>
  <c r="AN61" i="2"/>
  <c r="AN66" i="2" s="1"/>
  <c r="AN58" i="2"/>
  <c r="AE123" i="3"/>
  <c r="AE118" i="3"/>
  <c r="AV290" i="12"/>
  <c r="AE108" i="3"/>
  <c r="AE102" i="3"/>
  <c r="AE131" i="12"/>
  <c r="AE96" i="3"/>
  <c r="D15" i="82"/>
  <c r="D16" i="82" s="1"/>
  <c r="N50" i="80"/>
  <c r="N53" i="80"/>
  <c r="AE80" i="12"/>
  <c r="AE151" i="12"/>
  <c r="AE169" i="12"/>
  <c r="AM39" i="2"/>
  <c r="BL207" i="2"/>
  <c r="AV293" i="12"/>
  <c r="AX290" i="12"/>
  <c r="AW286" i="12"/>
  <c r="AX293" i="12"/>
  <c r="AW290" i="12"/>
  <c r="AW278" i="12"/>
  <c r="AO295" i="12"/>
  <c r="AR295" i="12"/>
  <c r="AQ295" i="12"/>
  <c r="AV278" i="12"/>
  <c r="AV286" i="12"/>
  <c r="AX291" i="12"/>
  <c r="AP295" i="12"/>
  <c r="AW291" i="12"/>
  <c r="AV291" i="12"/>
  <c r="AX292" i="12"/>
  <c r="AW292" i="12"/>
  <c r="AM82" i="2" l="1"/>
  <c r="AM51" i="2"/>
  <c r="AM61" i="2" s="1"/>
  <c r="AN41" i="2"/>
  <c r="AE174" i="3"/>
  <c r="AO62" i="2"/>
  <c r="AE129" i="3"/>
  <c r="AM40" i="2"/>
  <c r="AX295" i="12"/>
  <c r="AV295" i="12"/>
  <c r="AW295" i="12"/>
  <c r="AM52" i="2" l="1"/>
  <c r="AN62" i="2"/>
  <c r="AM83" i="2"/>
  <c r="AE176" i="3"/>
  <c r="AN73" i="2"/>
  <c r="AN67" i="2"/>
  <c r="AN84" i="2" s="1"/>
  <c r="AN72" i="2"/>
  <c r="AO68" i="2"/>
  <c r="AE116" i="3"/>
  <c r="AE99" i="3"/>
  <c r="AE126" i="3"/>
  <c r="AE105" i="3"/>
  <c r="AE121" i="3"/>
  <c r="AE111" i="3"/>
  <c r="AM58" i="2"/>
  <c r="AM66" i="2"/>
  <c r="AN68" i="2" s="1"/>
  <c r="AM57" i="2"/>
  <c r="F15" i="72"/>
  <c r="G15" i="72"/>
  <c r="J49" i="72"/>
  <c r="J39" i="72"/>
  <c r="J15" i="72"/>
  <c r="AM67" i="2" l="1"/>
  <c r="AM84" i="2" s="1"/>
  <c r="AM73" i="2"/>
  <c r="AM72" i="2"/>
  <c r="P4" i="2" l="1"/>
  <c r="O4" i="2"/>
  <c r="N4" i="2"/>
  <c r="M4" i="2"/>
  <c r="L4" i="2"/>
  <c r="L5" i="2" s="1"/>
  <c r="K4" i="2"/>
  <c r="K5" i="2" s="1"/>
  <c r="BJ87" i="2"/>
  <c r="BI87" i="2"/>
  <c r="BL87" i="2"/>
  <c r="BF89" i="2"/>
  <c r="BF93" i="2" s="1"/>
  <c r="F121" i="7"/>
  <c r="G172" i="7"/>
  <c r="G183" i="7"/>
  <c r="F183" i="7"/>
  <c r="F172" i="7"/>
  <c r="H158" i="7"/>
  <c r="G158" i="7"/>
  <c r="F158" i="7"/>
  <c r="F81" i="7"/>
  <c r="H100" i="7"/>
  <c r="H98" i="7" s="1"/>
  <c r="H84" i="7"/>
  <c r="G84" i="7"/>
  <c r="BK215" i="2"/>
  <c r="BK178" i="2"/>
  <c r="BJ178" i="2"/>
  <c r="BK132" i="2"/>
  <c r="BK133" i="2" s="1"/>
  <c r="BJ215" i="2"/>
  <c r="BJ132" i="2"/>
  <c r="BK115" i="2"/>
  <c r="BI215" i="2"/>
  <c r="BI178" i="2"/>
  <c r="BI132" i="2"/>
  <c r="BJ115" i="2"/>
  <c r="BJ179" i="2" l="1"/>
  <c r="BK179" i="2"/>
  <c r="BL179" i="2"/>
  <c r="BK207" i="2"/>
  <c r="K40" i="4" l="1"/>
  <c r="K38" i="4"/>
  <c r="K41" i="4" s="1"/>
  <c r="P23" i="5" s="1"/>
  <c r="U43" i="5"/>
  <c r="AD169" i="3"/>
  <c r="AD160" i="3"/>
  <c r="AE160" i="3" s="1"/>
  <c r="AF160" i="3" s="1"/>
  <c r="AG160" i="3" s="1"/>
  <c r="AF37" i="5"/>
  <c r="AF35" i="5"/>
  <c r="AD77" i="3"/>
  <c r="AD75" i="3" s="1"/>
  <c r="AD68" i="3"/>
  <c r="AD61" i="3"/>
  <c r="AD56" i="3"/>
  <c r="AH29" i="5"/>
  <c r="AH21" i="5"/>
  <c r="AH65" i="2"/>
  <c r="AH54" i="2"/>
  <c r="AH46" i="2"/>
  <c r="AH43" i="2" s="1"/>
  <c r="AH41" i="2" s="1"/>
  <c r="AK43" i="2"/>
  <c r="AL43" i="2"/>
  <c r="AH34" i="2"/>
  <c r="AK34" i="2"/>
  <c r="AL34" i="2"/>
  <c r="AM36" i="2" s="1"/>
  <c r="AH20" i="2"/>
  <c r="AL29" i="2"/>
  <c r="AL30" i="2" s="1"/>
  <c r="AD174" i="3" s="1"/>
  <c r="AK238" i="2"/>
  <c r="AJ238" i="2"/>
  <c r="AI238" i="2"/>
  <c r="AH238" i="2"/>
  <c r="AL238" i="2"/>
  <c r="AL18" i="2"/>
  <c r="A19" i="2"/>
  <c r="A20" i="2"/>
  <c r="AD251" i="12"/>
  <c r="AL3" i="2"/>
  <c r="AL101" i="2"/>
  <c r="AL99" i="2"/>
  <c r="AL102" i="2" s="1"/>
  <c r="AL53" i="2"/>
  <c r="AL35" i="2"/>
  <c r="AL23" i="2"/>
  <c r="AL7" i="2"/>
  <c r="AL6" i="2"/>
  <c r="AL4" i="2"/>
  <c r="AD327" i="12"/>
  <c r="AE328" i="12" s="1"/>
  <c r="AD325" i="12"/>
  <c r="AD324" i="12"/>
  <c r="AD322" i="12"/>
  <c r="AD321" i="12"/>
  <c r="AD319" i="12"/>
  <c r="AD318" i="12"/>
  <c r="AD316" i="12"/>
  <c r="AD315" i="12"/>
  <c r="AD306" i="12"/>
  <c r="AD305" i="12"/>
  <c r="AD293" i="12"/>
  <c r="AD292" i="12"/>
  <c r="AD291" i="12"/>
  <c r="AD290" i="12"/>
  <c r="AD286" i="12"/>
  <c r="AD278" i="12"/>
  <c r="AD259" i="12"/>
  <c r="AD255" i="12"/>
  <c r="AD253" i="12"/>
  <c r="AD252" i="12"/>
  <c r="AD235" i="12"/>
  <c r="AD234" i="12"/>
  <c r="AD199" i="12"/>
  <c r="AD200" i="12" s="1"/>
  <c r="AD198" i="12"/>
  <c r="AD197" i="12"/>
  <c r="AD189" i="12"/>
  <c r="AD107" i="12"/>
  <c r="AD70" i="12"/>
  <c r="AD65" i="12"/>
  <c r="AD60" i="12"/>
  <c r="AD52" i="12"/>
  <c r="AD41" i="12"/>
  <c r="AD35" i="12"/>
  <c r="AC253" i="12"/>
  <c r="K73" i="7"/>
  <c r="Q50" i="8" s="1"/>
  <c r="BO46" i="2"/>
  <c r="BO4" i="2"/>
  <c r="AW103" i="2"/>
  <c r="AW35" i="2"/>
  <c r="AV35" i="2"/>
  <c r="AU35" i="2"/>
  <c r="AT35" i="2"/>
  <c r="AO141" i="3"/>
  <c r="AN141" i="3"/>
  <c r="AM141" i="3"/>
  <c r="AL141" i="3"/>
  <c r="AO73" i="3"/>
  <c r="AN73" i="3"/>
  <c r="AM73" i="3"/>
  <c r="AL73" i="3"/>
  <c r="BJ71" i="2"/>
  <c r="BJ91" i="2" s="1"/>
  <c r="A74" i="2"/>
  <c r="A77" i="2"/>
  <c r="A78" i="2"/>
  <c r="AE60" i="3" l="1"/>
  <c r="AE65" i="3" s="1"/>
  <c r="AE64" i="3" s="1"/>
  <c r="AG137" i="3"/>
  <c r="BM4" i="2"/>
  <c r="AE57" i="3"/>
  <c r="K45" i="4"/>
  <c r="AD295" i="12"/>
  <c r="AD165" i="3"/>
  <c r="AL36" i="2"/>
  <c r="AD155" i="3"/>
  <c r="AO140" i="3"/>
  <c r="AL39" i="2"/>
  <c r="AL51" i="2" s="1"/>
  <c r="AL52" i="2" s="1"/>
  <c r="AL21" i="2"/>
  <c r="AL31" i="2"/>
  <c r="AL80" i="2"/>
  <c r="AL81" i="2"/>
  <c r="AL82" i="2"/>
  <c r="AL37" i="2"/>
  <c r="AD297" i="12"/>
  <c r="AR36" i="12"/>
  <c r="AQ36" i="12"/>
  <c r="AP36" i="12"/>
  <c r="AO36" i="12"/>
  <c r="AN36" i="12"/>
  <c r="AM36" i="12"/>
  <c r="AL36" i="12"/>
  <c r="AD171" i="3" l="1"/>
  <c r="AE167" i="3"/>
  <c r="AE73" i="3"/>
  <c r="AL61" i="2"/>
  <c r="AL66" i="2" s="1"/>
  <c r="AL42" i="2"/>
  <c r="AM41" i="2"/>
  <c r="AD166" i="3"/>
  <c r="AL40" i="2"/>
  <c r="AC169" i="3"/>
  <c r="AM68" i="2" l="1"/>
  <c r="AM62" i="2"/>
  <c r="AL57" i="2"/>
  <c r="AL58" i="2"/>
  <c r="AL83" i="2"/>
  <c r="AD176" i="3"/>
  <c r="BE75" i="3"/>
  <c r="AC75" i="3"/>
  <c r="AC77" i="3"/>
  <c r="AC56" i="3"/>
  <c r="AC61" i="3"/>
  <c r="AC68" i="3"/>
  <c r="AR256" i="12"/>
  <c r="AR250" i="12"/>
  <c r="AR249" i="12"/>
  <c r="AR233" i="12"/>
  <c r="AS234" i="12" s="1"/>
  <c r="B47" i="72"/>
  <c r="H15" i="72"/>
  <c r="E15" i="72"/>
  <c r="I15" i="72"/>
  <c r="I23" i="72" s="1"/>
  <c r="I25" i="72" s="1"/>
  <c r="I134" i="72"/>
  <c r="I135" i="72" s="1"/>
  <c r="I105" i="72"/>
  <c r="I100" i="72"/>
  <c r="I103" i="72" s="1"/>
  <c r="I95" i="72"/>
  <c r="I90" i="72"/>
  <c r="I93" i="72" s="1"/>
  <c r="I83" i="72"/>
  <c r="I86" i="72" s="1"/>
  <c r="I49" i="72"/>
  <c r="I31" i="72"/>
  <c r="I33" i="72" s="1"/>
  <c r="I19" i="72"/>
  <c r="I7" i="72"/>
  <c r="I6" i="72"/>
  <c r="I4" i="72"/>
  <c r="AR305" i="12"/>
  <c r="AQ305" i="12"/>
  <c r="AR324" i="12"/>
  <c r="AR321" i="12"/>
  <c r="AR318" i="12"/>
  <c r="AR315" i="12"/>
  <c r="AR199" i="12"/>
  <c r="AR200" i="12" s="1"/>
  <c r="AR198" i="12"/>
  <c r="AR197" i="12"/>
  <c r="AR189" i="12"/>
  <c r="AR65" i="12"/>
  <c r="AR60" i="12"/>
  <c r="AR52" i="12"/>
  <c r="AR35" i="12"/>
  <c r="AR4" i="12"/>
  <c r="AR76" i="12" l="1"/>
  <c r="AR86" i="12" s="1"/>
  <c r="AL73" i="2"/>
  <c r="AL72" i="2"/>
  <c r="AR102" i="12"/>
  <c r="AR104" i="12"/>
  <c r="AR101" i="12"/>
  <c r="AR103" i="12"/>
  <c r="AR105" i="12"/>
  <c r="AR106" i="12"/>
  <c r="AR234" i="12"/>
  <c r="BL135" i="2"/>
  <c r="BM136" i="2" s="1"/>
  <c r="AR149" i="12"/>
  <c r="AD57" i="3"/>
  <c r="AD60" i="3"/>
  <c r="AL67" i="2"/>
  <c r="AL84" i="2" s="1"/>
  <c r="AR129" i="12"/>
  <c r="AR204" i="12"/>
  <c r="AR150" i="12"/>
  <c r="AR172" i="12"/>
  <c r="AR203" i="12"/>
  <c r="AR126" i="12"/>
  <c r="AR130" i="12"/>
  <c r="AR173" i="12"/>
  <c r="AR206" i="12"/>
  <c r="AR128" i="12"/>
  <c r="AR78" i="12"/>
  <c r="AR127" i="12"/>
  <c r="AR255" i="12"/>
  <c r="I73" i="72"/>
  <c r="I98" i="72"/>
  <c r="I110" i="72"/>
  <c r="I26" i="72"/>
  <c r="I35" i="72"/>
  <c r="I47" i="72" s="1"/>
  <c r="I130" i="72"/>
  <c r="I131" i="72" s="1"/>
  <c r="I74" i="72"/>
  <c r="I16" i="72"/>
  <c r="I32" i="72"/>
  <c r="I108" i="72"/>
  <c r="AR205" i="12"/>
  <c r="AR309" i="12"/>
  <c r="AR73" i="12"/>
  <c r="AR74" i="12"/>
  <c r="AR167" i="12"/>
  <c r="AR75" i="12"/>
  <c r="AR148" i="12"/>
  <c r="AR168" i="12"/>
  <c r="AR77" i="12"/>
  <c r="BK46" i="2"/>
  <c r="BK45" i="2"/>
  <c r="BK27" i="2"/>
  <c r="BK15" i="2"/>
  <c r="A64" i="2"/>
  <c r="A65" i="2"/>
  <c r="AG45" i="2"/>
  <c r="AG46" i="2"/>
  <c r="AJ45" i="2"/>
  <c r="AJ99" i="2" s="1"/>
  <c r="AJ102" i="2" s="1"/>
  <c r="AJ46" i="2"/>
  <c r="AJ27" i="2"/>
  <c r="AG15" i="2"/>
  <c r="AJ15" i="2"/>
  <c r="N5" i="8"/>
  <c r="N110" i="8"/>
  <c r="N109" i="8"/>
  <c r="N75" i="8"/>
  <c r="N63" i="8"/>
  <c r="N42" i="8"/>
  <c r="H144" i="7"/>
  <c r="H138" i="7"/>
  <c r="H117" i="7"/>
  <c r="H127" i="7" s="1"/>
  <c r="H85" i="7"/>
  <c r="I86" i="7" s="1"/>
  <c r="H7" i="7"/>
  <c r="BL60" i="2"/>
  <c r="H130" i="7"/>
  <c r="AK101" i="2"/>
  <c r="AK99" i="2"/>
  <c r="AK102" i="2" s="1"/>
  <c r="AK53" i="2"/>
  <c r="AK36" i="2"/>
  <c r="AK35" i="2"/>
  <c r="AK37" i="2" s="1"/>
  <c r="AK23" i="2"/>
  <c r="AK7" i="2"/>
  <c r="AK6" i="2"/>
  <c r="AK4" i="2"/>
  <c r="AK3" i="2"/>
  <c r="AC327" i="12"/>
  <c r="AC325" i="12"/>
  <c r="AC324" i="12"/>
  <c r="AC322" i="12"/>
  <c r="AC321" i="12"/>
  <c r="AC319" i="12"/>
  <c r="AC318" i="12"/>
  <c r="AC316" i="12"/>
  <c r="AC315" i="12"/>
  <c r="AC306" i="12"/>
  <c r="AG21" i="12" s="1"/>
  <c r="AC305" i="12"/>
  <c r="AC293" i="12"/>
  <c r="AC292" i="12"/>
  <c r="AC291" i="12"/>
  <c r="AC290" i="12"/>
  <c r="AC259" i="12"/>
  <c r="AR259" i="12" s="1"/>
  <c r="AC255" i="12"/>
  <c r="AC252" i="12"/>
  <c r="AC251" i="12"/>
  <c r="AC235" i="12"/>
  <c r="AC234" i="12"/>
  <c r="AC199" i="12"/>
  <c r="AC200" i="12" s="1"/>
  <c r="AC198" i="12"/>
  <c r="AC197" i="12"/>
  <c r="AC189" i="12"/>
  <c r="AC107" i="12"/>
  <c r="AC70" i="12"/>
  <c r="AC65" i="12"/>
  <c r="AC60" i="12"/>
  <c r="AC52" i="12"/>
  <c r="AC41" i="12"/>
  <c r="AC35" i="12"/>
  <c r="AC4" i="12"/>
  <c r="V43" i="5"/>
  <c r="T43" i="5"/>
  <c r="U44" i="5"/>
  <c r="V44" i="5"/>
  <c r="T44" i="5"/>
  <c r="AE244" i="70"/>
  <c r="AF244" i="70"/>
  <c r="AG244" i="70"/>
  <c r="AH244" i="70"/>
  <c r="AI244" i="70"/>
  <c r="AJ244" i="70"/>
  <c r="AK244" i="70"/>
  <c r="AL244" i="70"/>
  <c r="AM244" i="70"/>
  <c r="AM251" i="70"/>
  <c r="AM247" i="70"/>
  <c r="AE223" i="2"/>
  <c r="AE218" i="2"/>
  <c r="AE220" i="2" s="1"/>
  <c r="AI223" i="2"/>
  <c r="AI218" i="2"/>
  <c r="AI220" i="2" s="1"/>
  <c r="AA154" i="3"/>
  <c r="AB253" i="12"/>
  <c r="AJ3" i="2"/>
  <c r="AF3" i="2"/>
  <c r="AB3" i="2"/>
  <c r="X3" i="2"/>
  <c r="AO12" i="7"/>
  <c r="AO22" i="7" s="1"/>
  <c r="AO67" i="7"/>
  <c r="AO54" i="7"/>
  <c r="AO33" i="7"/>
  <c r="AO7" i="7"/>
  <c r="AB13" i="12"/>
  <c r="AB75" i="3"/>
  <c r="BF140" i="3"/>
  <c r="AB77" i="3"/>
  <c r="AB68" i="3"/>
  <c r="AB61" i="3"/>
  <c r="AB56" i="3"/>
  <c r="AC60" i="3" s="1"/>
  <c r="H105" i="72"/>
  <c r="I107" i="72" s="1"/>
  <c r="H100" i="72"/>
  <c r="I102" i="72" s="1"/>
  <c r="H95" i="72"/>
  <c r="I97" i="72" s="1"/>
  <c r="H90" i="72"/>
  <c r="I92" i="72" s="1"/>
  <c r="H83" i="72"/>
  <c r="H86" i="72" s="1"/>
  <c r="H56" i="72"/>
  <c r="H23" i="72"/>
  <c r="H16" i="72"/>
  <c r="H134" i="72"/>
  <c r="I136" i="72" s="1"/>
  <c r="H108" i="72"/>
  <c r="H103" i="72"/>
  <c r="H93" i="72"/>
  <c r="H63" i="72"/>
  <c r="H62" i="72"/>
  <c r="H77" i="72" s="1"/>
  <c r="H49" i="72"/>
  <c r="H31" i="72"/>
  <c r="H19" i="72"/>
  <c r="H7" i="72"/>
  <c r="H6" i="72"/>
  <c r="H4" i="72"/>
  <c r="AB169" i="3"/>
  <c r="AA169" i="3"/>
  <c r="AF20" i="2"/>
  <c r="AF15" i="2" s="1"/>
  <c r="Z154" i="3"/>
  <c r="AJ101" i="2"/>
  <c r="AJ53" i="2"/>
  <c r="AJ36" i="2"/>
  <c r="AJ35" i="2"/>
  <c r="AJ37" i="2" s="1"/>
  <c r="AJ7" i="2"/>
  <c r="AJ6" i="2"/>
  <c r="AJ4" i="2"/>
  <c r="AB251" i="12"/>
  <c r="AB325" i="12"/>
  <c r="AB324" i="12"/>
  <c r="AB322" i="12"/>
  <c r="AB321" i="12"/>
  <c r="AB319" i="12"/>
  <c r="AB318" i="12"/>
  <c r="AB306" i="12"/>
  <c r="AF21" i="12" s="1"/>
  <c r="AB305" i="12"/>
  <c r="AB293" i="12"/>
  <c r="AB292" i="12"/>
  <c r="AB291" i="12"/>
  <c r="AB290" i="12"/>
  <c r="AB286" i="12"/>
  <c r="AB278" i="12"/>
  <c r="AB259" i="12"/>
  <c r="AB255" i="12"/>
  <c r="AB252" i="12"/>
  <c r="AB235" i="12"/>
  <c r="AB234" i="12"/>
  <c r="AB199" i="12"/>
  <c r="AB198" i="12"/>
  <c r="AB197" i="12"/>
  <c r="AB189" i="12"/>
  <c r="AB107" i="12"/>
  <c r="AB70" i="12"/>
  <c r="AB65" i="12"/>
  <c r="AB60" i="12"/>
  <c r="AB52" i="12"/>
  <c r="AB41" i="12"/>
  <c r="AB35" i="12"/>
  <c r="AB4" i="12"/>
  <c r="AB76" i="12" s="1"/>
  <c r="AB113" i="3" s="1"/>
  <c r="Y46" i="72"/>
  <c r="AA165" i="3"/>
  <c r="AA75" i="3"/>
  <c r="AA126" i="3"/>
  <c r="AA121" i="3"/>
  <c r="AA111" i="3"/>
  <c r="AA105" i="3"/>
  <c r="AA123" i="3"/>
  <c r="AA118" i="3"/>
  <c r="AE120" i="3" s="1"/>
  <c r="AA108" i="3"/>
  <c r="AE110" i="3" s="1"/>
  <c r="AA102" i="3"/>
  <c r="AE104" i="3" s="1"/>
  <c r="AA99" i="3"/>
  <c r="AA96" i="3"/>
  <c r="AE98" i="3" s="1"/>
  <c r="AA77" i="3"/>
  <c r="AA68" i="3"/>
  <c r="AA61" i="3"/>
  <c r="AA56" i="3"/>
  <c r="AE58" i="3" s="1"/>
  <c r="C6" i="72"/>
  <c r="D6" i="72"/>
  <c r="E6" i="72"/>
  <c r="C7" i="72"/>
  <c r="D7" i="72"/>
  <c r="E7" i="72"/>
  <c r="C15" i="72"/>
  <c r="C23" i="72" s="1"/>
  <c r="C25" i="72" s="1"/>
  <c r="D23" i="72"/>
  <c r="D25" i="72" s="1"/>
  <c r="E23" i="72"/>
  <c r="E25" i="72" s="1"/>
  <c r="C30" i="72"/>
  <c r="C33" i="72" s="1"/>
  <c r="C31" i="72"/>
  <c r="D31" i="72"/>
  <c r="E31" i="72"/>
  <c r="E33" i="72" s="1"/>
  <c r="E32" i="72"/>
  <c r="D33" i="72"/>
  <c r="C49" i="72"/>
  <c r="D49" i="72"/>
  <c r="E49" i="72"/>
  <c r="C56" i="72"/>
  <c r="C62" i="72"/>
  <c r="F134" i="72"/>
  <c r="G134" i="72"/>
  <c r="G130" i="72"/>
  <c r="G131" i="72" s="1"/>
  <c r="AA115" i="72"/>
  <c r="E119" i="72"/>
  <c r="G119" i="72"/>
  <c r="H119" i="72" s="1"/>
  <c r="I119" i="72" s="1"/>
  <c r="B110" i="72"/>
  <c r="D110" i="72"/>
  <c r="E110" i="72"/>
  <c r="C83" i="72"/>
  <c r="X83" i="72" s="1"/>
  <c r="C90" i="72"/>
  <c r="C95" i="72"/>
  <c r="C100" i="72"/>
  <c r="C105" i="72"/>
  <c r="F83" i="72"/>
  <c r="F85" i="72" s="1"/>
  <c r="F90" i="72"/>
  <c r="F95" i="72"/>
  <c r="F100" i="72"/>
  <c r="F105" i="72"/>
  <c r="G105" i="72"/>
  <c r="G100" i="72"/>
  <c r="G103" i="72" s="1"/>
  <c r="G95" i="72"/>
  <c r="G90" i="72"/>
  <c r="G83" i="72"/>
  <c r="AM76" i="70"/>
  <c r="AM75" i="70"/>
  <c r="AM74" i="70"/>
  <c r="AM73" i="70"/>
  <c r="AM72" i="70"/>
  <c r="G30" i="72"/>
  <c r="G32" i="72" s="1"/>
  <c r="F56" i="72"/>
  <c r="F23" i="72"/>
  <c r="F25" i="72" s="1"/>
  <c r="G56" i="72"/>
  <c r="G16" i="72"/>
  <c r="E138" i="72"/>
  <c r="D138" i="72"/>
  <c r="C138" i="72"/>
  <c r="B138" i="72"/>
  <c r="E79" i="72"/>
  <c r="G63" i="72"/>
  <c r="R62" i="72"/>
  <c r="R77" i="72" s="1"/>
  <c r="G62" i="72"/>
  <c r="F62" i="72"/>
  <c r="F77" i="72" s="1"/>
  <c r="AC61" i="72"/>
  <c r="R50" i="72"/>
  <c r="R49" i="72" s="1"/>
  <c r="G49" i="72"/>
  <c r="F49" i="72"/>
  <c r="AD45" i="72"/>
  <c r="AA42" i="72"/>
  <c r="Z42" i="72"/>
  <c r="Y42" i="72"/>
  <c r="AC39" i="72"/>
  <c r="AB40" i="72"/>
  <c r="AA40" i="72"/>
  <c r="Z40" i="72"/>
  <c r="Y40" i="72"/>
  <c r="AB39" i="72"/>
  <c r="R39" i="72"/>
  <c r="F32" i="72"/>
  <c r="R31" i="72"/>
  <c r="Q31" i="72"/>
  <c r="P31" i="72"/>
  <c r="O31" i="72"/>
  <c r="N31" i="72"/>
  <c r="M31" i="72"/>
  <c r="L31" i="72"/>
  <c r="K31" i="72"/>
  <c r="J31" i="72"/>
  <c r="J33" i="72" s="1"/>
  <c r="G31" i="72"/>
  <c r="F31" i="72"/>
  <c r="F33" i="72" s="1"/>
  <c r="AC30" i="72"/>
  <c r="R30" i="72"/>
  <c r="F19" i="72"/>
  <c r="R18" i="72"/>
  <c r="R19" i="72" s="1"/>
  <c r="G19" i="72"/>
  <c r="R15" i="72"/>
  <c r="R16" i="72" s="1"/>
  <c r="G7" i="72"/>
  <c r="F7" i="72"/>
  <c r="G6" i="72"/>
  <c r="F6" i="72"/>
  <c r="AA4" i="72"/>
  <c r="Z4" i="72"/>
  <c r="R4" i="72"/>
  <c r="G4" i="72"/>
  <c r="F4" i="72"/>
  <c r="E4" i="72"/>
  <c r="D4" i="72"/>
  <c r="C4" i="72"/>
  <c r="B4" i="72"/>
  <c r="AG329" i="12" l="1"/>
  <c r="AR327" i="12"/>
  <c r="G135" i="72"/>
  <c r="I85" i="72"/>
  <c r="I112" i="72"/>
  <c r="H98" i="72"/>
  <c r="F135" i="72"/>
  <c r="D32" i="72"/>
  <c r="C32" i="72"/>
  <c r="AC65" i="3"/>
  <c r="AC64" i="3" s="1"/>
  <c r="AG67" i="3"/>
  <c r="AG71" i="3" s="1"/>
  <c r="AG70" i="3" s="1"/>
  <c r="AG6" i="12"/>
  <c r="AC76" i="12"/>
  <c r="AE125" i="3"/>
  <c r="AA129" i="3"/>
  <c r="AE131" i="3" s="1"/>
  <c r="AD65" i="3"/>
  <c r="AD64" i="3" s="1"/>
  <c r="AR107" i="12"/>
  <c r="J68" i="7"/>
  <c r="K68" i="7" s="1"/>
  <c r="L68" i="7" s="1"/>
  <c r="K17" i="7"/>
  <c r="L17" i="7" s="1"/>
  <c r="H33" i="7"/>
  <c r="AC297" i="12"/>
  <c r="H82" i="7"/>
  <c r="AR131" i="12"/>
  <c r="AC295" i="12"/>
  <c r="AD328" i="12"/>
  <c r="AR174" i="12"/>
  <c r="AC57" i="3"/>
  <c r="AA166" i="3"/>
  <c r="AB300" i="12"/>
  <c r="BL43" i="2"/>
  <c r="BL51" i="2" s="1"/>
  <c r="AA155" i="3"/>
  <c r="AK80" i="2"/>
  <c r="AC154" i="3"/>
  <c r="AC75" i="12"/>
  <c r="AG93" i="12" s="1"/>
  <c r="BK20" i="2"/>
  <c r="AR169" i="12"/>
  <c r="E35" i="72"/>
  <c r="E26" i="72"/>
  <c r="E27" i="72" s="1"/>
  <c r="I36" i="72"/>
  <c r="I75" i="72"/>
  <c r="I27" i="72"/>
  <c r="AR80" i="12"/>
  <c r="AR151" i="12"/>
  <c r="BK43" i="2"/>
  <c r="AG43" i="2"/>
  <c r="AK81" i="2"/>
  <c r="AC172" i="12"/>
  <c r="AJ43" i="2"/>
  <c r="BL18" i="2"/>
  <c r="H142" i="7"/>
  <c r="H143" i="7" s="1"/>
  <c r="N27" i="8"/>
  <c r="N44" i="8" s="1"/>
  <c r="N47" i="8" s="1"/>
  <c r="BL38" i="2"/>
  <c r="BL80" i="2"/>
  <c r="AC301" i="12"/>
  <c r="AK18" i="2"/>
  <c r="AC206" i="12"/>
  <c r="AG218" i="12" s="1"/>
  <c r="AC77" i="12"/>
  <c r="AC3" i="12"/>
  <c r="AC203" i="12"/>
  <c r="AG215" i="12" s="1"/>
  <c r="AC126" i="12"/>
  <c r="AG141" i="12" s="1"/>
  <c r="AC148" i="12"/>
  <c r="AG162" i="12" s="1"/>
  <c r="AC150" i="12"/>
  <c r="AG164" i="12" s="1"/>
  <c r="AC205" i="12"/>
  <c r="AG217" i="12" s="1"/>
  <c r="AC129" i="12"/>
  <c r="AG144" i="12" s="1"/>
  <c r="AC300" i="12"/>
  <c r="AC78" i="12"/>
  <c r="AC310" i="12"/>
  <c r="AC130" i="12"/>
  <c r="AG145" i="12" s="1"/>
  <c r="AC152" i="12"/>
  <c r="AC127" i="12"/>
  <c r="AG142" i="12" s="1"/>
  <c r="AC173" i="12"/>
  <c r="AC128" i="12"/>
  <c r="AG143" i="12" s="1"/>
  <c r="AC73" i="12"/>
  <c r="AG91" i="12" s="1"/>
  <c r="AC167" i="12"/>
  <c r="AC204" i="12"/>
  <c r="AG216" i="12" s="1"/>
  <c r="AC5" i="12"/>
  <c r="AC74" i="12"/>
  <c r="AG92" i="12" s="1"/>
  <c r="AC168" i="12"/>
  <c r="AC149" i="12"/>
  <c r="AG163" i="12" s="1"/>
  <c r="AB154" i="3"/>
  <c r="AB155" i="3" s="1"/>
  <c r="AJ23" i="2"/>
  <c r="AB297" i="12"/>
  <c r="AO69" i="7"/>
  <c r="AO35" i="7"/>
  <c r="AB133" i="3"/>
  <c r="AB74" i="12"/>
  <c r="AB57" i="3"/>
  <c r="AB60" i="3"/>
  <c r="H97" i="72"/>
  <c r="D35" i="72"/>
  <c r="D47" i="72" s="1"/>
  <c r="D26" i="72"/>
  <c r="D27" i="72" s="1"/>
  <c r="H85" i="72"/>
  <c r="H107" i="72"/>
  <c r="H110" i="72"/>
  <c r="H112" i="72" s="1"/>
  <c r="H136" i="72"/>
  <c r="H102" i="72"/>
  <c r="H32" i="72"/>
  <c r="H33" i="72"/>
  <c r="H25" i="72"/>
  <c r="H35" i="72" s="1"/>
  <c r="H47" i="72" s="1"/>
  <c r="H73" i="72"/>
  <c r="I79" i="72" s="1"/>
  <c r="H130" i="72"/>
  <c r="H74" i="72"/>
  <c r="I78" i="72" s="1"/>
  <c r="H92" i="72"/>
  <c r="H135" i="72"/>
  <c r="AB315" i="12"/>
  <c r="AB327" i="12"/>
  <c r="AB316" i="12"/>
  <c r="AB301" i="12"/>
  <c r="AB168" i="12"/>
  <c r="AB203" i="12"/>
  <c r="AB204" i="12"/>
  <c r="AJ18" i="2"/>
  <c r="AB75" i="12"/>
  <c r="AB205" i="12"/>
  <c r="AB130" i="12"/>
  <c r="AJ80" i="2"/>
  <c r="AB152" i="12"/>
  <c r="AB73" i="12"/>
  <c r="AB167" i="12"/>
  <c r="AB200" i="12"/>
  <c r="AB206" i="12" s="1"/>
  <c r="AB77" i="12"/>
  <c r="AB118" i="3" s="1"/>
  <c r="AB126" i="12"/>
  <c r="AB148" i="12"/>
  <c r="AB172" i="12"/>
  <c r="AB309" i="12"/>
  <c r="AB78" i="12"/>
  <c r="AB127" i="12"/>
  <c r="AB149" i="12"/>
  <c r="AB173" i="12"/>
  <c r="AB295" i="12"/>
  <c r="AB128" i="12"/>
  <c r="AB150" i="12"/>
  <c r="AB129" i="12"/>
  <c r="AA171" i="3"/>
  <c r="C26" i="72"/>
  <c r="C27" i="72" s="1"/>
  <c r="C35" i="72"/>
  <c r="C47" i="72" s="1"/>
  <c r="F130" i="72"/>
  <c r="F86" i="72"/>
  <c r="G86" i="72"/>
  <c r="G97" i="72"/>
  <c r="G108" i="72"/>
  <c r="G92" i="72"/>
  <c r="G98" i="72"/>
  <c r="F110" i="72"/>
  <c r="Z141" i="3" s="1"/>
  <c r="G93" i="72"/>
  <c r="G110" i="72"/>
  <c r="C110" i="72"/>
  <c r="E115" i="72" s="1"/>
  <c r="E116" i="72" s="1"/>
  <c r="G85" i="72"/>
  <c r="G102" i="72"/>
  <c r="G107" i="72"/>
  <c r="G33" i="72"/>
  <c r="R33" i="72"/>
  <c r="Y4" i="72"/>
  <c r="Z3" i="72" s="1"/>
  <c r="W90" i="72"/>
  <c r="F136" i="72"/>
  <c r="V95" i="72"/>
  <c r="X95" i="72"/>
  <c r="V83" i="72"/>
  <c r="V90" i="72"/>
  <c r="X90" i="72"/>
  <c r="W83" i="72"/>
  <c r="X85" i="72" s="1"/>
  <c r="X100" i="72"/>
  <c r="C79" i="72"/>
  <c r="V105" i="72"/>
  <c r="J119" i="72"/>
  <c r="V100" i="72"/>
  <c r="G77" i="72"/>
  <c r="W95" i="72"/>
  <c r="W100" i="72"/>
  <c r="X105" i="72"/>
  <c r="W105" i="72"/>
  <c r="AE39" i="72"/>
  <c r="AD39" i="72"/>
  <c r="G23" i="72"/>
  <c r="F26" i="72"/>
  <c r="I28" i="72" s="1"/>
  <c r="F35" i="72"/>
  <c r="F47" i="72" s="1"/>
  <c r="F74" i="72"/>
  <c r="F73" i="72"/>
  <c r="AC5" i="72"/>
  <c r="R73" i="72"/>
  <c r="R74" i="72"/>
  <c r="Y41" i="72"/>
  <c r="Y39" i="72" s="1"/>
  <c r="G74" i="72"/>
  <c r="G73" i="72"/>
  <c r="R23" i="72"/>
  <c r="R25" i="72" s="1"/>
  <c r="AB73" i="72"/>
  <c r="AB74" i="72"/>
  <c r="AC12" i="72"/>
  <c r="F16" i="72"/>
  <c r="Z65" i="72"/>
  <c r="E36" i="72" l="1"/>
  <c r="E47" i="72"/>
  <c r="E57" i="72" s="1"/>
  <c r="E61" i="72" s="1"/>
  <c r="E62" i="72" s="1"/>
  <c r="I111" i="72"/>
  <c r="AG94" i="12"/>
  <c r="AC113" i="3"/>
  <c r="AB65" i="3"/>
  <c r="AB64" i="3" s="1"/>
  <c r="AF67" i="3"/>
  <c r="AF71" i="3" s="1"/>
  <c r="AF70" i="3" s="1"/>
  <c r="AC118" i="3"/>
  <c r="AG95" i="12"/>
  <c r="AG96" i="12"/>
  <c r="AG99" i="12"/>
  <c r="AG98" i="12"/>
  <c r="AC328" i="12"/>
  <c r="AF329" i="12"/>
  <c r="BK50" i="2"/>
  <c r="AD73" i="3"/>
  <c r="AC73" i="3"/>
  <c r="AC102" i="3"/>
  <c r="AG104" i="3" s="1"/>
  <c r="AC96" i="3"/>
  <c r="AC123" i="3"/>
  <c r="AG125" i="3" s="1"/>
  <c r="AK21" i="2"/>
  <c r="AC165" i="3"/>
  <c r="AC155" i="3"/>
  <c r="AC108" i="3"/>
  <c r="AG110" i="3" s="1"/>
  <c r="AC85" i="12"/>
  <c r="H131" i="72"/>
  <c r="I57" i="72"/>
  <c r="I61" i="72" s="1"/>
  <c r="I54" i="72"/>
  <c r="I53" i="72"/>
  <c r="I138" i="72"/>
  <c r="I76" i="72"/>
  <c r="AC212" i="12"/>
  <c r="AC174" i="12"/>
  <c r="AC87" i="12"/>
  <c r="AC159" i="12"/>
  <c r="AC134" i="12"/>
  <c r="N85" i="8"/>
  <c r="N84" i="8"/>
  <c r="N79" i="8"/>
  <c r="AC209" i="12"/>
  <c r="AC155" i="12"/>
  <c r="AC169" i="12"/>
  <c r="AC151" i="12"/>
  <c r="AC135" i="12"/>
  <c r="AC136" i="12"/>
  <c r="AC84" i="12"/>
  <c r="AC137" i="12"/>
  <c r="AC157" i="12"/>
  <c r="AC138" i="12"/>
  <c r="AC210" i="12"/>
  <c r="AC156" i="12"/>
  <c r="AC131" i="12"/>
  <c r="AC83" i="12"/>
  <c r="AC80" i="12"/>
  <c r="AC88" i="12"/>
  <c r="AC211" i="12"/>
  <c r="AB102" i="3"/>
  <c r="AO71" i="7"/>
  <c r="AB169" i="12"/>
  <c r="AB119" i="3"/>
  <c r="AB108" i="3"/>
  <c r="AB123" i="3"/>
  <c r="AB96" i="3"/>
  <c r="H79" i="72"/>
  <c r="D36" i="72"/>
  <c r="Y113" i="72"/>
  <c r="AA141" i="3"/>
  <c r="H78" i="72"/>
  <c r="F131" i="72"/>
  <c r="H111" i="72"/>
  <c r="H26" i="72"/>
  <c r="H27" i="72" s="1"/>
  <c r="H36" i="72"/>
  <c r="AB310" i="12"/>
  <c r="AJ39" i="2"/>
  <c r="AB174" i="12"/>
  <c r="AB131" i="12"/>
  <c r="AB80" i="12"/>
  <c r="AB151" i="12"/>
  <c r="C36" i="72"/>
  <c r="Y3" i="72"/>
  <c r="G112" i="72"/>
  <c r="G111" i="72"/>
  <c r="V92" i="72"/>
  <c r="X97" i="72"/>
  <c r="V97" i="72"/>
  <c r="W92" i="72"/>
  <c r="X92" i="72"/>
  <c r="W97" i="72"/>
  <c r="W107" i="72"/>
  <c r="Y100" i="72"/>
  <c r="W85" i="72"/>
  <c r="V102" i="72"/>
  <c r="C111" i="72"/>
  <c r="J118" i="72"/>
  <c r="D111" i="72"/>
  <c r="V107" i="72"/>
  <c r="W102" i="72"/>
  <c r="V85" i="72"/>
  <c r="G25" i="72"/>
  <c r="G26" i="72" s="1"/>
  <c r="X107" i="72"/>
  <c r="V110" i="72"/>
  <c r="K119" i="72"/>
  <c r="L119" i="72" s="1"/>
  <c r="M119" i="72" s="1"/>
  <c r="N119" i="72" s="1"/>
  <c r="E112" i="72"/>
  <c r="E111" i="72"/>
  <c r="F111" i="72"/>
  <c r="C112" i="72"/>
  <c r="D112" i="72"/>
  <c r="X102" i="72"/>
  <c r="B111" i="72"/>
  <c r="X110" i="72"/>
  <c r="B112" i="72"/>
  <c r="W110" i="72"/>
  <c r="G136" i="72"/>
  <c r="F112" i="72"/>
  <c r="AA65" i="72"/>
  <c r="G79" i="72"/>
  <c r="G78" i="72"/>
  <c r="R26" i="72"/>
  <c r="R35" i="72"/>
  <c r="F54" i="72"/>
  <c r="F36" i="72"/>
  <c r="F138" i="72" s="1"/>
  <c r="F78" i="72"/>
  <c r="F75" i="72"/>
  <c r="F27" i="72"/>
  <c r="Z66" i="72"/>
  <c r="AC25" i="72"/>
  <c r="I62" i="72" l="1"/>
  <c r="I77" i="72" s="1"/>
  <c r="I63" i="72"/>
  <c r="AC119" i="3"/>
  <c r="AG120" i="3"/>
  <c r="AG115" i="3"/>
  <c r="BF113" i="3"/>
  <c r="AC129" i="3"/>
  <c r="AB129" i="3"/>
  <c r="AB103" i="3"/>
  <c r="AC166" i="3"/>
  <c r="AD167" i="3"/>
  <c r="AC109" i="3"/>
  <c r="AC124" i="3"/>
  <c r="AC97" i="3"/>
  <c r="AC103" i="3"/>
  <c r="E53" i="72"/>
  <c r="E54" i="72"/>
  <c r="I60" i="72"/>
  <c r="AJ51" i="2"/>
  <c r="AJ61" i="2" s="1"/>
  <c r="AJ40" i="2"/>
  <c r="AB176" i="3" s="1"/>
  <c r="AB109" i="3"/>
  <c r="AB124" i="3"/>
  <c r="AB97" i="3"/>
  <c r="D57" i="72"/>
  <c r="D53" i="72"/>
  <c r="D54" i="72"/>
  <c r="H75" i="72"/>
  <c r="H138" i="72"/>
  <c r="H76" i="72"/>
  <c r="H57" i="72"/>
  <c r="H60" i="72" s="1"/>
  <c r="H54" i="72"/>
  <c r="H53" i="72"/>
  <c r="AJ30" i="2"/>
  <c r="AB141" i="3"/>
  <c r="C53" i="72"/>
  <c r="C54" i="72"/>
  <c r="C57" i="72"/>
  <c r="F76" i="72"/>
  <c r="Y102" i="72"/>
  <c r="J100" i="72"/>
  <c r="W111" i="72"/>
  <c r="G75" i="72"/>
  <c r="G35" i="72"/>
  <c r="V111" i="72"/>
  <c r="J90" i="72"/>
  <c r="X111" i="72"/>
  <c r="J83" i="72"/>
  <c r="Y83" i="72"/>
  <c r="J95" i="72"/>
  <c r="Y95" i="72"/>
  <c r="O119" i="72"/>
  <c r="P119" i="72" s="1"/>
  <c r="Q119" i="72" s="1"/>
  <c r="Y90" i="72"/>
  <c r="M118" i="72"/>
  <c r="N118" i="72" s="1"/>
  <c r="AB76" i="72"/>
  <c r="AC35" i="72"/>
  <c r="AB75" i="72"/>
  <c r="AC26" i="72"/>
  <c r="Z41" i="72"/>
  <c r="Z39" i="72" s="1"/>
  <c r="R47" i="72"/>
  <c r="R36" i="72"/>
  <c r="R76" i="72" s="1"/>
  <c r="F57" i="72"/>
  <c r="F60" i="72" s="1"/>
  <c r="F53" i="72"/>
  <c r="R75" i="72"/>
  <c r="R27" i="72"/>
  <c r="AA66" i="72"/>
  <c r="BF114" i="3" l="1"/>
  <c r="BL113" i="3"/>
  <c r="AB126" i="3"/>
  <c r="AB116" i="3"/>
  <c r="G47" i="72"/>
  <c r="G57" i="72" s="1"/>
  <c r="AJ82" i="2"/>
  <c r="AB174" i="3"/>
  <c r="I58" i="72"/>
  <c r="AJ66" i="2"/>
  <c r="AJ83" i="2"/>
  <c r="AB111" i="3"/>
  <c r="AB99" i="3"/>
  <c r="AB130" i="3"/>
  <c r="AB105" i="3"/>
  <c r="AB121" i="3"/>
  <c r="D61" i="72"/>
  <c r="E58" i="72"/>
  <c r="J60" i="72"/>
  <c r="AJ57" i="2"/>
  <c r="AJ58" i="2"/>
  <c r="AJ31" i="2"/>
  <c r="C58" i="72"/>
  <c r="C60" i="72"/>
  <c r="D58" i="72"/>
  <c r="C63" i="72"/>
  <c r="J103" i="72"/>
  <c r="K100" i="72"/>
  <c r="G27" i="72"/>
  <c r="G36" i="72"/>
  <c r="Y92" i="72"/>
  <c r="Y97" i="72"/>
  <c r="Y85" i="72"/>
  <c r="J105" i="72"/>
  <c r="K83" i="72"/>
  <c r="J87" i="72"/>
  <c r="J86" i="72"/>
  <c r="J93" i="72"/>
  <c r="K90" i="72"/>
  <c r="K95" i="72"/>
  <c r="J98" i="72"/>
  <c r="Q118" i="72"/>
  <c r="R118" i="72" s="1"/>
  <c r="Y105" i="72"/>
  <c r="F58" i="72"/>
  <c r="R57" i="72"/>
  <c r="R54" i="72"/>
  <c r="R53" i="72"/>
  <c r="AC47" i="72"/>
  <c r="AL44" i="7"/>
  <c r="AN7" i="7"/>
  <c r="AN67" i="7"/>
  <c r="AN54" i="7"/>
  <c r="AN33" i="7"/>
  <c r="AN22" i="7"/>
  <c r="AM34" i="70"/>
  <c r="AM357" i="70"/>
  <c r="AL357" i="70"/>
  <c r="AK357" i="70"/>
  <c r="AJ357" i="70"/>
  <c r="AI357" i="70"/>
  <c r="AH357" i="70"/>
  <c r="AG357" i="70"/>
  <c r="AF357" i="70"/>
  <c r="AE357" i="70"/>
  <c r="AD357" i="70"/>
  <c r="AC357" i="70"/>
  <c r="AB357" i="70"/>
  <c r="AA357" i="70"/>
  <c r="Z357" i="70"/>
  <c r="AW342" i="70"/>
  <c r="AV342" i="70"/>
  <c r="AU342" i="70"/>
  <c r="AT342" i="70"/>
  <c r="AS342" i="70"/>
  <c r="AM342" i="70"/>
  <c r="AL342" i="70"/>
  <c r="AK342" i="70"/>
  <c r="AJ342" i="70"/>
  <c r="AI342" i="70"/>
  <c r="AH342" i="70"/>
  <c r="AG342" i="70"/>
  <c r="AF342" i="70"/>
  <c r="AE342" i="70"/>
  <c r="AD342" i="70"/>
  <c r="AC342" i="70"/>
  <c r="AB342" i="70"/>
  <c r="AA342" i="70"/>
  <c r="Z342" i="70"/>
  <c r="Y342" i="70"/>
  <c r="X342" i="70"/>
  <c r="W342" i="70"/>
  <c r="V342" i="70"/>
  <c r="U342" i="70"/>
  <c r="T342" i="70"/>
  <c r="S342" i="70"/>
  <c r="R342" i="70"/>
  <c r="AE320" i="70"/>
  <c r="AW318" i="70"/>
  <c r="AM318" i="70"/>
  <c r="AM319" i="70" s="1"/>
  <c r="AL318" i="70"/>
  <c r="AL320" i="70" s="1"/>
  <c r="AK318" i="70"/>
  <c r="AL319" i="70" s="1"/>
  <c r="AJ318" i="70"/>
  <c r="AJ319" i="70" s="1"/>
  <c r="AI318" i="70"/>
  <c r="AI320" i="70" s="1"/>
  <c r="AH318" i="70"/>
  <c r="AH320" i="70" s="1"/>
  <c r="AG318" i="70"/>
  <c r="AG319" i="70" s="1"/>
  <c r="AF318" i="70"/>
  <c r="AF320" i="70" s="1"/>
  <c r="AE318" i="70"/>
  <c r="AE319" i="70" s="1"/>
  <c r="AD318" i="70"/>
  <c r="AD320" i="70" s="1"/>
  <c r="AC318" i="70"/>
  <c r="AD319" i="70" s="1"/>
  <c r="AB318" i="70"/>
  <c r="AB319" i="70" s="1"/>
  <c r="AA318" i="70"/>
  <c r="Z318" i="70"/>
  <c r="Y318" i="70"/>
  <c r="AV318" i="70" s="1"/>
  <c r="X318" i="70"/>
  <c r="W318" i="70"/>
  <c r="V318" i="70"/>
  <c r="U318" i="70"/>
  <c r="AU318" i="70" s="1"/>
  <c r="T318" i="70"/>
  <c r="S318" i="70"/>
  <c r="R318" i="70"/>
  <c r="Q318" i="70"/>
  <c r="P318" i="70"/>
  <c r="O318" i="70"/>
  <c r="N318" i="70"/>
  <c r="M318" i="70"/>
  <c r="I318" i="70"/>
  <c r="AM316" i="70"/>
  <c r="AL316" i="70"/>
  <c r="AK316" i="70"/>
  <c r="AJ316" i="70"/>
  <c r="AI316" i="70"/>
  <c r="AH316" i="70"/>
  <c r="AG316" i="70"/>
  <c r="AF316" i="70"/>
  <c r="AE316" i="70"/>
  <c r="AD316" i="70"/>
  <c r="AC316" i="70"/>
  <c r="AB316" i="70"/>
  <c r="AA316" i="70"/>
  <c r="Z316" i="70"/>
  <c r="Y316" i="70"/>
  <c r="X316" i="70"/>
  <c r="W316" i="70"/>
  <c r="V316" i="70"/>
  <c r="AY315" i="70"/>
  <c r="AX315" i="70"/>
  <c r="AW315" i="70"/>
  <c r="AV315" i="70"/>
  <c r="AU315" i="70"/>
  <c r="AT315" i="70"/>
  <c r="AS315" i="70"/>
  <c r="AM315" i="70"/>
  <c r="AL315" i="70"/>
  <c r="AK315" i="70"/>
  <c r="AJ315" i="70"/>
  <c r="AI315" i="70"/>
  <c r="AH315" i="70"/>
  <c r="AG315" i="70"/>
  <c r="AF315" i="70"/>
  <c r="AE315" i="70"/>
  <c r="AD315" i="70"/>
  <c r="AC315" i="70"/>
  <c r="AB315" i="70"/>
  <c r="AA315" i="70"/>
  <c r="Z315" i="70"/>
  <c r="Y315" i="70"/>
  <c r="X315" i="70"/>
  <c r="W315" i="70"/>
  <c r="V315" i="70"/>
  <c r="AM313" i="70"/>
  <c r="AL313" i="70"/>
  <c r="AK313" i="70"/>
  <c r="AJ313" i="70"/>
  <c r="AI313" i="70"/>
  <c r="AH313" i="70"/>
  <c r="AG313" i="70"/>
  <c r="AF313" i="70"/>
  <c r="AE313" i="70"/>
  <c r="AD313" i="70"/>
  <c r="AC313" i="70"/>
  <c r="AB313" i="70"/>
  <c r="AA313" i="70"/>
  <c r="Z313" i="70"/>
  <c r="Y313" i="70"/>
  <c r="X313" i="70"/>
  <c r="W313" i="70"/>
  <c r="V313" i="70"/>
  <c r="AY312" i="70"/>
  <c r="AX312" i="70"/>
  <c r="AW312" i="70"/>
  <c r="AV312" i="70"/>
  <c r="AU312" i="70"/>
  <c r="AT312" i="70"/>
  <c r="AS312" i="70"/>
  <c r="AM312" i="70"/>
  <c r="AL312" i="70"/>
  <c r="AK312" i="70"/>
  <c r="AJ312" i="70"/>
  <c r="AI312" i="70"/>
  <c r="AH312" i="70"/>
  <c r="AG312" i="70"/>
  <c r="AF312" i="70"/>
  <c r="AE312" i="70"/>
  <c r="AD312" i="70"/>
  <c r="AC312" i="70"/>
  <c r="AB312" i="70"/>
  <c r="AA312" i="70"/>
  <c r="Z312" i="70"/>
  <c r="Y312" i="70"/>
  <c r="X312" i="70"/>
  <c r="W312" i="70"/>
  <c r="V312" i="70"/>
  <c r="AM310" i="70"/>
  <c r="AL310" i="70"/>
  <c r="AK310" i="70"/>
  <c r="AJ310" i="70"/>
  <c r="AI310" i="70"/>
  <c r="AH310" i="70"/>
  <c r="AG310" i="70"/>
  <c r="AF310" i="70"/>
  <c r="AE310" i="70"/>
  <c r="AD310" i="70"/>
  <c r="AC310" i="70"/>
  <c r="AB310" i="70"/>
  <c r="AA310" i="70"/>
  <c r="Z310" i="70"/>
  <c r="Y310" i="70"/>
  <c r="X310" i="70"/>
  <c r="W310" i="70"/>
  <c r="V310" i="70"/>
  <c r="AY309" i="70"/>
  <c r="AX309" i="70"/>
  <c r="AW309" i="70"/>
  <c r="AV309" i="70"/>
  <c r="AU309" i="70"/>
  <c r="AT309" i="70"/>
  <c r="AS309" i="70"/>
  <c r="AM309" i="70"/>
  <c r="AL309" i="70"/>
  <c r="AK309" i="70"/>
  <c r="AJ309" i="70"/>
  <c r="AI309" i="70"/>
  <c r="AH309" i="70"/>
  <c r="AG309" i="70"/>
  <c r="AF309" i="70"/>
  <c r="AE309" i="70"/>
  <c r="AD309" i="70"/>
  <c r="AC309" i="70"/>
  <c r="AB309" i="70"/>
  <c r="AA309" i="70"/>
  <c r="Z309" i="70"/>
  <c r="Y309" i="70"/>
  <c r="X309" i="70"/>
  <c r="W309" i="70"/>
  <c r="V309" i="70"/>
  <c r="AM307" i="70"/>
  <c r="AL307" i="70"/>
  <c r="AK307" i="70"/>
  <c r="AJ307" i="70"/>
  <c r="AI307" i="70"/>
  <c r="AH307" i="70"/>
  <c r="AG307" i="70"/>
  <c r="AF307" i="70"/>
  <c r="AE307" i="70"/>
  <c r="AD307" i="70"/>
  <c r="AC307" i="70"/>
  <c r="AB307" i="70"/>
  <c r="AA307" i="70"/>
  <c r="Z307" i="70"/>
  <c r="Y307" i="70"/>
  <c r="X307" i="70"/>
  <c r="W307" i="70"/>
  <c r="V307" i="70"/>
  <c r="AY306" i="70"/>
  <c r="AX306" i="70"/>
  <c r="AW306" i="70"/>
  <c r="AV306" i="70"/>
  <c r="AU306" i="70"/>
  <c r="AT306" i="70"/>
  <c r="AS306" i="70"/>
  <c r="AM306" i="70"/>
  <c r="AL306" i="70"/>
  <c r="AK306" i="70"/>
  <c r="AJ306" i="70"/>
  <c r="AI306" i="70"/>
  <c r="AH306" i="70"/>
  <c r="AG306" i="70"/>
  <c r="AF306" i="70"/>
  <c r="AE306" i="70"/>
  <c r="AD306" i="70"/>
  <c r="AC306" i="70"/>
  <c r="AB306" i="70"/>
  <c r="AA306" i="70"/>
  <c r="Z306" i="70"/>
  <c r="Y306" i="70"/>
  <c r="X306" i="70"/>
  <c r="W306" i="70"/>
  <c r="V306" i="70"/>
  <c r="AS299" i="70"/>
  <c r="AM297" i="70"/>
  <c r="AL297" i="70"/>
  <c r="AK297" i="70"/>
  <c r="AJ297" i="70"/>
  <c r="AI297" i="70"/>
  <c r="AH297" i="70"/>
  <c r="AG297" i="70"/>
  <c r="AF297" i="70"/>
  <c r="AE297" i="70"/>
  <c r="AD297" i="70"/>
  <c r="AC297" i="70"/>
  <c r="AB297" i="70"/>
  <c r="AA297" i="70"/>
  <c r="Z297" i="70"/>
  <c r="Y297" i="70"/>
  <c r="X297" i="70"/>
  <c r="W297" i="70"/>
  <c r="V297" i="70"/>
  <c r="U297" i="70"/>
  <c r="T297" i="70"/>
  <c r="S297" i="70"/>
  <c r="R297" i="70"/>
  <c r="Q297" i="70"/>
  <c r="P297" i="70"/>
  <c r="O297" i="70"/>
  <c r="AX296" i="70"/>
  <c r="AW296" i="70"/>
  <c r="AV296" i="70"/>
  <c r="AU296" i="70"/>
  <c r="AT296" i="70"/>
  <c r="AS296" i="70"/>
  <c r="AM296" i="70"/>
  <c r="AL296" i="70"/>
  <c r="AK296" i="70"/>
  <c r="AJ296" i="70"/>
  <c r="AI296" i="70"/>
  <c r="AH296" i="70"/>
  <c r="AG296" i="70"/>
  <c r="AF296" i="70"/>
  <c r="AE296" i="70"/>
  <c r="AD296" i="70"/>
  <c r="AC296" i="70"/>
  <c r="AB296" i="70"/>
  <c r="AA296" i="70"/>
  <c r="Z296" i="70"/>
  <c r="Y296" i="70"/>
  <c r="X296" i="70"/>
  <c r="W296" i="70"/>
  <c r="V296" i="70"/>
  <c r="U296" i="70"/>
  <c r="T296" i="70"/>
  <c r="S296" i="70"/>
  <c r="R296" i="70"/>
  <c r="Q296" i="70"/>
  <c r="P296" i="70"/>
  <c r="O296" i="70"/>
  <c r="AL293" i="70"/>
  <c r="AG293" i="70"/>
  <c r="AC292" i="70"/>
  <c r="AM288" i="70"/>
  <c r="AJ288" i="70"/>
  <c r="W288" i="70"/>
  <c r="Q288" i="70"/>
  <c r="AF286" i="70"/>
  <c r="Z286" i="70"/>
  <c r="X286" i="70"/>
  <c r="U286" i="70"/>
  <c r="R286" i="70"/>
  <c r="P286" i="70"/>
  <c r="AM285" i="70"/>
  <c r="AL285" i="70"/>
  <c r="AK285" i="70"/>
  <c r="AJ285" i="70"/>
  <c r="AI285" i="70"/>
  <c r="AH285" i="70"/>
  <c r="AG285" i="70"/>
  <c r="AF285" i="70"/>
  <c r="AE285" i="70"/>
  <c r="AD285" i="70"/>
  <c r="AC285" i="70"/>
  <c r="AB285" i="70"/>
  <c r="AA285" i="70"/>
  <c r="Z285" i="70"/>
  <c r="Y285" i="70"/>
  <c r="X285" i="70"/>
  <c r="W285" i="70"/>
  <c r="V285" i="70"/>
  <c r="U285" i="70"/>
  <c r="T285" i="70"/>
  <c r="S285" i="70"/>
  <c r="R285" i="70"/>
  <c r="Q285" i="70"/>
  <c r="P285" i="70"/>
  <c r="O285" i="70"/>
  <c r="AM284" i="70"/>
  <c r="AL284" i="70"/>
  <c r="AK284" i="70"/>
  <c r="AJ284" i="70"/>
  <c r="AI284" i="70"/>
  <c r="AH284" i="70"/>
  <c r="AG284" i="70"/>
  <c r="AF284" i="70"/>
  <c r="AE284" i="70"/>
  <c r="AD284" i="70"/>
  <c r="AC284" i="70"/>
  <c r="AB284" i="70"/>
  <c r="AA284" i="70"/>
  <c r="Z284" i="70"/>
  <c r="Y284" i="70"/>
  <c r="X284" i="70"/>
  <c r="W284" i="70"/>
  <c r="V284" i="70"/>
  <c r="U284" i="70"/>
  <c r="T284" i="70"/>
  <c r="S284" i="70"/>
  <c r="R284" i="70"/>
  <c r="Q284" i="70"/>
  <c r="P284" i="70"/>
  <c r="O284" i="70"/>
  <c r="AM283" i="70"/>
  <c r="AL283" i="70"/>
  <c r="AK283" i="70"/>
  <c r="AJ283" i="70"/>
  <c r="AI283" i="70"/>
  <c r="AH283" i="70"/>
  <c r="AG283" i="70"/>
  <c r="AF283" i="70"/>
  <c r="AE283" i="70"/>
  <c r="AD283" i="70"/>
  <c r="AC283" i="70"/>
  <c r="AB283" i="70"/>
  <c r="AA283" i="70"/>
  <c r="Z283" i="70"/>
  <c r="Y283" i="70"/>
  <c r="X283" i="70"/>
  <c r="W283" i="70"/>
  <c r="V283" i="70"/>
  <c r="U283" i="70"/>
  <c r="T283" i="70"/>
  <c r="S283" i="70"/>
  <c r="R283" i="70"/>
  <c r="Q283" i="70"/>
  <c r="P283" i="70"/>
  <c r="O283" i="70"/>
  <c r="AM282" i="70"/>
  <c r="AL282" i="70"/>
  <c r="AK282" i="70"/>
  <c r="AJ282" i="70"/>
  <c r="AI282" i="70"/>
  <c r="AH282" i="70"/>
  <c r="AG282" i="70"/>
  <c r="AF282" i="70"/>
  <c r="AE282" i="70"/>
  <c r="AD282" i="70"/>
  <c r="AC282" i="70"/>
  <c r="AB282" i="70"/>
  <c r="AA282" i="70"/>
  <c r="Z282" i="70"/>
  <c r="Y282" i="70"/>
  <c r="X282" i="70"/>
  <c r="W282" i="70"/>
  <c r="V282" i="70"/>
  <c r="U282" i="70"/>
  <c r="T282" i="70"/>
  <c r="S282" i="70"/>
  <c r="R282" i="70"/>
  <c r="Q282" i="70"/>
  <c r="P282" i="70"/>
  <c r="O282" i="70"/>
  <c r="AU278" i="70"/>
  <c r="AT278" i="70"/>
  <c r="AS278" i="70"/>
  <c r="AM278" i="70"/>
  <c r="AL278" i="70"/>
  <c r="AL286" i="70" s="1"/>
  <c r="AK278" i="70"/>
  <c r="AJ278" i="70"/>
  <c r="AI278" i="70"/>
  <c r="AI288" i="70" s="1"/>
  <c r="AH278" i="70"/>
  <c r="AH288" i="70" s="1"/>
  <c r="AG278" i="70"/>
  <c r="AF278" i="70"/>
  <c r="AF288" i="70" s="1"/>
  <c r="AE278" i="70"/>
  <c r="AD278" i="70"/>
  <c r="AD286" i="70" s="1"/>
  <c r="AC278" i="70"/>
  <c r="AB278" i="70"/>
  <c r="AA278" i="70"/>
  <c r="AA288" i="70" s="1"/>
  <c r="Z278" i="70"/>
  <c r="Z288" i="70" s="1"/>
  <c r="Y278" i="70"/>
  <c r="X278" i="70"/>
  <c r="X288" i="70" s="1"/>
  <c r="M278" i="70"/>
  <c r="AV271" i="70"/>
  <c r="AU271" i="70"/>
  <c r="AT271" i="70"/>
  <c r="AS271" i="70"/>
  <c r="AM271" i="70"/>
  <c r="AL271" i="70"/>
  <c r="AL288" i="70" s="1"/>
  <c r="AK271" i="70"/>
  <c r="AJ271" i="70"/>
  <c r="AI271" i="70"/>
  <c r="AH271" i="70"/>
  <c r="AG271" i="70"/>
  <c r="AG288" i="70" s="1"/>
  <c r="AF271" i="70"/>
  <c r="AE271" i="70"/>
  <c r="AD271" i="70"/>
  <c r="AD288" i="70" s="1"/>
  <c r="AC271" i="70"/>
  <c r="AB271" i="70"/>
  <c r="AB288" i="70" s="1"/>
  <c r="AA271" i="70"/>
  <c r="Z271" i="70"/>
  <c r="Y271" i="70"/>
  <c r="Y288" i="70" s="1"/>
  <c r="X271" i="70"/>
  <c r="W271" i="70"/>
  <c r="W286" i="70" s="1"/>
  <c r="V271" i="70"/>
  <c r="V286" i="70" s="1"/>
  <c r="U271" i="70"/>
  <c r="U288" i="70" s="1"/>
  <c r="T271" i="70"/>
  <c r="T286" i="70" s="1"/>
  <c r="S271" i="70"/>
  <c r="S288" i="70" s="1"/>
  <c r="R271" i="70"/>
  <c r="R288" i="70" s="1"/>
  <c r="Q271" i="70"/>
  <c r="Q286" i="70" s="1"/>
  <c r="P271" i="70"/>
  <c r="P288" i="70" s="1"/>
  <c r="O271" i="70"/>
  <c r="O286" i="70" s="1"/>
  <c r="N271" i="70"/>
  <c r="AM255" i="70"/>
  <c r="AL255" i="70"/>
  <c r="AK255" i="70"/>
  <c r="AJ255" i="70"/>
  <c r="AI255" i="70"/>
  <c r="AH255" i="70"/>
  <c r="AG255" i="70"/>
  <c r="AF255" i="70"/>
  <c r="AE255" i="70"/>
  <c r="AD255" i="70"/>
  <c r="AC255" i="70"/>
  <c r="AB255" i="70"/>
  <c r="G253" i="70"/>
  <c r="AT252" i="70"/>
  <c r="AS252" i="70"/>
  <c r="Q252" i="70"/>
  <c r="P252" i="70"/>
  <c r="O252" i="70"/>
  <c r="O253" i="70" s="1"/>
  <c r="N252" i="70"/>
  <c r="M252" i="70"/>
  <c r="L252" i="70"/>
  <c r="K252" i="70"/>
  <c r="J252" i="70"/>
  <c r="I252" i="70"/>
  <c r="H252" i="70"/>
  <c r="G252" i="70"/>
  <c r="F252" i="70"/>
  <c r="E252" i="70"/>
  <c r="D252" i="70"/>
  <c r="C252" i="70"/>
  <c r="B252" i="70"/>
  <c r="AY251" i="70"/>
  <c r="AX251" i="70"/>
  <c r="AW251" i="70"/>
  <c r="AT251" i="70"/>
  <c r="AT253" i="70" s="1"/>
  <c r="AL251" i="70"/>
  <c r="AK251" i="70"/>
  <c r="AJ251" i="70"/>
  <c r="AI251" i="70"/>
  <c r="AH251" i="70"/>
  <c r="AG251" i="70"/>
  <c r="AF251" i="70"/>
  <c r="AE251" i="70"/>
  <c r="AD251" i="70"/>
  <c r="AC251" i="70"/>
  <c r="Z251" i="70"/>
  <c r="Z253" i="70" s="1"/>
  <c r="X251" i="70"/>
  <c r="X253" i="70" s="1"/>
  <c r="U251" i="70"/>
  <c r="U253" i="70" s="1"/>
  <c r="R251" i="70"/>
  <c r="R253" i="70" s="1"/>
  <c r="P251" i="70"/>
  <c r="P253" i="70" s="1"/>
  <c r="M251" i="70"/>
  <c r="M253" i="70" s="1"/>
  <c r="H251" i="70"/>
  <c r="H253" i="70" s="1"/>
  <c r="E251" i="70"/>
  <c r="E253" i="70" s="1"/>
  <c r="AM249" i="70"/>
  <c r="AL249" i="70"/>
  <c r="AK249" i="70"/>
  <c r="AJ249" i="70"/>
  <c r="AI249" i="70"/>
  <c r="AH249" i="70"/>
  <c r="AG249" i="70"/>
  <c r="AF249" i="70"/>
  <c r="AE249" i="70"/>
  <c r="AD249" i="70"/>
  <c r="AA249" i="70"/>
  <c r="AM248" i="70"/>
  <c r="AL248" i="70"/>
  <c r="AK248" i="70"/>
  <c r="AJ248" i="70"/>
  <c r="AI248" i="70"/>
  <c r="AH248" i="70"/>
  <c r="AG248" i="70"/>
  <c r="AF248" i="70"/>
  <c r="AE248" i="70"/>
  <c r="AD248" i="70"/>
  <c r="AC248" i="70"/>
  <c r="AL247" i="70"/>
  <c r="AB246" i="70"/>
  <c r="AA246" i="70"/>
  <c r="Z246" i="70"/>
  <c r="AB245" i="70"/>
  <c r="AB248" i="70" s="1"/>
  <c r="AA245" i="70"/>
  <c r="Z245" i="70"/>
  <c r="AA248" i="70" s="1"/>
  <c r="AV240" i="70"/>
  <c r="AV251" i="70" s="1"/>
  <c r="AV253" i="70" s="1"/>
  <c r="AU240" i="70"/>
  <c r="AU251" i="70" s="1"/>
  <c r="AU253" i="70" s="1"/>
  <c r="AT240" i="70"/>
  <c r="AS240" i="70"/>
  <c r="AS251" i="70" s="1"/>
  <c r="AS253" i="70" s="1"/>
  <c r="AB240" i="70"/>
  <c r="AA240" i="70"/>
  <c r="AA251" i="70" s="1"/>
  <c r="AA253" i="70" s="1"/>
  <c r="Z240" i="70"/>
  <c r="Y240" i="70"/>
  <c r="X240" i="70"/>
  <c r="W240" i="70"/>
  <c r="W251" i="70" s="1"/>
  <c r="W253" i="70" s="1"/>
  <c r="V240" i="70"/>
  <c r="U240" i="70"/>
  <c r="T240" i="70"/>
  <c r="S240" i="70"/>
  <c r="S251" i="70" s="1"/>
  <c r="S253" i="70" s="1"/>
  <c r="R240" i="70"/>
  <c r="Q240" i="70"/>
  <c r="P240" i="70"/>
  <c r="O240" i="70"/>
  <c r="O251" i="70" s="1"/>
  <c r="N240" i="70"/>
  <c r="M240" i="70"/>
  <c r="L240" i="70"/>
  <c r="K240" i="70"/>
  <c r="K251" i="70" s="1"/>
  <c r="K253" i="70" s="1"/>
  <c r="J240" i="70"/>
  <c r="J251" i="70" s="1"/>
  <c r="J253" i="70" s="1"/>
  <c r="I240" i="70"/>
  <c r="H240" i="70"/>
  <c r="G240" i="70"/>
  <c r="G251" i="70" s="1"/>
  <c r="F240" i="70"/>
  <c r="E240" i="70"/>
  <c r="D240" i="70"/>
  <c r="C240" i="70"/>
  <c r="C251" i="70" s="1"/>
  <c r="C253" i="70" s="1"/>
  <c r="B240" i="70"/>
  <c r="B251" i="70" s="1"/>
  <c r="B253" i="70" s="1"/>
  <c r="Z237" i="70"/>
  <c r="Z236" i="70" s="1"/>
  <c r="AV236" i="70"/>
  <c r="AU236" i="70"/>
  <c r="AT236" i="70"/>
  <c r="AS236" i="70"/>
  <c r="AC236" i="70"/>
  <c r="AB236" i="70"/>
  <c r="AA236" i="70"/>
  <c r="Y236" i="70"/>
  <c r="X236" i="70"/>
  <c r="W236" i="70"/>
  <c r="V236" i="70"/>
  <c r="U236" i="70"/>
  <c r="T236" i="70"/>
  <c r="S236" i="70"/>
  <c r="R236" i="70"/>
  <c r="Q236" i="70"/>
  <c r="P236" i="70"/>
  <c r="O236" i="70"/>
  <c r="N236" i="70"/>
  <c r="M236" i="70"/>
  <c r="L236" i="70"/>
  <c r="K236" i="70"/>
  <c r="J236" i="70"/>
  <c r="I236" i="70"/>
  <c r="H236" i="70"/>
  <c r="G236" i="70"/>
  <c r="F236" i="70"/>
  <c r="E236" i="70"/>
  <c r="D236" i="70"/>
  <c r="C236" i="70"/>
  <c r="B236" i="70"/>
  <c r="AV232" i="70"/>
  <c r="AM231" i="70"/>
  <c r="AL231" i="70"/>
  <c r="AK231" i="70"/>
  <c r="AJ231" i="70"/>
  <c r="AI231" i="70"/>
  <c r="AH231" i="70"/>
  <c r="AY230" i="70"/>
  <c r="AX230" i="70"/>
  <c r="AW230" i="70"/>
  <c r="AV230" i="70"/>
  <c r="AU230" i="70"/>
  <c r="AT230" i="70"/>
  <c r="AS230" i="70"/>
  <c r="AM230" i="70"/>
  <c r="AL230" i="70"/>
  <c r="AK230" i="70"/>
  <c r="AJ230" i="70"/>
  <c r="AI230" i="70"/>
  <c r="AH230" i="70"/>
  <c r="AG230" i="70"/>
  <c r="AF230" i="70"/>
  <c r="AE230" i="70"/>
  <c r="AD230" i="70"/>
  <c r="AC230" i="70"/>
  <c r="AB230" i="70"/>
  <c r="AA230" i="70"/>
  <c r="Z230" i="70"/>
  <c r="Y230" i="70"/>
  <c r="X230" i="70"/>
  <c r="W230" i="70"/>
  <c r="V230" i="70"/>
  <c r="U230" i="70"/>
  <c r="T230" i="70"/>
  <c r="S230" i="70"/>
  <c r="R230" i="70"/>
  <c r="Q230" i="70"/>
  <c r="P230" i="70"/>
  <c r="O230" i="70"/>
  <c r="N230" i="70"/>
  <c r="M230" i="70"/>
  <c r="L230" i="70"/>
  <c r="K230" i="70"/>
  <c r="J230" i="70"/>
  <c r="I230" i="70"/>
  <c r="H230" i="70"/>
  <c r="G230" i="70"/>
  <c r="F230" i="70"/>
  <c r="E230" i="70"/>
  <c r="D230" i="70"/>
  <c r="C230" i="70"/>
  <c r="B230" i="70"/>
  <c r="AX196" i="70"/>
  <c r="AW196" i="70"/>
  <c r="AV196" i="70"/>
  <c r="AU196" i="70"/>
  <c r="AL196" i="70"/>
  <c r="AK196" i="70"/>
  <c r="AF196" i="70"/>
  <c r="AE196" i="70"/>
  <c r="AD196" i="70"/>
  <c r="AC196" i="70"/>
  <c r="X196" i="70"/>
  <c r="W196" i="70"/>
  <c r="V196" i="70"/>
  <c r="U196" i="70"/>
  <c r="P196" i="70"/>
  <c r="O196" i="70"/>
  <c r="N196" i="70"/>
  <c r="AY195" i="70"/>
  <c r="AX195" i="70"/>
  <c r="AW195" i="70"/>
  <c r="AV195" i="70"/>
  <c r="AU195" i="70"/>
  <c r="AT195" i="70"/>
  <c r="AS195" i="70"/>
  <c r="AM195" i="70"/>
  <c r="AM196" i="70" s="1"/>
  <c r="AL195" i="70"/>
  <c r="AK195" i="70"/>
  <c r="AJ195" i="70"/>
  <c r="AI195" i="70"/>
  <c r="AH195" i="70"/>
  <c r="AG195" i="70"/>
  <c r="AF195" i="70"/>
  <c r="AE195" i="70"/>
  <c r="AD195" i="70"/>
  <c r="AC195" i="70"/>
  <c r="AB195" i="70"/>
  <c r="AA195" i="70"/>
  <c r="Z195" i="70"/>
  <c r="Y195" i="70"/>
  <c r="X195" i="70"/>
  <c r="W195" i="70"/>
  <c r="V195" i="70"/>
  <c r="U195" i="70"/>
  <c r="T195" i="70"/>
  <c r="S195" i="70"/>
  <c r="R195" i="70"/>
  <c r="Q195" i="70"/>
  <c r="P195" i="70"/>
  <c r="O195" i="70"/>
  <c r="N195" i="70"/>
  <c r="AY194" i="70"/>
  <c r="AX194" i="70"/>
  <c r="AW194" i="70"/>
  <c r="AV194" i="70"/>
  <c r="AU194" i="70"/>
  <c r="AT194" i="70"/>
  <c r="AS194" i="70"/>
  <c r="AM194" i="70"/>
  <c r="AL194" i="70"/>
  <c r="AK194" i="70"/>
  <c r="AJ194" i="70"/>
  <c r="AI194" i="70"/>
  <c r="AH194" i="70"/>
  <c r="AG194" i="70"/>
  <c r="AF194" i="70"/>
  <c r="AE194" i="70"/>
  <c r="AD194" i="70"/>
  <c r="AC194" i="70"/>
  <c r="AB194" i="70"/>
  <c r="AA194" i="70"/>
  <c r="Z194" i="70"/>
  <c r="Y194" i="70"/>
  <c r="X194" i="70"/>
  <c r="W194" i="70"/>
  <c r="V194" i="70"/>
  <c r="U194" i="70"/>
  <c r="T194" i="70"/>
  <c r="S194" i="70"/>
  <c r="R194" i="70"/>
  <c r="Q194" i="70"/>
  <c r="P194" i="70"/>
  <c r="O194" i="70"/>
  <c r="N194" i="70"/>
  <c r="AY193" i="70"/>
  <c r="AX193" i="70"/>
  <c r="AW193" i="70"/>
  <c r="AV193" i="70"/>
  <c r="AU193" i="70"/>
  <c r="AT193" i="70"/>
  <c r="AS193" i="70"/>
  <c r="AM193" i="70"/>
  <c r="AL193" i="70"/>
  <c r="AK193" i="70"/>
  <c r="AJ193" i="70"/>
  <c r="AI193" i="70"/>
  <c r="AH193" i="70"/>
  <c r="AG193" i="70"/>
  <c r="AF193" i="70"/>
  <c r="AE193" i="70"/>
  <c r="AD193" i="70"/>
  <c r="AC193" i="70"/>
  <c r="AB193" i="70"/>
  <c r="AA193" i="70"/>
  <c r="Z193" i="70"/>
  <c r="Y193" i="70"/>
  <c r="X193" i="70"/>
  <c r="W193" i="70"/>
  <c r="V193" i="70"/>
  <c r="U193" i="70"/>
  <c r="T193" i="70"/>
  <c r="S193" i="70"/>
  <c r="R193" i="70"/>
  <c r="Q193" i="70"/>
  <c r="P193" i="70"/>
  <c r="O193" i="70"/>
  <c r="N193" i="70"/>
  <c r="AY185" i="70"/>
  <c r="AX185" i="70"/>
  <c r="AW185" i="70"/>
  <c r="AV185" i="70"/>
  <c r="AU185" i="70"/>
  <c r="AT185" i="70"/>
  <c r="AS185" i="70"/>
  <c r="AM185" i="70"/>
  <c r="AL185" i="70"/>
  <c r="AK185" i="70"/>
  <c r="AJ185" i="70"/>
  <c r="AI185" i="70"/>
  <c r="AH185" i="70"/>
  <c r="AG185" i="70"/>
  <c r="AF185" i="70"/>
  <c r="AE185" i="70"/>
  <c r="AD185" i="70"/>
  <c r="AC185" i="70"/>
  <c r="AB185" i="70"/>
  <c r="AA185" i="70"/>
  <c r="Z185" i="70"/>
  <c r="Y185" i="70"/>
  <c r="X185" i="70"/>
  <c r="W185" i="70"/>
  <c r="V185" i="70"/>
  <c r="U185" i="70"/>
  <c r="T185" i="70"/>
  <c r="S185" i="70"/>
  <c r="R185" i="70"/>
  <c r="Q185" i="70"/>
  <c r="AS176" i="70"/>
  <c r="T170" i="70"/>
  <c r="S170" i="70"/>
  <c r="R170" i="70"/>
  <c r="Q170" i="70"/>
  <c r="P170" i="70"/>
  <c r="O170" i="70"/>
  <c r="N170" i="70"/>
  <c r="M170" i="70"/>
  <c r="L170" i="70"/>
  <c r="K170" i="70"/>
  <c r="J170" i="70"/>
  <c r="I170" i="70"/>
  <c r="H170" i="70"/>
  <c r="G170" i="70"/>
  <c r="F170" i="70"/>
  <c r="E170" i="70"/>
  <c r="D170" i="70"/>
  <c r="C170" i="70"/>
  <c r="AU165" i="70"/>
  <c r="AT165" i="70"/>
  <c r="AS165" i="70"/>
  <c r="Q165" i="70"/>
  <c r="P165" i="70"/>
  <c r="O165" i="70"/>
  <c r="N165" i="70"/>
  <c r="M165" i="70"/>
  <c r="L165" i="70"/>
  <c r="K165" i="70"/>
  <c r="J165" i="70"/>
  <c r="I165" i="70"/>
  <c r="H165" i="70"/>
  <c r="G165" i="70"/>
  <c r="F165" i="70"/>
  <c r="D165" i="70"/>
  <c r="C165" i="70"/>
  <c r="B147" i="70"/>
  <c r="AM146" i="70"/>
  <c r="M127" i="70"/>
  <c r="L127" i="70"/>
  <c r="K127" i="70"/>
  <c r="J127" i="70"/>
  <c r="I127" i="70"/>
  <c r="H127" i="70"/>
  <c r="G127" i="70"/>
  <c r="F127" i="70"/>
  <c r="E127" i="70"/>
  <c r="D127" i="70"/>
  <c r="C127" i="70"/>
  <c r="B127" i="70"/>
  <c r="AM103" i="70"/>
  <c r="AL103" i="70"/>
  <c r="M103" i="70"/>
  <c r="L103" i="70"/>
  <c r="K103" i="70"/>
  <c r="J103" i="70"/>
  <c r="I103" i="70"/>
  <c r="H103" i="70"/>
  <c r="G103" i="70"/>
  <c r="F103" i="70"/>
  <c r="E103" i="70"/>
  <c r="D103" i="70"/>
  <c r="C103" i="70"/>
  <c r="B103" i="70"/>
  <c r="E78" i="70"/>
  <c r="D78" i="70"/>
  <c r="C78" i="70"/>
  <c r="AM69" i="70"/>
  <c r="AL69" i="70"/>
  <c r="AK69" i="70"/>
  <c r="AJ69" i="70"/>
  <c r="AI69" i="70"/>
  <c r="AH69" i="70"/>
  <c r="AG69" i="70"/>
  <c r="AF69" i="70"/>
  <c r="AE69" i="70"/>
  <c r="AD69" i="70"/>
  <c r="AC69" i="70"/>
  <c r="AB69" i="70"/>
  <c r="AA69" i="70"/>
  <c r="Z69" i="70"/>
  <c r="Y69" i="70"/>
  <c r="X69" i="70"/>
  <c r="W69" i="70"/>
  <c r="V69" i="70"/>
  <c r="U69" i="70"/>
  <c r="T69" i="70"/>
  <c r="S69" i="70"/>
  <c r="R69" i="70"/>
  <c r="Q69" i="70"/>
  <c r="P69" i="70"/>
  <c r="O69" i="70"/>
  <c r="N69" i="70"/>
  <c r="M69" i="70"/>
  <c r="L69" i="70"/>
  <c r="K69" i="70"/>
  <c r="J69" i="70"/>
  <c r="I69" i="70"/>
  <c r="H69" i="70"/>
  <c r="G69" i="70"/>
  <c r="F69" i="70"/>
  <c r="E69" i="70"/>
  <c r="D69" i="70"/>
  <c r="C69" i="70"/>
  <c r="AY64" i="70"/>
  <c r="AX64" i="70"/>
  <c r="AW64" i="70"/>
  <c r="AV64" i="70"/>
  <c r="AU64" i="70"/>
  <c r="AT64" i="70"/>
  <c r="AS64" i="70"/>
  <c r="AM64" i="70"/>
  <c r="AL64" i="70"/>
  <c r="AK64" i="70"/>
  <c r="AJ64" i="70"/>
  <c r="AI64" i="70"/>
  <c r="AH64" i="70"/>
  <c r="AG64" i="70"/>
  <c r="AF64" i="70"/>
  <c r="AE64" i="70"/>
  <c r="AD64" i="70"/>
  <c r="AC64" i="70"/>
  <c r="AB64" i="70"/>
  <c r="AA64" i="70"/>
  <c r="Z64" i="70"/>
  <c r="Y64" i="70"/>
  <c r="X64" i="70"/>
  <c r="W64" i="70"/>
  <c r="V64" i="70"/>
  <c r="U64" i="70"/>
  <c r="T64" i="70"/>
  <c r="S64" i="70"/>
  <c r="R64" i="70"/>
  <c r="Q64" i="70"/>
  <c r="P64" i="70"/>
  <c r="O64" i="70"/>
  <c r="N64" i="70"/>
  <c r="M64" i="70"/>
  <c r="L64" i="70"/>
  <c r="K64" i="70"/>
  <c r="J64" i="70"/>
  <c r="I64" i="70"/>
  <c r="H64" i="70"/>
  <c r="G64" i="70"/>
  <c r="F64" i="70"/>
  <c r="D64" i="70"/>
  <c r="C64" i="70"/>
  <c r="AY59" i="70"/>
  <c r="AX59" i="70"/>
  <c r="AW59" i="70"/>
  <c r="AV59" i="70"/>
  <c r="AU59" i="70"/>
  <c r="AT59" i="70"/>
  <c r="AS59" i="70"/>
  <c r="AM59" i="70"/>
  <c r="AL59" i="70"/>
  <c r="AK59" i="70"/>
  <c r="AJ59" i="70"/>
  <c r="AI59" i="70"/>
  <c r="AH59" i="70"/>
  <c r="AG59" i="70"/>
  <c r="AF59" i="70"/>
  <c r="AE59" i="70"/>
  <c r="AD59" i="70"/>
  <c r="AC59" i="70"/>
  <c r="AB59" i="70"/>
  <c r="AA59" i="70"/>
  <c r="Z59" i="70"/>
  <c r="Y59" i="70"/>
  <c r="X59" i="70"/>
  <c r="W59" i="70"/>
  <c r="V59" i="70"/>
  <c r="U59" i="70"/>
  <c r="T59" i="70"/>
  <c r="S59" i="70"/>
  <c r="R59" i="70"/>
  <c r="Q59" i="70"/>
  <c r="P59" i="70"/>
  <c r="O59" i="70"/>
  <c r="N59" i="70"/>
  <c r="AY51" i="70"/>
  <c r="AX51" i="70"/>
  <c r="AW51" i="70"/>
  <c r="AV51" i="70"/>
  <c r="AU51" i="70"/>
  <c r="AT51" i="70"/>
  <c r="AS51" i="70"/>
  <c r="AM51" i="70"/>
  <c r="AL51" i="70"/>
  <c r="AK51" i="70"/>
  <c r="AJ51" i="70"/>
  <c r="AI51" i="70"/>
  <c r="AH51" i="70"/>
  <c r="AG51" i="70"/>
  <c r="AF51" i="70"/>
  <c r="AE51" i="70"/>
  <c r="AD51" i="70"/>
  <c r="AC51" i="70"/>
  <c r="AB51" i="70"/>
  <c r="AA51" i="70"/>
  <c r="Z51" i="70"/>
  <c r="Y51" i="70"/>
  <c r="X51" i="70"/>
  <c r="W51" i="70"/>
  <c r="V51" i="70"/>
  <c r="U51" i="70"/>
  <c r="T51" i="70"/>
  <c r="S51" i="70"/>
  <c r="R51" i="70"/>
  <c r="Q51" i="70"/>
  <c r="P51" i="70"/>
  <c r="O51" i="70"/>
  <c r="N51" i="70"/>
  <c r="AW40" i="70"/>
  <c r="AV40" i="70"/>
  <c r="AU40" i="70"/>
  <c r="AT40" i="70"/>
  <c r="AS40" i="70"/>
  <c r="AM40" i="70"/>
  <c r="AL40" i="70"/>
  <c r="AK40" i="70"/>
  <c r="AJ40" i="70"/>
  <c r="AI40" i="70"/>
  <c r="AH40" i="70"/>
  <c r="AG40" i="70"/>
  <c r="AF40" i="70"/>
  <c r="AE40" i="70"/>
  <c r="AD40" i="70"/>
  <c r="AC40" i="70"/>
  <c r="AB40" i="70"/>
  <c r="AA40" i="70"/>
  <c r="Z40" i="70"/>
  <c r="Y40" i="70"/>
  <c r="X40" i="70"/>
  <c r="W40" i="70"/>
  <c r="V40" i="70"/>
  <c r="U40" i="70"/>
  <c r="T40" i="70"/>
  <c r="S40" i="70"/>
  <c r="R40" i="70"/>
  <c r="Q40" i="70"/>
  <c r="P40" i="70"/>
  <c r="O40" i="70"/>
  <c r="N40" i="70"/>
  <c r="M40" i="70"/>
  <c r="L40" i="70"/>
  <c r="K40" i="70"/>
  <c r="J40" i="70"/>
  <c r="I40" i="70"/>
  <c r="H40" i="70"/>
  <c r="G40" i="70"/>
  <c r="F40" i="70"/>
  <c r="E40" i="70"/>
  <c r="D40" i="70"/>
  <c r="C40" i="70"/>
  <c r="B40" i="70"/>
  <c r="AY34" i="70"/>
  <c r="AX34" i="70"/>
  <c r="AW34" i="70"/>
  <c r="AV34" i="70"/>
  <c r="AU34" i="70"/>
  <c r="AT34" i="70"/>
  <c r="AS34" i="70"/>
  <c r="AL34" i="70"/>
  <c r="AK34" i="70"/>
  <c r="AJ34" i="70"/>
  <c r="AI34" i="70"/>
  <c r="AH34" i="70"/>
  <c r="AG34" i="70"/>
  <c r="AF34" i="70"/>
  <c r="AE34" i="70"/>
  <c r="AD34" i="70"/>
  <c r="AC34" i="70"/>
  <c r="AB34" i="70"/>
  <c r="AA34" i="70"/>
  <c r="Z34" i="70"/>
  <c r="Y34" i="70"/>
  <c r="X34" i="70"/>
  <c r="W34" i="70"/>
  <c r="V34" i="70"/>
  <c r="U34" i="70"/>
  <c r="T34" i="70"/>
  <c r="S34" i="70"/>
  <c r="R34" i="70"/>
  <c r="Q34" i="70"/>
  <c r="P34" i="70"/>
  <c r="O34" i="70"/>
  <c r="N34" i="70"/>
  <c r="M34" i="70"/>
  <c r="L34" i="70"/>
  <c r="K34" i="70"/>
  <c r="J34" i="70"/>
  <c r="I34" i="70"/>
  <c r="H34" i="70"/>
  <c r="G34" i="70"/>
  <c r="F34" i="70"/>
  <c r="E34" i="70"/>
  <c r="D34" i="70"/>
  <c r="C34" i="70"/>
  <c r="B34" i="70"/>
  <c r="AV23" i="70"/>
  <c r="AM21" i="70"/>
  <c r="AL21" i="70"/>
  <c r="AK21" i="70"/>
  <c r="AJ21" i="70"/>
  <c r="AI21" i="70"/>
  <c r="AH21" i="70"/>
  <c r="AG21" i="70"/>
  <c r="AF21" i="70"/>
  <c r="AE21" i="70"/>
  <c r="AK20" i="70"/>
  <c r="AJ20" i="70"/>
  <c r="AI20" i="70"/>
  <c r="AT4" i="70"/>
  <c r="AS4" i="70"/>
  <c r="AL4" i="70"/>
  <c r="AL123" i="70" s="1"/>
  <c r="AK4" i="70"/>
  <c r="AK169" i="70" s="1"/>
  <c r="AJ4" i="70"/>
  <c r="AI4" i="70"/>
  <c r="AM6" i="70" s="1"/>
  <c r="AH4" i="70"/>
  <c r="AH163" i="70" s="1"/>
  <c r="AG4" i="70"/>
  <c r="AG74" i="70" s="1"/>
  <c r="AF4" i="70"/>
  <c r="AF76" i="70" s="1"/>
  <c r="AE4" i="70"/>
  <c r="AE101" i="70" s="1"/>
  <c r="AD4" i="70"/>
  <c r="AD124" i="70" s="1"/>
  <c r="AC4" i="70"/>
  <c r="AC75" i="70" s="1"/>
  <c r="AB4" i="70"/>
  <c r="AA4" i="70"/>
  <c r="Z4" i="70"/>
  <c r="Z146" i="70" s="1"/>
  <c r="Y4" i="70"/>
  <c r="Y100" i="70" s="1"/>
  <c r="X4" i="70"/>
  <c r="X144" i="70" s="1"/>
  <c r="W4" i="70"/>
  <c r="W101" i="70" s="1"/>
  <c r="V4" i="70"/>
  <c r="V74" i="70" s="1"/>
  <c r="AA235" i="12"/>
  <c r="AI81" i="2"/>
  <c r="AA253" i="12"/>
  <c r="AI23" i="2"/>
  <c r="AI101" i="2"/>
  <c r="AI99" i="2"/>
  <c r="AI102" i="2" s="1"/>
  <c r="AI53" i="2"/>
  <c r="AI36" i="2"/>
  <c r="AI35" i="2"/>
  <c r="AI37" i="2" s="1"/>
  <c r="AI21" i="2"/>
  <c r="AI7" i="2"/>
  <c r="AI6" i="2"/>
  <c r="AI4" i="2"/>
  <c r="Y20" i="12"/>
  <c r="AA327" i="12"/>
  <c r="AA325" i="12"/>
  <c r="AA324" i="12"/>
  <c r="AA322" i="12"/>
  <c r="AA321" i="12"/>
  <c r="AA319" i="12"/>
  <c r="AA318" i="12"/>
  <c r="AA316" i="12"/>
  <c r="AA315" i="12"/>
  <c r="AA306" i="12"/>
  <c r="AE21" i="12" s="1"/>
  <c r="AA305" i="12"/>
  <c r="AA293" i="12"/>
  <c r="AA292" i="12"/>
  <c r="AA291" i="12"/>
  <c r="AA290" i="12"/>
  <c r="AA286" i="12"/>
  <c r="AA278" i="12"/>
  <c r="AA259" i="12"/>
  <c r="AA255" i="12"/>
  <c r="AA252" i="12"/>
  <c r="AA251" i="12"/>
  <c r="AA234" i="12"/>
  <c r="AA199" i="12"/>
  <c r="AA198" i="12"/>
  <c r="AA197" i="12"/>
  <c r="AA189" i="12"/>
  <c r="AA107" i="12"/>
  <c r="AA70" i="12"/>
  <c r="AA65" i="12"/>
  <c r="AA60" i="12"/>
  <c r="AA52" i="12"/>
  <c r="AA41" i="12"/>
  <c r="AA35" i="12"/>
  <c r="AA4" i="12"/>
  <c r="AE6" i="12" s="1"/>
  <c r="AN69" i="7" l="1"/>
  <c r="AB328" i="12"/>
  <c r="AE329" i="12"/>
  <c r="G60" i="72"/>
  <c r="Y60" i="72" s="1"/>
  <c r="G58" i="72"/>
  <c r="H58" i="72"/>
  <c r="AJ73" i="2"/>
  <c r="AJ72" i="2"/>
  <c r="AN35" i="7"/>
  <c r="AN71" i="7" s="1"/>
  <c r="AJ67" i="2"/>
  <c r="AJ84" i="2" s="1"/>
  <c r="Z169" i="3"/>
  <c r="BL23" i="2"/>
  <c r="AH3" i="70"/>
  <c r="Y3" i="70"/>
  <c r="AS5" i="70"/>
  <c r="AA133" i="3"/>
  <c r="AB3" i="12"/>
  <c r="AB5" i="12"/>
  <c r="AH27" i="2"/>
  <c r="AA203" i="12"/>
  <c r="AE215" i="12" s="1"/>
  <c r="Z3" i="70"/>
  <c r="AE72" i="70"/>
  <c r="Z75" i="70"/>
  <c r="AH97" i="70"/>
  <c r="AC124" i="70"/>
  <c r="AK163" i="70"/>
  <c r="AK75" i="70"/>
  <c r="Z164" i="70"/>
  <c r="AH98" i="70"/>
  <c r="AC141" i="3"/>
  <c r="E63" i="72"/>
  <c r="D63" i="72"/>
  <c r="D62" i="72"/>
  <c r="K60" i="72"/>
  <c r="L60" i="72" s="1"/>
  <c r="M60" i="72" s="1"/>
  <c r="N60" i="72" s="1"/>
  <c r="AA300" i="12"/>
  <c r="AA73" i="12"/>
  <c r="G76" i="72"/>
  <c r="G138" i="72"/>
  <c r="Y110" i="72"/>
  <c r="Y111" i="72" s="1"/>
  <c r="K103" i="72"/>
  <c r="L100" i="72"/>
  <c r="G53" i="72"/>
  <c r="G54" i="72"/>
  <c r="K93" i="72"/>
  <c r="L90" i="72"/>
  <c r="J110" i="72"/>
  <c r="J108" i="72"/>
  <c r="K105" i="72"/>
  <c r="K98" i="72"/>
  <c r="L95" i="72"/>
  <c r="Y107" i="72"/>
  <c r="L83" i="72"/>
  <c r="K87" i="72"/>
  <c r="K86" i="72"/>
  <c r="AC54" i="72"/>
  <c r="R60" i="72"/>
  <c r="Y66" i="72"/>
  <c r="Y65" i="72"/>
  <c r="F63" i="72"/>
  <c r="AG3" i="70"/>
  <c r="Z10" i="70"/>
  <c r="AF72" i="70"/>
  <c r="Z102" i="70"/>
  <c r="AH125" i="70"/>
  <c r="W74" i="70"/>
  <c r="AH99" i="70"/>
  <c r="X122" i="70"/>
  <c r="X74" i="70"/>
  <c r="X76" i="70"/>
  <c r="W97" i="70"/>
  <c r="AG122" i="70"/>
  <c r="AA74" i="12"/>
  <c r="AJ6" i="70"/>
  <c r="AH73" i="70"/>
  <c r="Y76" i="70"/>
  <c r="Y97" i="70"/>
  <c r="AH100" i="70"/>
  <c r="AC123" i="70"/>
  <c r="W99" i="70"/>
  <c r="Z5" i="70"/>
  <c r="AK73" i="70"/>
  <c r="AG76" i="70"/>
  <c r="AG85" i="70" s="1"/>
  <c r="AM5" i="70"/>
  <c r="Y99" i="70"/>
  <c r="X123" i="70"/>
  <c r="V125" i="70"/>
  <c r="X146" i="70"/>
  <c r="V168" i="70"/>
  <c r="AM3" i="70"/>
  <c r="AC5" i="70"/>
  <c r="Z6" i="70"/>
  <c r="AG72" i="70"/>
  <c r="AD74" i="70"/>
  <c r="Z99" i="70"/>
  <c r="Z123" i="70"/>
  <c r="Y125" i="70"/>
  <c r="AK146" i="70"/>
  <c r="AE5" i="70"/>
  <c r="AH6" i="70"/>
  <c r="V101" i="70"/>
  <c r="W110" i="70" s="1"/>
  <c r="AH5" i="70"/>
  <c r="Z73" i="70"/>
  <c r="AL74" i="70"/>
  <c r="AM83" i="70" s="1"/>
  <c r="AA109" i="3" s="1"/>
  <c r="AH75" i="70"/>
  <c r="Z98" i="70"/>
  <c r="AH101" i="70"/>
  <c r="W122" i="70"/>
  <c r="W144" i="70"/>
  <c r="X151" i="70" s="1"/>
  <c r="X200" i="70"/>
  <c r="AF200" i="70"/>
  <c r="AE200" i="70"/>
  <c r="AD3" i="70"/>
  <c r="AE3" i="70"/>
  <c r="AD72" i="70"/>
  <c r="AD76" i="70"/>
  <c r="Z97" i="70"/>
  <c r="Z100" i="70"/>
  <c r="Z109" i="70" s="1"/>
  <c r="AH122" i="70"/>
  <c r="AM292" i="70"/>
  <c r="AM320" i="70"/>
  <c r="W299" i="70"/>
  <c r="AA300" i="70"/>
  <c r="AA169" i="70"/>
  <c r="AA163" i="70"/>
  <c r="AA291" i="70"/>
  <c r="AA168" i="70"/>
  <c r="AA123" i="70"/>
  <c r="AA144" i="70"/>
  <c r="AA122" i="70"/>
  <c r="AA124" i="70"/>
  <c r="AA101" i="70"/>
  <c r="AE118" i="70" s="1"/>
  <c r="AA76" i="70"/>
  <c r="AA74" i="70"/>
  <c r="AA72" i="70"/>
  <c r="AA146" i="70"/>
  <c r="AA125" i="70"/>
  <c r="AA6" i="70"/>
  <c r="AA164" i="70"/>
  <c r="AA3" i="70"/>
  <c r="AA73" i="70"/>
  <c r="AA99" i="70"/>
  <c r="AA97" i="70"/>
  <c r="AA10" i="70"/>
  <c r="AA102" i="70"/>
  <c r="AA145" i="70"/>
  <c r="AA75" i="70"/>
  <c r="AF299" i="70"/>
  <c r="AJ291" i="70"/>
  <c r="AJ300" i="70"/>
  <c r="AJ169" i="70"/>
  <c r="AJ163" i="70"/>
  <c r="AJ145" i="70"/>
  <c r="AJ168" i="70"/>
  <c r="AJ123" i="70"/>
  <c r="AJ101" i="70"/>
  <c r="AJ164" i="70"/>
  <c r="AJ144" i="70"/>
  <c r="AJ146" i="70"/>
  <c r="AJ76" i="70"/>
  <c r="AJ74" i="70"/>
  <c r="AJ72" i="70"/>
  <c r="AJ126" i="70"/>
  <c r="AJ124" i="70"/>
  <c r="AJ99" i="70"/>
  <c r="AJ97" i="70"/>
  <c r="AJ75" i="70"/>
  <c r="AK5" i="70"/>
  <c r="AJ3" i="70"/>
  <c r="AJ5" i="70"/>
  <c r="AK3" i="70"/>
  <c r="AJ102" i="70"/>
  <c r="AJ125" i="70"/>
  <c r="AJ122" i="70"/>
  <c r="AJ200" i="70"/>
  <c r="AJ100" i="70"/>
  <c r="AJ98" i="70"/>
  <c r="AI301" i="70"/>
  <c r="AE299" i="70"/>
  <c r="AI300" i="70"/>
  <c r="AI169" i="70"/>
  <c r="AI163" i="70"/>
  <c r="AI291" i="70"/>
  <c r="AI164" i="70"/>
  <c r="AI168" i="70"/>
  <c r="AI145" i="70"/>
  <c r="AI123" i="70"/>
  <c r="AI122" i="70"/>
  <c r="AI102" i="70"/>
  <c r="AI146" i="70"/>
  <c r="AM160" i="70" s="1"/>
  <c r="AI144" i="70"/>
  <c r="AI76" i="70"/>
  <c r="AI74" i="70"/>
  <c r="AM90" i="70" s="1"/>
  <c r="AI72" i="70"/>
  <c r="AI126" i="70"/>
  <c r="AI101" i="70"/>
  <c r="AI6" i="70"/>
  <c r="AI124" i="70"/>
  <c r="AI98" i="70"/>
  <c r="AI99" i="70"/>
  <c r="AI97" i="70"/>
  <c r="AI75" i="70"/>
  <c r="AI5" i="70"/>
  <c r="AI3" i="70"/>
  <c r="AI125" i="70"/>
  <c r="AI100" i="70"/>
  <c r="X299" i="70"/>
  <c r="AB291" i="70"/>
  <c r="AB300" i="70"/>
  <c r="AB169" i="70"/>
  <c r="AB163" i="70"/>
  <c r="AB145" i="70"/>
  <c r="AB200" i="70"/>
  <c r="AB123" i="70"/>
  <c r="AB101" i="70"/>
  <c r="AB144" i="70"/>
  <c r="AB168" i="70"/>
  <c r="AB124" i="70"/>
  <c r="AB76" i="70"/>
  <c r="AF92" i="70" s="1"/>
  <c r="AB74" i="70"/>
  <c r="AB72" i="70"/>
  <c r="AB146" i="70"/>
  <c r="AB125" i="70"/>
  <c r="AB122" i="70"/>
  <c r="AB164" i="70"/>
  <c r="AB100" i="70"/>
  <c r="AB99" i="70"/>
  <c r="AB98" i="70"/>
  <c r="AB97" i="70"/>
  <c r="AB10" i="70"/>
  <c r="AB73" i="70"/>
  <c r="AB3" i="70"/>
  <c r="AB102" i="70"/>
  <c r="AB6" i="70"/>
  <c r="AB75" i="70"/>
  <c r="AB126" i="70"/>
  <c r="AT300" i="70"/>
  <c r="AT124" i="70"/>
  <c r="AT99" i="70"/>
  <c r="AT98" i="70"/>
  <c r="AT97" i="70"/>
  <c r="AT146" i="70"/>
  <c r="AT145" i="70"/>
  <c r="AT200" i="70"/>
  <c r="AT144" i="70"/>
  <c r="AT122" i="70"/>
  <c r="AT100" i="70"/>
  <c r="AT76" i="70"/>
  <c r="AT72" i="70"/>
  <c r="AT74" i="70"/>
  <c r="AT102" i="70"/>
  <c r="AT123" i="70"/>
  <c r="AT73" i="70"/>
  <c r="AT75" i="70"/>
  <c r="AT101" i="70"/>
  <c r="AA98" i="70"/>
  <c r="AS300" i="70"/>
  <c r="AS144" i="70"/>
  <c r="AS124" i="70"/>
  <c r="AS146" i="70"/>
  <c r="AS123" i="70"/>
  <c r="AS101" i="70"/>
  <c r="AS122" i="70"/>
  <c r="AS100" i="70"/>
  <c r="AS76" i="70"/>
  <c r="AS72" i="70"/>
  <c r="AS125" i="70" s="1"/>
  <c r="AS99" i="70"/>
  <c r="AS98" i="70"/>
  <c r="AS97" i="70"/>
  <c r="AS74" i="70"/>
  <c r="AS102" i="70"/>
  <c r="AS73" i="70"/>
  <c r="AS145" i="70"/>
  <c r="AS75" i="70"/>
  <c r="AS3" i="70"/>
  <c r="AT5" i="70"/>
  <c r="AI73" i="70"/>
  <c r="AT3" i="70"/>
  <c r="AJ73" i="70"/>
  <c r="AA126" i="70"/>
  <c r="AB199" i="70"/>
  <c r="AJ199" i="70"/>
  <c r="AT199" i="70"/>
  <c r="T196" i="70"/>
  <c r="AB196" i="70"/>
  <c r="AB202" i="70" s="1"/>
  <c r="AB201" i="70"/>
  <c r="AA5" i="70"/>
  <c r="AA100" i="70"/>
  <c r="AE76" i="70"/>
  <c r="AF85" i="70" s="1"/>
  <c r="AF124" i="70"/>
  <c r="AC126" i="70"/>
  <c r="R299" i="70"/>
  <c r="V300" i="70"/>
  <c r="V201" i="70"/>
  <c r="V199" i="70"/>
  <c r="V291" i="70"/>
  <c r="V164" i="70"/>
  <c r="V146" i="70"/>
  <c r="V169" i="70"/>
  <c r="V122" i="70"/>
  <c r="V200" i="70"/>
  <c r="V145" i="70"/>
  <c r="V163" i="70"/>
  <c r="V144" i="70"/>
  <c r="V126" i="70"/>
  <c r="V100" i="70"/>
  <c r="V99" i="70"/>
  <c r="V98" i="70"/>
  <c r="V97" i="70"/>
  <c r="V123" i="70"/>
  <c r="V102" i="70"/>
  <c r="V124" i="70"/>
  <c r="V75" i="70"/>
  <c r="V73" i="70"/>
  <c r="AD301" i="70"/>
  <c r="Z299" i="70"/>
  <c r="AD300" i="70"/>
  <c r="AD291" i="70"/>
  <c r="AD168" i="70"/>
  <c r="AD164" i="70"/>
  <c r="AD146" i="70"/>
  <c r="AD144" i="70"/>
  <c r="AD122" i="70"/>
  <c r="AD199" i="70"/>
  <c r="AD163" i="70"/>
  <c r="AD169" i="70"/>
  <c r="AD6" i="70"/>
  <c r="AD125" i="70"/>
  <c r="AD201" i="70"/>
  <c r="AD100" i="70"/>
  <c r="AD99" i="70"/>
  <c r="AD98" i="70"/>
  <c r="AD97" i="70"/>
  <c r="AD145" i="70"/>
  <c r="AD75" i="70"/>
  <c r="AD73" i="70"/>
  <c r="AD5" i="70"/>
  <c r="AD126" i="70"/>
  <c r="AD123" i="70"/>
  <c r="AD102" i="70"/>
  <c r="AL301" i="70"/>
  <c r="AH299" i="70"/>
  <c r="AL300" i="70"/>
  <c r="AL291" i="70"/>
  <c r="AL201" i="70"/>
  <c r="AL199" i="70"/>
  <c r="AL169" i="70"/>
  <c r="AL163" i="70"/>
  <c r="AL146" i="70"/>
  <c r="AM153" i="70" s="1"/>
  <c r="AL164" i="70"/>
  <c r="AL122" i="70"/>
  <c r="AL202" i="70"/>
  <c r="AL144" i="70"/>
  <c r="AL125" i="70"/>
  <c r="AL126" i="70"/>
  <c r="AL6" i="70"/>
  <c r="AL145" i="70"/>
  <c r="AL124" i="70"/>
  <c r="AL148" i="70"/>
  <c r="AL75" i="70"/>
  <c r="AL73" i="70"/>
  <c r="AL5" i="70"/>
  <c r="AL168" i="70"/>
  <c r="AL200" i="70"/>
  <c r="V72" i="70"/>
  <c r="AL72" i="70"/>
  <c r="AM81" i="70" s="1"/>
  <c r="AA97" i="3" s="1"/>
  <c r="Y74" i="70"/>
  <c r="AM123" i="70"/>
  <c r="AE144" i="70"/>
  <c r="V202" i="70"/>
  <c r="S299" i="70"/>
  <c r="W291" i="70"/>
  <c r="W300" i="70"/>
  <c r="W164" i="70"/>
  <c r="W145" i="70"/>
  <c r="W200" i="70"/>
  <c r="W168" i="70"/>
  <c r="W146" i="70"/>
  <c r="W125" i="70"/>
  <c r="W199" i="70"/>
  <c r="W163" i="70"/>
  <c r="W126" i="70"/>
  <c r="W124" i="70"/>
  <c r="W169" i="70"/>
  <c r="W123" i="70"/>
  <c r="W5" i="70"/>
  <c r="W102" i="70"/>
  <c r="W75" i="70"/>
  <c r="W73" i="70"/>
  <c r="W201" i="70"/>
  <c r="W72" i="70"/>
  <c r="W98" i="70"/>
  <c r="W100" i="70"/>
  <c r="AD101" i="70"/>
  <c r="AE110" i="70" s="1"/>
  <c r="X300" i="70"/>
  <c r="T299" i="70"/>
  <c r="X291" i="70"/>
  <c r="X168" i="70"/>
  <c r="X201" i="70"/>
  <c r="X199" i="70"/>
  <c r="X164" i="70"/>
  <c r="X169" i="70"/>
  <c r="X163" i="70"/>
  <c r="X125" i="70"/>
  <c r="X102" i="70"/>
  <c r="X100" i="70"/>
  <c r="X99" i="70"/>
  <c r="X98" i="70"/>
  <c r="X97" i="70"/>
  <c r="X145" i="70"/>
  <c r="X126" i="70"/>
  <c r="X75" i="70"/>
  <c r="X73" i="70"/>
  <c r="X124" i="70"/>
  <c r="X101" i="70"/>
  <c r="X3" i="70"/>
  <c r="AF300" i="70"/>
  <c r="AF301" i="70"/>
  <c r="AB299" i="70"/>
  <c r="AF291" i="70"/>
  <c r="AF168" i="70"/>
  <c r="AF201" i="70"/>
  <c r="AF199" i="70"/>
  <c r="AF169" i="70"/>
  <c r="AF125" i="70"/>
  <c r="AF102" i="70"/>
  <c r="AF100" i="70"/>
  <c r="AF99" i="70"/>
  <c r="AF98" i="70"/>
  <c r="AF97" i="70"/>
  <c r="AF146" i="70"/>
  <c r="AF126" i="70"/>
  <c r="AF164" i="70"/>
  <c r="AF163" i="70"/>
  <c r="AF122" i="70"/>
  <c r="AF75" i="70"/>
  <c r="AF73" i="70"/>
  <c r="AF5" i="70"/>
  <c r="AF145" i="70"/>
  <c r="AF123" i="70"/>
  <c r="AF3" i="70"/>
  <c r="AF144" i="70"/>
  <c r="AF6" i="70"/>
  <c r="X72" i="70"/>
  <c r="AE74" i="70"/>
  <c r="V76" i="70"/>
  <c r="AL76" i="70"/>
  <c r="Y98" i="70"/>
  <c r="Y299" i="70"/>
  <c r="AC291" i="70"/>
  <c r="AC300" i="70"/>
  <c r="AC169" i="70"/>
  <c r="AC163" i="70"/>
  <c r="AC144" i="70"/>
  <c r="AC168" i="70"/>
  <c r="AC201" i="70"/>
  <c r="AC122" i="70"/>
  <c r="AC146" i="70"/>
  <c r="AC125" i="70"/>
  <c r="AC102" i="70"/>
  <c r="AC100" i="70"/>
  <c r="AC99" i="70"/>
  <c r="AC98" i="70"/>
  <c r="AC97" i="70"/>
  <c r="AC164" i="70"/>
  <c r="AC101" i="70"/>
  <c r="AC76" i="70"/>
  <c r="AC74" i="70"/>
  <c r="AG90" i="70" s="1"/>
  <c r="AC72" i="70"/>
  <c r="AD17" i="70"/>
  <c r="AE17" i="70" s="1"/>
  <c r="AF17" i="70" s="1"/>
  <c r="AG17" i="70" s="1"/>
  <c r="AH17" i="70" s="1"/>
  <c r="AC6" i="70"/>
  <c r="AC145" i="70"/>
  <c r="AA299" i="70"/>
  <c r="AE291" i="70"/>
  <c r="AE300" i="70"/>
  <c r="AE301" i="70"/>
  <c r="AE164" i="70"/>
  <c r="AE145" i="70"/>
  <c r="AE201" i="70"/>
  <c r="AE199" i="70"/>
  <c r="AE163" i="70"/>
  <c r="AE169" i="70"/>
  <c r="AE125" i="70"/>
  <c r="AE168" i="70"/>
  <c r="AE146" i="70"/>
  <c r="AE202" i="70"/>
  <c r="AE126" i="70"/>
  <c r="AE124" i="70"/>
  <c r="AE122" i="70"/>
  <c r="AE100" i="70"/>
  <c r="AE99" i="70"/>
  <c r="AE98" i="70"/>
  <c r="AE97" i="70"/>
  <c r="AE75" i="70"/>
  <c r="AE73" i="70"/>
  <c r="AE123" i="70"/>
  <c r="AE102" i="70"/>
  <c r="AM291" i="70"/>
  <c r="AM300" i="70"/>
  <c r="AM301" i="70"/>
  <c r="AM164" i="70"/>
  <c r="AM169" i="70"/>
  <c r="AM163" i="70"/>
  <c r="AM145" i="70"/>
  <c r="AM168" i="70"/>
  <c r="AM200" i="70"/>
  <c r="AM144" i="70"/>
  <c r="AM125" i="70"/>
  <c r="AM201" i="70"/>
  <c r="AM126" i="70"/>
  <c r="AM124" i="70"/>
  <c r="AM199" i="70"/>
  <c r="AM148" i="70"/>
  <c r="AM122" i="70"/>
  <c r="AE6" i="70"/>
  <c r="AC3" i="70"/>
  <c r="AL3" i="70"/>
  <c r="Y300" i="70"/>
  <c r="U299" i="70"/>
  <c r="Y164" i="70"/>
  <c r="Y169" i="70"/>
  <c r="Y163" i="70"/>
  <c r="Y291" i="70"/>
  <c r="Y146" i="70"/>
  <c r="Y145" i="70"/>
  <c r="Y126" i="70"/>
  <c r="Y124" i="70"/>
  <c r="Y144" i="70"/>
  <c r="Y123" i="70"/>
  <c r="Y101" i="70"/>
  <c r="Y168" i="70"/>
  <c r="Y102" i="70"/>
  <c r="Y75" i="70"/>
  <c r="Y73" i="70"/>
  <c r="Y122" i="70"/>
  <c r="AG300" i="70"/>
  <c r="AG301" i="70"/>
  <c r="AC299" i="70"/>
  <c r="AG164" i="70"/>
  <c r="AG291" i="70"/>
  <c r="AG169" i="70"/>
  <c r="AG163" i="70"/>
  <c r="AG146" i="70"/>
  <c r="AG168" i="70"/>
  <c r="AG126" i="70"/>
  <c r="AG124" i="70"/>
  <c r="AG145" i="70"/>
  <c r="AG123" i="70"/>
  <c r="AG101" i="70"/>
  <c r="AG125" i="70"/>
  <c r="AG100" i="70"/>
  <c r="AG99" i="70"/>
  <c r="AG98" i="70"/>
  <c r="AG97" i="70"/>
  <c r="AG75" i="70"/>
  <c r="AG73" i="70"/>
  <c r="AG5" i="70"/>
  <c r="AG102" i="70"/>
  <c r="AG144" i="70"/>
  <c r="X5" i="70"/>
  <c r="AG6" i="70"/>
  <c r="Y72" i="70"/>
  <c r="AC73" i="70"/>
  <c r="AF74" i="70"/>
  <c r="AG83" i="70" s="1"/>
  <c r="W76" i="70"/>
  <c r="AF101" i="70"/>
  <c r="AJ196" i="70"/>
  <c r="AJ202" i="70" s="1"/>
  <c r="AJ201" i="70"/>
  <c r="AT196" i="70"/>
  <c r="AT202" i="70" s="1"/>
  <c r="AT201" i="70"/>
  <c r="AF202" i="70"/>
  <c r="Z125" i="70"/>
  <c r="AC199" i="70"/>
  <c r="AK199" i="70"/>
  <c r="Y200" i="70"/>
  <c r="AG200" i="70"/>
  <c r="AK202" i="70"/>
  <c r="V299" i="70"/>
  <c r="Z291" i="70"/>
  <c r="Z300" i="70"/>
  <c r="Z168" i="70"/>
  <c r="Z144" i="70"/>
  <c r="Z145" i="70"/>
  <c r="Z126" i="70"/>
  <c r="Z124" i="70"/>
  <c r="Z163" i="70"/>
  <c r="Z169" i="70"/>
  <c r="AH301" i="70"/>
  <c r="AD299" i="70"/>
  <c r="AH291" i="70"/>
  <c r="AH300" i="70"/>
  <c r="AH168" i="70"/>
  <c r="AH164" i="70"/>
  <c r="AH165" i="70" s="1"/>
  <c r="AH144" i="70"/>
  <c r="AH169" i="70"/>
  <c r="AH146" i="70"/>
  <c r="AH126" i="70"/>
  <c r="AH124" i="70"/>
  <c r="AH145" i="70"/>
  <c r="Z72" i="70"/>
  <c r="AH72" i="70"/>
  <c r="Z74" i="70"/>
  <c r="AH74" i="70"/>
  <c r="Z76" i="70"/>
  <c r="AH76" i="70"/>
  <c r="Z122" i="70"/>
  <c r="Z101" i="70"/>
  <c r="AK101" i="70"/>
  <c r="AK124" i="70"/>
  <c r="AK6" i="70"/>
  <c r="AH102" i="70"/>
  <c r="AH123" i="70"/>
  <c r="AK126" i="70"/>
  <c r="AK301" i="70"/>
  <c r="AG299" i="70"/>
  <c r="AK291" i="70"/>
  <c r="AK300" i="70"/>
  <c r="AK144" i="70"/>
  <c r="AK201" i="70"/>
  <c r="AK168" i="70"/>
  <c r="AK170" i="70" s="1"/>
  <c r="AK145" i="70"/>
  <c r="AK164" i="70"/>
  <c r="AK122" i="70"/>
  <c r="AK125" i="70"/>
  <c r="AK102" i="70"/>
  <c r="AK100" i="70"/>
  <c r="AK99" i="70"/>
  <c r="AK98" i="70"/>
  <c r="AK97" i="70"/>
  <c r="AK72" i="70"/>
  <c r="AK74" i="70"/>
  <c r="AK76" i="70"/>
  <c r="AK123" i="70"/>
  <c r="AL131" i="70" s="1"/>
  <c r="AA200" i="70"/>
  <c r="AI200" i="70"/>
  <c r="AS200" i="70"/>
  <c r="W202" i="70"/>
  <c r="AM202" i="70"/>
  <c r="Y199" i="70"/>
  <c r="AG199" i="70"/>
  <c r="AC200" i="70"/>
  <c r="AK200" i="70"/>
  <c r="Q196" i="70"/>
  <c r="Y201" i="70"/>
  <c r="Y196" i="70"/>
  <c r="Y202" i="70" s="1"/>
  <c r="AG201" i="70"/>
  <c r="AG196" i="70"/>
  <c r="AG202" i="70" s="1"/>
  <c r="AY196" i="70"/>
  <c r="AC202" i="70"/>
  <c r="AD200" i="70"/>
  <c r="AD202" i="70"/>
  <c r="Z200" i="70"/>
  <c r="AH200" i="70"/>
  <c r="AC288" i="70"/>
  <c r="AC286" i="70"/>
  <c r="AK288" i="70"/>
  <c r="AK286" i="70"/>
  <c r="X202" i="70"/>
  <c r="AB249" i="70"/>
  <c r="AC249" i="70"/>
  <c r="Z199" i="70"/>
  <c r="AH199" i="70"/>
  <c r="R196" i="70"/>
  <c r="Z201" i="70"/>
  <c r="Z196" i="70"/>
  <c r="Z202" i="70" s="1"/>
  <c r="AH201" i="70"/>
  <c r="AH196" i="70"/>
  <c r="AH202" i="70" s="1"/>
  <c r="AA199" i="70"/>
  <c r="AI199" i="70"/>
  <c r="AS199" i="70"/>
  <c r="S196" i="70"/>
  <c r="AA201" i="70"/>
  <c r="AA196" i="70"/>
  <c r="AA202" i="70" s="1"/>
  <c r="AI201" i="70"/>
  <c r="AI196" i="70"/>
  <c r="AI202" i="70" s="1"/>
  <c r="AS201" i="70"/>
  <c r="AS196" i="70"/>
  <c r="AS202" i="70" s="1"/>
  <c r="O288" i="70"/>
  <c r="I251" i="70"/>
  <c r="I253" i="70" s="1"/>
  <c r="Q251" i="70"/>
  <c r="Q253" i="70" s="1"/>
  <c r="Y251" i="70"/>
  <c r="Y253" i="70" s="1"/>
  <c r="AE286" i="70"/>
  <c r="AM286" i="70"/>
  <c r="T288" i="70"/>
  <c r="Y286" i="70"/>
  <c r="AG286" i="70"/>
  <c r="D251" i="70"/>
  <c r="D253" i="70" s="1"/>
  <c r="L251" i="70"/>
  <c r="L253" i="70" s="1"/>
  <c r="T251" i="70"/>
  <c r="T253" i="70" s="1"/>
  <c r="AB251" i="70"/>
  <c r="AB253" i="70" s="1"/>
  <c r="AH286" i="70"/>
  <c r="AE288" i="70"/>
  <c r="F251" i="70"/>
  <c r="F253" i="70" s="1"/>
  <c r="N251" i="70"/>
  <c r="N253" i="70" s="1"/>
  <c r="V251" i="70"/>
  <c r="V253" i="70" s="1"/>
  <c r="AB286" i="70"/>
  <c r="AJ286" i="70"/>
  <c r="AM293" i="70"/>
  <c r="V288" i="70"/>
  <c r="AF319" i="70"/>
  <c r="AB320" i="70"/>
  <c r="AJ320" i="70"/>
  <c r="AC320" i="70"/>
  <c r="AK320" i="70"/>
  <c r="AH319" i="70"/>
  <c r="S286" i="70"/>
  <c r="AA286" i="70"/>
  <c r="AI286" i="70"/>
  <c r="AI319" i="70"/>
  <c r="AJ301" i="70"/>
  <c r="AC319" i="70"/>
  <c r="AK319" i="70"/>
  <c r="AG320" i="70"/>
  <c r="AA301" i="12"/>
  <c r="AI18" i="2"/>
  <c r="AI80" i="2"/>
  <c r="AA204" i="12"/>
  <c r="AE216" i="12" s="1"/>
  <c r="AA150" i="12"/>
  <c r="AA152" i="12"/>
  <c r="AB159" i="12" s="1"/>
  <c r="AA128" i="12"/>
  <c r="AA205" i="12"/>
  <c r="AE217" i="12" s="1"/>
  <c r="AA129" i="12"/>
  <c r="AA130" i="12"/>
  <c r="AA297" i="12"/>
  <c r="AA167" i="12"/>
  <c r="AA75" i="12"/>
  <c r="AA168" i="12"/>
  <c r="AA77" i="12"/>
  <c r="AA200" i="12"/>
  <c r="AA206" i="12" s="1"/>
  <c r="AE218" i="12" s="1"/>
  <c r="AA78" i="12"/>
  <c r="AA126" i="12"/>
  <c r="AA148" i="12"/>
  <c r="AA172" i="12"/>
  <c r="AA309" i="12"/>
  <c r="AA127" i="12"/>
  <c r="AA149" i="12"/>
  <c r="AA173" i="12"/>
  <c r="AA295" i="12"/>
  <c r="AA310" i="12"/>
  <c r="Z327" i="12"/>
  <c r="Z111" i="70" l="1"/>
  <c r="AC133" i="3"/>
  <c r="AB135" i="12"/>
  <c r="AE142" i="12"/>
  <c r="AB83" i="12"/>
  <c r="AE91" i="12"/>
  <c r="AE98" i="12"/>
  <c r="AB155" i="12"/>
  <c r="AE162" i="12"/>
  <c r="AB136" i="12"/>
  <c r="AE143" i="12"/>
  <c r="AB134" i="12"/>
  <c r="AE141" i="12"/>
  <c r="AB87" i="12"/>
  <c r="AE95" i="12"/>
  <c r="AB84" i="12"/>
  <c r="AE99" i="12"/>
  <c r="AE92" i="12"/>
  <c r="AB85" i="12"/>
  <c r="AE93" i="12"/>
  <c r="AB156" i="12"/>
  <c r="AE163" i="12"/>
  <c r="AB138" i="12"/>
  <c r="AE145" i="12"/>
  <c r="AB137" i="12"/>
  <c r="AE144" i="12"/>
  <c r="AB88" i="12"/>
  <c r="AE96" i="12"/>
  <c r="AB157" i="12"/>
  <c r="AE164" i="12"/>
  <c r="AI170" i="70"/>
  <c r="AE88" i="70"/>
  <c r="AH29" i="2"/>
  <c r="AL344" i="70" s="1"/>
  <c r="AS82" i="70"/>
  <c r="AA328" i="12"/>
  <c r="AD329" i="12"/>
  <c r="AK165" i="70"/>
  <c r="Z165" i="70"/>
  <c r="Z117" i="70"/>
  <c r="AH107" i="70"/>
  <c r="Z116" i="70"/>
  <c r="Z115" i="70"/>
  <c r="AK160" i="70"/>
  <c r="W151" i="70"/>
  <c r="AS83" i="70"/>
  <c r="W106" i="70"/>
  <c r="AA170" i="70"/>
  <c r="AB209" i="12"/>
  <c r="AH89" i="70"/>
  <c r="AF206" i="70"/>
  <c r="AF81" i="70"/>
  <c r="AH114" i="70"/>
  <c r="AD92" i="70"/>
  <c r="AH106" i="70"/>
  <c r="AG81" i="70"/>
  <c r="AK82" i="70"/>
  <c r="X83" i="70"/>
  <c r="AH110" i="70"/>
  <c r="V170" i="70"/>
  <c r="Y85" i="70"/>
  <c r="Z106" i="70"/>
  <c r="AH109" i="70"/>
  <c r="W83" i="70"/>
  <c r="Z82" i="70"/>
  <c r="AK153" i="70"/>
  <c r="AH103" i="70"/>
  <c r="X147" i="70"/>
  <c r="AH117" i="70"/>
  <c r="AJ170" i="70"/>
  <c r="Z108" i="70"/>
  <c r="AE81" i="70"/>
  <c r="AK95" i="70"/>
  <c r="AM155" i="70"/>
  <c r="Z119" i="70"/>
  <c r="AA165" i="70"/>
  <c r="Z60" i="72"/>
  <c r="O60" i="72"/>
  <c r="P60" i="72" s="1"/>
  <c r="Q60" i="72" s="1"/>
  <c r="AB210" i="12"/>
  <c r="AB211" i="12"/>
  <c r="AB212" i="12"/>
  <c r="J5" i="72"/>
  <c r="J7" i="72" s="1"/>
  <c r="AD141" i="3"/>
  <c r="Y5" i="72"/>
  <c r="L103" i="72"/>
  <c r="M100" i="72"/>
  <c r="M95" i="72"/>
  <c r="L98" i="72"/>
  <c r="J111" i="72"/>
  <c r="J112" i="72"/>
  <c r="L93" i="72"/>
  <c r="M90" i="72"/>
  <c r="Z90" i="72" s="1"/>
  <c r="Z92" i="72" s="1"/>
  <c r="L87" i="72"/>
  <c r="L86" i="72"/>
  <c r="M83" i="72"/>
  <c r="Z83" i="72" s="1"/>
  <c r="Z85" i="72" s="1"/>
  <c r="L105" i="72"/>
  <c r="K110" i="72"/>
  <c r="K108" i="72"/>
  <c r="AC57" i="72"/>
  <c r="W165" i="70"/>
  <c r="AB165" i="70"/>
  <c r="AE127" i="70"/>
  <c r="AE165" i="70"/>
  <c r="X170" i="70"/>
  <c r="AT83" i="70"/>
  <c r="AJ165" i="70"/>
  <c r="AS126" i="70"/>
  <c r="AS127" i="70" s="1"/>
  <c r="AH127" i="70"/>
  <c r="Z103" i="70"/>
  <c r="Y170" i="70"/>
  <c r="AL170" i="70"/>
  <c r="AT147" i="70"/>
  <c r="AH95" i="70"/>
  <c r="AD83" i="70"/>
  <c r="W127" i="70"/>
  <c r="AD170" i="70"/>
  <c r="AG165" i="70"/>
  <c r="AC170" i="70"/>
  <c r="X127" i="70"/>
  <c r="AF78" i="70"/>
  <c r="W147" i="70"/>
  <c r="AD165" i="70"/>
  <c r="V165" i="70"/>
  <c r="AG127" i="70"/>
  <c r="AE78" i="70"/>
  <c r="AC165" i="70"/>
  <c r="AL165" i="70"/>
  <c r="AI127" i="70"/>
  <c r="AM170" i="70"/>
  <c r="AM165" i="70"/>
  <c r="W85" i="70"/>
  <c r="AC207" i="70"/>
  <c r="AC219" i="70"/>
  <c r="AC213" i="70"/>
  <c r="X106" i="70"/>
  <c r="X103" i="70"/>
  <c r="W111" i="70"/>
  <c r="AL159" i="70"/>
  <c r="AL152" i="70"/>
  <c r="AB218" i="70"/>
  <c r="AB212" i="70"/>
  <c r="AB206" i="70"/>
  <c r="AI81" i="70"/>
  <c r="AI88" i="70"/>
  <c r="AI78" i="70"/>
  <c r="AI94" i="70"/>
  <c r="AA119" i="70"/>
  <c r="AA111" i="70"/>
  <c r="AA213" i="70"/>
  <c r="AA219" i="70"/>
  <c r="AA207" i="70"/>
  <c r="AK127" i="70"/>
  <c r="Y218" i="70"/>
  <c r="Y206" i="70"/>
  <c r="X81" i="70"/>
  <c r="X78" i="70"/>
  <c r="X205" i="70"/>
  <c r="W153" i="70"/>
  <c r="AD119" i="70"/>
  <c r="AD111" i="70"/>
  <c r="AS85" i="70"/>
  <c r="AS147" i="70"/>
  <c r="AT206" i="70"/>
  <c r="AB107" i="70"/>
  <c r="AB115" i="70"/>
  <c r="AB83" i="70"/>
  <c r="AB90" i="70"/>
  <c r="AB152" i="70"/>
  <c r="AB159" i="70"/>
  <c r="AI114" i="70"/>
  <c r="AI106" i="70"/>
  <c r="AI103" i="70"/>
  <c r="AI83" i="70"/>
  <c r="AI90" i="70"/>
  <c r="AJ81" i="70"/>
  <c r="AJ88" i="70"/>
  <c r="AJ78" i="70"/>
  <c r="AJ94" i="70"/>
  <c r="AA160" i="70"/>
  <c r="AA153" i="70"/>
  <c r="AH220" i="70"/>
  <c r="AH214" i="70"/>
  <c r="AH208" i="70"/>
  <c r="Z217" i="70"/>
  <c r="Z205" i="70"/>
  <c r="Z211" i="70"/>
  <c r="AH85" i="70"/>
  <c r="AH92" i="70"/>
  <c r="AF214" i="70"/>
  <c r="AF220" i="70"/>
  <c r="AF208" i="70"/>
  <c r="AG95" i="70"/>
  <c r="AG89" i="70"/>
  <c r="AG82" i="70"/>
  <c r="Y111" i="70"/>
  <c r="Y153" i="70"/>
  <c r="AM211" i="70"/>
  <c r="AM217" i="70"/>
  <c r="AM205" i="70"/>
  <c r="AM152" i="70"/>
  <c r="AM159" i="70"/>
  <c r="AE211" i="70"/>
  <c r="AE217" i="70"/>
  <c r="AE205" i="70"/>
  <c r="AI17" i="70"/>
  <c r="AJ17" i="70" s="1"/>
  <c r="AK17" i="70" s="1"/>
  <c r="AL17" i="70" s="1"/>
  <c r="AM17" i="70" s="1"/>
  <c r="AC116" i="70"/>
  <c r="AC108" i="70"/>
  <c r="AC151" i="70"/>
  <c r="AC158" i="70"/>
  <c r="AC147" i="70"/>
  <c r="AF159" i="70"/>
  <c r="AF152" i="70"/>
  <c r="AF153" i="70"/>
  <c r="AF160" i="70"/>
  <c r="AF211" i="70"/>
  <c r="AF205" i="70"/>
  <c r="AF217" i="70"/>
  <c r="X110" i="70"/>
  <c r="X108" i="70"/>
  <c r="Y108" i="70"/>
  <c r="X207" i="70"/>
  <c r="W170" i="70"/>
  <c r="AE158" i="70"/>
  <c r="AE147" i="70"/>
  <c r="AE151" i="70"/>
  <c r="AL134" i="70"/>
  <c r="AL141" i="70"/>
  <c r="AD108" i="70"/>
  <c r="AD116" i="70"/>
  <c r="AD127" i="70"/>
  <c r="V103" i="70"/>
  <c r="AK89" i="70"/>
  <c r="AT205" i="70"/>
  <c r="AJ95" i="70"/>
  <c r="AJ82" i="70"/>
  <c r="AJ89" i="70"/>
  <c r="AM88" i="70"/>
  <c r="AA98" i="3" s="1"/>
  <c r="AS103" i="70"/>
  <c r="AA115" i="70"/>
  <c r="AA107" i="70"/>
  <c r="AB116" i="70"/>
  <c r="AB108" i="70"/>
  <c r="AB92" i="70"/>
  <c r="AB85" i="70"/>
  <c r="AI116" i="70"/>
  <c r="AI108" i="70"/>
  <c r="AI85" i="70"/>
  <c r="AI92" i="70"/>
  <c r="AJ115" i="70"/>
  <c r="AJ107" i="70"/>
  <c r="AJ83" i="70"/>
  <c r="AJ90" i="70"/>
  <c r="AJ159" i="70"/>
  <c r="AJ152" i="70"/>
  <c r="AA103" i="70"/>
  <c r="AA106" i="70"/>
  <c r="AA114" i="70"/>
  <c r="AA81" i="70"/>
  <c r="AA88" i="70"/>
  <c r="AA78" i="70"/>
  <c r="AA94" i="70"/>
  <c r="AG212" i="70"/>
  <c r="AG206" i="70"/>
  <c r="AG218" i="70"/>
  <c r="Y82" i="70"/>
  <c r="AE117" i="70"/>
  <c r="AE109" i="70"/>
  <c r="AC114" i="70"/>
  <c r="AC106" i="70"/>
  <c r="AC103" i="70"/>
  <c r="X85" i="70"/>
  <c r="AB81" i="70"/>
  <c r="AB88" i="70"/>
  <c r="AB78" i="70"/>
  <c r="AB94" i="70"/>
  <c r="AH217" i="70"/>
  <c r="AH205" i="70"/>
  <c r="AH211" i="70"/>
  <c r="Y217" i="70"/>
  <c r="Y205" i="70"/>
  <c r="AH158" i="70"/>
  <c r="AH147" i="70"/>
  <c r="AH151" i="70"/>
  <c r="Y152" i="70"/>
  <c r="AE119" i="70"/>
  <c r="AE111" i="70"/>
  <c r="AC107" i="70"/>
  <c r="AC115" i="70"/>
  <c r="AF90" i="70"/>
  <c r="AF83" i="70"/>
  <c r="AG159" i="70"/>
  <c r="AG152" i="70"/>
  <c r="AE219" i="70"/>
  <c r="AE213" i="70"/>
  <c r="AE207" i="70"/>
  <c r="AC88" i="70"/>
  <c r="AC78" i="70"/>
  <c r="AC94" i="70"/>
  <c r="AC81" i="70"/>
  <c r="AG88" i="70"/>
  <c r="AL217" i="70"/>
  <c r="AL211" i="70"/>
  <c r="AL205" i="70"/>
  <c r="V127" i="70"/>
  <c r="AF88" i="70"/>
  <c r="AB117" i="70"/>
  <c r="AB109" i="70"/>
  <c r="AA116" i="70"/>
  <c r="AA108" i="70"/>
  <c r="AS208" i="70"/>
  <c r="AS205" i="70"/>
  <c r="Z220" i="70"/>
  <c r="Z214" i="70"/>
  <c r="Z208" i="70"/>
  <c r="AD212" i="70"/>
  <c r="AD218" i="70"/>
  <c r="AD206" i="70"/>
  <c r="AG220" i="70"/>
  <c r="AG214" i="70"/>
  <c r="AG208" i="70"/>
  <c r="AC218" i="70"/>
  <c r="AC206" i="70"/>
  <c r="AC212" i="70"/>
  <c r="W208" i="70"/>
  <c r="AK115" i="70"/>
  <c r="AK107" i="70"/>
  <c r="Z127" i="70"/>
  <c r="Z94" i="70"/>
  <c r="Z81" i="70"/>
  <c r="Z88" i="70"/>
  <c r="Z78" i="70"/>
  <c r="AH152" i="70"/>
  <c r="AH159" i="70"/>
  <c r="Z159" i="70"/>
  <c r="Z152" i="70"/>
  <c r="AK220" i="70"/>
  <c r="AK214" i="70"/>
  <c r="AK208" i="70"/>
  <c r="AK211" i="70"/>
  <c r="AK217" i="70"/>
  <c r="AK205" i="70"/>
  <c r="AT207" i="70"/>
  <c r="AG106" i="70"/>
  <c r="AG114" i="70"/>
  <c r="AG103" i="70"/>
  <c r="Y110" i="70"/>
  <c r="Y165" i="70"/>
  <c r="AM141" i="70"/>
  <c r="AM134" i="70"/>
  <c r="AE208" i="70"/>
  <c r="AE214" i="70"/>
  <c r="AE220" i="70"/>
  <c r="AE152" i="70"/>
  <c r="AE159" i="70"/>
  <c r="AC83" i="70"/>
  <c r="AC90" i="70"/>
  <c r="AC111" i="70"/>
  <c r="AC119" i="70"/>
  <c r="AF89" i="70"/>
  <c r="AF95" i="70"/>
  <c r="AF82" i="70"/>
  <c r="AF107" i="70"/>
  <c r="AF115" i="70"/>
  <c r="AF170" i="70"/>
  <c r="X82" i="70"/>
  <c r="X111" i="70"/>
  <c r="AG94" i="70"/>
  <c r="W152" i="70"/>
  <c r="AM138" i="70"/>
  <c r="AM131" i="70"/>
  <c r="AL89" i="70"/>
  <c r="AL95" i="70"/>
  <c r="AL82" i="70"/>
  <c r="AL158" i="70"/>
  <c r="AL147" i="70"/>
  <c r="AL149" i="70" s="1"/>
  <c r="AL151" i="70"/>
  <c r="AL207" i="70"/>
  <c r="AL219" i="70"/>
  <c r="AL213" i="70"/>
  <c r="AD207" i="70"/>
  <c r="AD219" i="70"/>
  <c r="AD213" i="70"/>
  <c r="AD153" i="70"/>
  <c r="AD160" i="70"/>
  <c r="AL138" i="70"/>
  <c r="Z114" i="70"/>
  <c r="AF94" i="70"/>
  <c r="AF218" i="70"/>
  <c r="AB211" i="70"/>
  <c r="AB217" i="70"/>
  <c r="AB205" i="70"/>
  <c r="AH118" i="70"/>
  <c r="AD88" i="70"/>
  <c r="AL90" i="70"/>
  <c r="AH82" i="70"/>
  <c r="AT126" i="70"/>
  <c r="AT85" i="70"/>
  <c r="AB119" i="70"/>
  <c r="AB111" i="70"/>
  <c r="AB170" i="70"/>
  <c r="AI109" i="70"/>
  <c r="AI117" i="70"/>
  <c r="AI160" i="70"/>
  <c r="AI153" i="70"/>
  <c r="AI165" i="70"/>
  <c r="AJ218" i="70"/>
  <c r="AJ212" i="70"/>
  <c r="AJ206" i="70"/>
  <c r="AJ160" i="70"/>
  <c r="AJ153" i="70"/>
  <c r="AA95" i="70"/>
  <c r="AA82" i="70"/>
  <c r="AA89" i="70"/>
  <c r="AA92" i="70"/>
  <c r="AA85" i="70"/>
  <c r="Z153" i="70"/>
  <c r="Y81" i="70"/>
  <c r="Y78" i="70"/>
  <c r="AM91" i="70"/>
  <c r="AA120" i="3" s="1"/>
  <c r="AM84" i="70"/>
  <c r="AA119" i="3" s="1"/>
  <c r="W107" i="70"/>
  <c r="AD106" i="70"/>
  <c r="AD114" i="70"/>
  <c r="AD103" i="70"/>
  <c r="AI159" i="70"/>
  <c r="AI152" i="70"/>
  <c r="AK83" i="70"/>
  <c r="AK90" i="70"/>
  <c r="AG118" i="70"/>
  <c r="AG110" i="70"/>
  <c r="Y107" i="70"/>
  <c r="Z107" i="70"/>
  <c r="AL212" i="70"/>
  <c r="AL218" i="70"/>
  <c r="AL206" i="70"/>
  <c r="AD107" i="70"/>
  <c r="AD115" i="70"/>
  <c r="AH94" i="70"/>
  <c r="AH81" i="70"/>
  <c r="AH88" i="70"/>
  <c r="AH78" i="70"/>
  <c r="X109" i="70"/>
  <c r="AD151" i="70"/>
  <c r="AD147" i="70"/>
  <c r="AD158" i="70"/>
  <c r="AF212" i="70"/>
  <c r="AT78" i="70"/>
  <c r="AT81" i="70"/>
  <c r="AI115" i="70"/>
  <c r="AI107" i="70"/>
  <c r="AI158" i="70"/>
  <c r="AI151" i="70"/>
  <c r="AI147" i="70"/>
  <c r="AA79" i="70"/>
  <c r="AA83" i="70"/>
  <c r="AA90" i="70"/>
  <c r="Y109" i="70"/>
  <c r="AS207" i="70"/>
  <c r="AI205" i="70"/>
  <c r="AI217" i="70"/>
  <c r="AI211" i="70"/>
  <c r="Z219" i="70"/>
  <c r="Z213" i="70"/>
  <c r="Z207" i="70"/>
  <c r="AH206" i="70"/>
  <c r="AH218" i="70"/>
  <c r="AH212" i="70"/>
  <c r="AG219" i="70"/>
  <c r="AG213" i="70"/>
  <c r="AG207" i="70"/>
  <c r="AS206" i="70"/>
  <c r="AK116" i="70"/>
  <c r="AK108" i="70"/>
  <c r="AK207" i="70"/>
  <c r="AK219" i="70"/>
  <c r="AK213" i="70"/>
  <c r="AK110" i="70"/>
  <c r="AK118" i="70"/>
  <c r="Z158" i="70"/>
  <c r="Z147" i="70"/>
  <c r="Z151" i="70"/>
  <c r="AC211" i="70"/>
  <c r="AC217" i="70"/>
  <c r="AC205" i="70"/>
  <c r="AT208" i="70"/>
  <c r="AG78" i="70"/>
  <c r="AC82" i="70"/>
  <c r="AC89" i="70"/>
  <c r="AC95" i="70"/>
  <c r="AG107" i="70"/>
  <c r="AG115" i="70"/>
  <c r="AM219" i="70"/>
  <c r="AM213" i="70"/>
  <c r="AM207" i="70"/>
  <c r="AE103" i="70"/>
  <c r="AE114" i="70"/>
  <c r="AE106" i="70"/>
  <c r="AE160" i="70"/>
  <c r="AE153" i="70"/>
  <c r="AC92" i="70"/>
  <c r="AC85" i="70"/>
  <c r="AG92" i="70"/>
  <c r="AD85" i="70"/>
  <c r="AF108" i="70"/>
  <c r="AF116" i="70"/>
  <c r="W109" i="70"/>
  <c r="W207" i="70"/>
  <c r="AL78" i="70"/>
  <c r="AL94" i="70"/>
  <c r="AL81" i="70"/>
  <c r="AL88" i="70"/>
  <c r="AL84" i="70"/>
  <c r="AL91" i="70"/>
  <c r="AL208" i="70"/>
  <c r="AL220" i="70"/>
  <c r="AL214" i="70"/>
  <c r="AD89" i="70"/>
  <c r="AD95" i="70"/>
  <c r="AD82" i="70"/>
  <c r="AE218" i="70"/>
  <c r="AA109" i="70"/>
  <c r="AA117" i="70"/>
  <c r="AD81" i="70"/>
  <c r="AL83" i="70"/>
  <c r="AH115" i="70"/>
  <c r="W103" i="70"/>
  <c r="AT103" i="70"/>
  <c r="AB127" i="70"/>
  <c r="AB158" i="70"/>
  <c r="AB147" i="70"/>
  <c r="AB151" i="70"/>
  <c r="AI119" i="70"/>
  <c r="AI111" i="70"/>
  <c r="AJ127" i="70"/>
  <c r="AJ106" i="70"/>
  <c r="AJ103" i="70"/>
  <c r="AJ114" i="70"/>
  <c r="AJ147" i="70"/>
  <c r="AJ158" i="70"/>
  <c r="AJ151" i="70"/>
  <c r="AA110" i="70"/>
  <c r="AA118" i="70"/>
  <c r="Z160" i="70"/>
  <c r="AG217" i="70"/>
  <c r="AG205" i="70"/>
  <c r="AG211" i="70"/>
  <c r="AM212" i="70"/>
  <c r="AM206" i="70"/>
  <c r="AM218" i="70"/>
  <c r="AA151" i="70"/>
  <c r="AA158" i="70"/>
  <c r="AA147" i="70"/>
  <c r="AK218" i="70"/>
  <c r="AK212" i="70"/>
  <c r="AK206" i="70"/>
  <c r="AK159" i="70"/>
  <c r="AK152" i="70"/>
  <c r="AH170" i="70"/>
  <c r="AE95" i="70"/>
  <c r="AE89" i="70"/>
  <c r="AE82" i="70"/>
  <c r="AC109" i="70"/>
  <c r="AC117" i="70"/>
  <c r="AL92" i="70"/>
  <c r="AL85" i="70"/>
  <c r="AF207" i="70"/>
  <c r="AF213" i="70"/>
  <c r="AF219" i="70"/>
  <c r="W81" i="70"/>
  <c r="W78" i="70"/>
  <c r="AJ205" i="70"/>
  <c r="AJ211" i="70"/>
  <c r="AJ217" i="70"/>
  <c r="AM94" i="70"/>
  <c r="AJ117" i="70"/>
  <c r="AJ109" i="70"/>
  <c r="AJ85" i="70"/>
  <c r="AJ92" i="70"/>
  <c r="AI220" i="70"/>
  <c r="AI214" i="70"/>
  <c r="AI208" i="70"/>
  <c r="AA205" i="70"/>
  <c r="AA211" i="70"/>
  <c r="AA217" i="70"/>
  <c r="Z206" i="70"/>
  <c r="Z218" i="70"/>
  <c r="Z212" i="70"/>
  <c r="Y220" i="70"/>
  <c r="Y208" i="70"/>
  <c r="AI218" i="70"/>
  <c r="AI212" i="70"/>
  <c r="AI206" i="70"/>
  <c r="AK109" i="70"/>
  <c r="AK117" i="70"/>
  <c r="AK158" i="70"/>
  <c r="AK147" i="70"/>
  <c r="AK151" i="70"/>
  <c r="Z110" i="70"/>
  <c r="Z118" i="70"/>
  <c r="AH90" i="70"/>
  <c r="AH83" i="70"/>
  <c r="Z170" i="70"/>
  <c r="AJ213" i="70"/>
  <c r="AJ207" i="70"/>
  <c r="AJ219" i="70"/>
  <c r="AF118" i="70"/>
  <c r="AF110" i="70"/>
  <c r="AG116" i="70"/>
  <c r="AG108" i="70"/>
  <c r="AG170" i="70"/>
  <c r="Y147" i="70"/>
  <c r="Y151" i="70"/>
  <c r="AM127" i="70"/>
  <c r="AM137" i="70"/>
  <c r="AM130" i="70"/>
  <c r="AM133" i="70"/>
  <c r="AM140" i="70"/>
  <c r="AE115" i="70"/>
  <c r="AE107" i="70"/>
  <c r="AE170" i="70"/>
  <c r="AC110" i="70"/>
  <c r="AC118" i="70"/>
  <c r="AC160" i="70"/>
  <c r="AC153" i="70"/>
  <c r="AF127" i="70"/>
  <c r="AF109" i="70"/>
  <c r="AF117" i="70"/>
  <c r="X165" i="70"/>
  <c r="AH116" i="70"/>
  <c r="W82" i="70"/>
  <c r="V78" i="70"/>
  <c r="AK148" i="70"/>
  <c r="AL155" i="70" s="1"/>
  <c r="AL137" i="70"/>
  <c r="AL130" i="70"/>
  <c r="AL127" i="70"/>
  <c r="AE206" i="70"/>
  <c r="Y103" i="70"/>
  <c r="W108" i="70"/>
  <c r="AB213" i="70"/>
  <c r="AB219" i="70"/>
  <c r="AB207" i="70"/>
  <c r="AD94" i="70"/>
  <c r="AI95" i="70"/>
  <c r="AI82" i="70"/>
  <c r="AI89" i="70"/>
  <c r="AB82" i="70"/>
  <c r="AB89" i="70"/>
  <c r="AB95" i="70"/>
  <c r="AB110" i="70"/>
  <c r="AB118" i="70"/>
  <c r="AI118" i="70"/>
  <c r="AI110" i="70"/>
  <c r="AJ116" i="70"/>
  <c r="AJ108" i="70"/>
  <c r="AA220" i="70"/>
  <c r="AA214" i="70"/>
  <c r="AA208" i="70"/>
  <c r="AK92" i="70"/>
  <c r="AK85" i="70"/>
  <c r="AG111" i="70"/>
  <c r="AG119" i="70"/>
  <c r="AC152" i="70"/>
  <c r="AC159" i="70"/>
  <c r="AL160" i="70"/>
  <c r="AL153" i="70"/>
  <c r="AS78" i="70"/>
  <c r="AS81" i="70"/>
  <c r="AB103" i="70"/>
  <c r="AB114" i="70"/>
  <c r="AB106" i="70"/>
  <c r="AD208" i="70"/>
  <c r="AD220" i="70"/>
  <c r="AD214" i="70"/>
  <c r="X107" i="70"/>
  <c r="Y83" i="70"/>
  <c r="AD217" i="70"/>
  <c r="AD211" i="70"/>
  <c r="AD205" i="70"/>
  <c r="AH219" i="70"/>
  <c r="AH213" i="70"/>
  <c r="AH207" i="70"/>
  <c r="AM208" i="70"/>
  <c r="AM220" i="70"/>
  <c r="AM214" i="70"/>
  <c r="AK88" i="70"/>
  <c r="AK78" i="70"/>
  <c r="AK81" i="70"/>
  <c r="AK94" i="70"/>
  <c r="AK114" i="70"/>
  <c r="AK103" i="70"/>
  <c r="AK106" i="70"/>
  <c r="Z92" i="70"/>
  <c r="Z85" i="70"/>
  <c r="AM139" i="70"/>
  <c r="AM132" i="70"/>
  <c r="AF114" i="70"/>
  <c r="AF106" i="70"/>
  <c r="AF103" i="70"/>
  <c r="AD118" i="70"/>
  <c r="AD110" i="70"/>
  <c r="W206" i="70"/>
  <c r="Z95" i="70"/>
  <c r="AL140" i="70"/>
  <c r="AL133" i="70"/>
  <c r="AD109" i="70"/>
  <c r="AD117" i="70"/>
  <c r="Z89" i="70"/>
  <c r="AI213" i="70"/>
  <c r="AI207" i="70"/>
  <c r="AI219" i="70"/>
  <c r="X208" i="70"/>
  <c r="AC220" i="70"/>
  <c r="AC214" i="70"/>
  <c r="AC208" i="70"/>
  <c r="Y219" i="70"/>
  <c r="Y207" i="70"/>
  <c r="AA218" i="70"/>
  <c r="AA206" i="70"/>
  <c r="AA212" i="70"/>
  <c r="AK111" i="70"/>
  <c r="AK119" i="70"/>
  <c r="AH111" i="70"/>
  <c r="AH119" i="70"/>
  <c r="Z83" i="70"/>
  <c r="Z90" i="70"/>
  <c r="AH160" i="70"/>
  <c r="AH153" i="70"/>
  <c r="AJ208" i="70"/>
  <c r="AJ220" i="70"/>
  <c r="AJ214" i="70"/>
  <c r="AM92" i="70"/>
  <c r="AA125" i="3" s="1"/>
  <c r="AM85" i="70"/>
  <c r="AA124" i="3" s="1"/>
  <c r="AG158" i="70"/>
  <c r="AG147" i="70"/>
  <c r="AG151" i="70"/>
  <c r="AG117" i="70"/>
  <c r="AG109" i="70"/>
  <c r="AG160" i="70"/>
  <c r="AG153" i="70"/>
  <c r="Y127" i="70"/>
  <c r="AM95" i="70"/>
  <c r="AM89" i="70"/>
  <c r="AA104" i="3" s="1"/>
  <c r="AM82" i="70"/>
  <c r="AA103" i="3" s="1"/>
  <c r="AM147" i="70"/>
  <c r="AM149" i="70" s="1"/>
  <c r="AM158" i="70"/>
  <c r="AM151" i="70"/>
  <c r="AE116" i="70"/>
  <c r="AE108" i="70"/>
  <c r="AC127" i="70"/>
  <c r="AE90" i="70"/>
  <c r="AE83" i="70"/>
  <c r="AF151" i="70"/>
  <c r="AF147" i="70"/>
  <c r="AF158" i="70"/>
  <c r="AF165" i="70"/>
  <c r="AF111" i="70"/>
  <c r="AF119" i="70"/>
  <c r="X152" i="70"/>
  <c r="AH108" i="70"/>
  <c r="AD90" i="70"/>
  <c r="W205" i="70"/>
  <c r="AL139" i="70"/>
  <c r="AL132" i="70"/>
  <c r="AD152" i="70"/>
  <c r="AD159" i="70"/>
  <c r="V147" i="70"/>
  <c r="AE85" i="70"/>
  <c r="AE92" i="70"/>
  <c r="AE212" i="70"/>
  <c r="Y106" i="70"/>
  <c r="AE94" i="70"/>
  <c r="AB208" i="70"/>
  <c r="AB220" i="70"/>
  <c r="AB214" i="70"/>
  <c r="X206" i="70"/>
  <c r="X153" i="70"/>
  <c r="AM78" i="70"/>
  <c r="AD78" i="70"/>
  <c r="AT82" i="70"/>
  <c r="AT125" i="70"/>
  <c r="AB160" i="70"/>
  <c r="AB153" i="70"/>
  <c r="AJ111" i="70"/>
  <c r="AJ119" i="70"/>
  <c r="AJ110" i="70"/>
  <c r="AJ118" i="70"/>
  <c r="AA159" i="70"/>
  <c r="AA152" i="70"/>
  <c r="AA127" i="70"/>
  <c r="AI29" i="2"/>
  <c r="AA169" i="12"/>
  <c r="AA80" i="12"/>
  <c r="AA151" i="12"/>
  <c r="AA131" i="12"/>
  <c r="AA174" i="12"/>
  <c r="AJ223" i="70" l="1"/>
  <c r="AL348" i="70"/>
  <c r="AL351" i="70"/>
  <c r="AI225" i="2"/>
  <c r="AI229" i="2" s="1"/>
  <c r="AL226" i="70"/>
  <c r="AC223" i="70"/>
  <c r="AD226" i="70"/>
  <c r="AG223" i="70"/>
  <c r="AK226" i="70"/>
  <c r="AM226" i="70"/>
  <c r="AT127" i="70"/>
  <c r="AA60" i="72"/>
  <c r="J130" i="72"/>
  <c r="J6" i="72"/>
  <c r="K5" i="72"/>
  <c r="K7" i="72" s="1"/>
  <c r="AE141" i="3"/>
  <c r="AE133" i="3" s="1"/>
  <c r="Y6" i="72"/>
  <c r="AD5" i="72"/>
  <c r="Y12" i="72"/>
  <c r="N100" i="72"/>
  <c r="M103" i="72"/>
  <c r="Z100" i="72"/>
  <c r="Z102" i="72" s="1"/>
  <c r="K111" i="72"/>
  <c r="K112" i="72"/>
  <c r="N90" i="72"/>
  <c r="M93" i="72"/>
  <c r="N95" i="72"/>
  <c r="M98" i="72"/>
  <c r="M105" i="72"/>
  <c r="Z105" i="72" s="1"/>
  <c r="Z107" i="72" s="1"/>
  <c r="L110" i="72"/>
  <c r="L108" i="72"/>
  <c r="M87" i="72"/>
  <c r="M86" i="72"/>
  <c r="N83" i="72"/>
  <c r="Z95" i="72"/>
  <c r="Z97" i="72" s="1"/>
  <c r="AA41" i="72"/>
  <c r="AA39" i="72" s="1"/>
  <c r="AL225" i="70"/>
  <c r="AE223" i="70"/>
  <c r="AC226" i="70"/>
  <c r="AE224" i="70"/>
  <c r="AH224" i="70"/>
  <c r="AF224" i="70"/>
  <c r="AC224" i="70"/>
  <c r="AD223" i="70"/>
  <c r="X86" i="70"/>
  <c r="AM225" i="70"/>
  <c r="AG224" i="70"/>
  <c r="AM223" i="70"/>
  <c r="AE226" i="70"/>
  <c r="AD224" i="70"/>
  <c r="AI30" i="2"/>
  <c r="AM344" i="70"/>
  <c r="AF225" i="70"/>
  <c r="AD225" i="70"/>
  <c r="AK223" i="70"/>
  <c r="AE225" i="70"/>
  <c r="AF226" i="70"/>
  <c r="AC225" i="70"/>
  <c r="AG225" i="70"/>
  <c r="AI223" i="70"/>
  <c r="Y86" i="70"/>
  <c r="AF223" i="70"/>
  <c r="AI225" i="70"/>
  <c r="AJ225" i="70"/>
  <c r="AK224" i="70"/>
  <c r="AH223" i="70"/>
  <c r="AH225" i="70"/>
  <c r="AK149" i="70"/>
  <c r="AM224" i="70"/>
  <c r="AK225" i="70"/>
  <c r="AL224" i="70"/>
  <c r="AJ226" i="70"/>
  <c r="AI224" i="70"/>
  <c r="AI226" i="70"/>
  <c r="AJ224" i="70"/>
  <c r="AG226" i="70"/>
  <c r="AL223" i="70"/>
  <c r="AH226" i="70"/>
  <c r="AI39" i="2"/>
  <c r="AI51" i="2" s="1"/>
  <c r="AI52" i="2" s="1"/>
  <c r="Z68" i="3"/>
  <c r="Y68" i="3"/>
  <c r="X68" i="3"/>
  <c r="W68" i="3"/>
  <c r="V68" i="3"/>
  <c r="AE135" i="3" l="1"/>
  <c r="AI82" i="2"/>
  <c r="AA174" i="3"/>
  <c r="AI58" i="2"/>
  <c r="AJ41" i="2"/>
  <c r="J134" i="72"/>
  <c r="J32" i="72"/>
  <c r="K6" i="72"/>
  <c r="L5" i="72"/>
  <c r="L6" i="72" s="1"/>
  <c r="AF141" i="3"/>
  <c r="K12" i="72"/>
  <c r="K30" i="72" s="1"/>
  <c r="Y13" i="72"/>
  <c r="AD12" i="72"/>
  <c r="Y20" i="72"/>
  <c r="Y30" i="72"/>
  <c r="Y33" i="72" s="1"/>
  <c r="Y34" i="72" s="1"/>
  <c r="N103" i="72"/>
  <c r="O100" i="72"/>
  <c r="N105" i="72"/>
  <c r="M110" i="72"/>
  <c r="M115" i="72" s="1"/>
  <c r="M116" i="72" s="1"/>
  <c r="M108" i="72"/>
  <c r="O90" i="72"/>
  <c r="N93" i="72"/>
  <c r="N87" i="72"/>
  <c r="N86" i="72"/>
  <c r="O83" i="72"/>
  <c r="L111" i="72"/>
  <c r="L112" i="72"/>
  <c r="N98" i="72"/>
  <c r="O95" i="72"/>
  <c r="AI31" i="2"/>
  <c r="AM348" i="70"/>
  <c r="AM351" i="70"/>
  <c r="AI61" i="2"/>
  <c r="AI40" i="2"/>
  <c r="AI66" i="2" l="1"/>
  <c r="AI67" i="2" s="1"/>
  <c r="AI84" i="2" s="1"/>
  <c r="AI83" i="2"/>
  <c r="AA176" i="3"/>
  <c r="AJ62" i="2"/>
  <c r="AI57" i="2"/>
  <c r="J23" i="72"/>
  <c r="J25" i="72" s="1"/>
  <c r="J26" i="72" s="1"/>
  <c r="K32" i="72"/>
  <c r="L7" i="72"/>
  <c r="M5" i="72"/>
  <c r="M6" i="72" s="1"/>
  <c r="AG141" i="3"/>
  <c r="K134" i="72"/>
  <c r="K130" i="72"/>
  <c r="L12" i="72"/>
  <c r="Y15" i="72"/>
  <c r="Y18" i="72"/>
  <c r="Y19" i="72" s="1"/>
  <c r="J73" i="72"/>
  <c r="J16" i="72"/>
  <c r="Y21" i="72"/>
  <c r="P100" i="72"/>
  <c r="O103" i="72"/>
  <c r="O86" i="72"/>
  <c r="O87" i="72"/>
  <c r="P83" i="72"/>
  <c r="M112" i="72"/>
  <c r="M111" i="72"/>
  <c r="Z110" i="72"/>
  <c r="Z111" i="72" s="1"/>
  <c r="P90" i="72"/>
  <c r="O93" i="72"/>
  <c r="O105" i="72"/>
  <c r="N110" i="72"/>
  <c r="N108" i="72"/>
  <c r="O98" i="72"/>
  <c r="P95" i="72"/>
  <c r="AM345" i="70"/>
  <c r="AI72" i="2" l="1"/>
  <c r="AI73" i="2"/>
  <c r="AJ68" i="2"/>
  <c r="M7" i="72"/>
  <c r="J74" i="72"/>
  <c r="J19" i="72"/>
  <c r="J35" i="72"/>
  <c r="M12" i="72"/>
  <c r="M134" i="72" s="1"/>
  <c r="Z5" i="72"/>
  <c r="Z6" i="72" s="1"/>
  <c r="Y23" i="72"/>
  <c r="Y25" i="72" s="1"/>
  <c r="AD25" i="72" s="1"/>
  <c r="L134" i="72"/>
  <c r="L130" i="72"/>
  <c r="L30" i="72"/>
  <c r="L32" i="72" s="1"/>
  <c r="N5" i="72"/>
  <c r="N6" i="72" s="1"/>
  <c r="AH141" i="3"/>
  <c r="K15" i="72"/>
  <c r="Y16" i="72"/>
  <c r="Y73" i="72"/>
  <c r="Y74" i="72"/>
  <c r="K18" i="72"/>
  <c r="J75" i="72"/>
  <c r="J27" i="72"/>
  <c r="Q100" i="72"/>
  <c r="P103" i="72"/>
  <c r="N112" i="72"/>
  <c r="N111" i="72"/>
  <c r="P98" i="72"/>
  <c r="Q95" i="72"/>
  <c r="P105" i="72"/>
  <c r="O110" i="72"/>
  <c r="O108" i="72"/>
  <c r="P86" i="72"/>
  <c r="Q83" i="72"/>
  <c r="AA83" i="72" s="1"/>
  <c r="AA85" i="72" s="1"/>
  <c r="P87" i="72"/>
  <c r="P93" i="72"/>
  <c r="Q90" i="72"/>
  <c r="AA90" i="72" s="1"/>
  <c r="AA92" i="72" s="1"/>
  <c r="AM347" i="70"/>
  <c r="AM350" i="70"/>
  <c r="J36" i="72" l="1"/>
  <c r="J138" i="72" s="1"/>
  <c r="J47" i="72"/>
  <c r="J53" i="72" s="1"/>
  <c r="M30" i="72"/>
  <c r="Z30" i="72" s="1"/>
  <c r="Z33" i="72" s="1"/>
  <c r="Z12" i="72"/>
  <c r="Z13" i="72" s="1"/>
  <c r="M130" i="72"/>
  <c r="M15" i="72" s="1"/>
  <c r="Y26" i="72"/>
  <c r="Y75" i="72" s="1"/>
  <c r="Y35" i="72"/>
  <c r="AD35" i="72" s="1"/>
  <c r="N12" i="72"/>
  <c r="N134" i="72" s="1"/>
  <c r="Y28" i="72"/>
  <c r="R7" i="72"/>
  <c r="O5" i="72"/>
  <c r="O12" i="72" s="1"/>
  <c r="AI141" i="3"/>
  <c r="L15" i="72"/>
  <c r="L18" i="72"/>
  <c r="L19" i="72" s="1"/>
  <c r="N7" i="72"/>
  <c r="K19" i="72"/>
  <c r="M18" i="72"/>
  <c r="M19" i="72" s="1"/>
  <c r="K16" i="72"/>
  <c r="K23" i="72"/>
  <c r="K25" i="72" s="1"/>
  <c r="K74" i="72"/>
  <c r="K73" i="72"/>
  <c r="Z20" i="72"/>
  <c r="Q103" i="72"/>
  <c r="AA100" i="72"/>
  <c r="AA102" i="72" s="1"/>
  <c r="Q93" i="72"/>
  <c r="O112" i="72"/>
  <c r="O111" i="72"/>
  <c r="P110" i="72"/>
  <c r="P108" i="72"/>
  <c r="Q105" i="72"/>
  <c r="AA105" i="72" s="1"/>
  <c r="AA107" i="72" s="1"/>
  <c r="Q98" i="72"/>
  <c r="AA95" i="72"/>
  <c r="AA97" i="72" s="1"/>
  <c r="Q87" i="72"/>
  <c r="Q86" i="72"/>
  <c r="Z251" i="12"/>
  <c r="Z165" i="3"/>
  <c r="Z160" i="3"/>
  <c r="AG99" i="2"/>
  <c r="AF99" i="2"/>
  <c r="J76" i="72" l="1"/>
  <c r="M32" i="72"/>
  <c r="Z34" i="72"/>
  <c r="N30" i="72"/>
  <c r="N32" i="72" s="1"/>
  <c r="N130" i="72"/>
  <c r="N15" i="72" s="1"/>
  <c r="Y27" i="72"/>
  <c r="Y38" i="72"/>
  <c r="Y36" i="72"/>
  <c r="Y76" i="72" s="1"/>
  <c r="Y37" i="72"/>
  <c r="O7" i="72"/>
  <c r="O6" i="72"/>
  <c r="Z15" i="72"/>
  <c r="Z73" i="72" s="1"/>
  <c r="M16" i="72"/>
  <c r="M73" i="72"/>
  <c r="M74" i="72"/>
  <c r="K35" i="72"/>
  <c r="K26" i="72"/>
  <c r="P5" i="72"/>
  <c r="P6" i="72" s="1"/>
  <c r="AJ141" i="3"/>
  <c r="L23" i="72"/>
  <c r="L25" i="72" s="1"/>
  <c r="L16" i="72"/>
  <c r="L74" i="72"/>
  <c r="L73" i="72"/>
  <c r="Z18" i="72"/>
  <c r="Z19" i="72" s="1"/>
  <c r="M23" i="72"/>
  <c r="M25" i="72" s="1"/>
  <c r="M26" i="72" s="1"/>
  <c r="N18" i="72"/>
  <c r="N19" i="72" s="1"/>
  <c r="O130" i="72"/>
  <c r="O134" i="72"/>
  <c r="Y56" i="72"/>
  <c r="Y49" i="72"/>
  <c r="O30" i="72"/>
  <c r="Z21" i="72"/>
  <c r="Q110" i="72"/>
  <c r="AK141" i="3" s="1"/>
  <c r="Q108" i="72"/>
  <c r="P112" i="72"/>
  <c r="P111" i="72"/>
  <c r="AH4" i="2"/>
  <c r="AG4" i="2"/>
  <c r="Y121" i="3"/>
  <c r="X121" i="3"/>
  <c r="W121" i="3"/>
  <c r="V121" i="3"/>
  <c r="U121" i="3"/>
  <c r="T121" i="3"/>
  <c r="S121" i="3"/>
  <c r="R121" i="3"/>
  <c r="Q121" i="3"/>
  <c r="P121" i="3"/>
  <c r="O121" i="3"/>
  <c r="N121" i="3"/>
  <c r="M121" i="3"/>
  <c r="L121" i="3"/>
  <c r="K121" i="3"/>
  <c r="J121" i="3"/>
  <c r="I121" i="3"/>
  <c r="Y120" i="3"/>
  <c r="X120" i="3"/>
  <c r="W120" i="3"/>
  <c r="V120" i="3"/>
  <c r="U120" i="3"/>
  <c r="T120" i="3"/>
  <c r="S120" i="3"/>
  <c r="R120" i="3"/>
  <c r="Q120" i="3"/>
  <c r="P120" i="3"/>
  <c r="O120" i="3"/>
  <c r="N120" i="3"/>
  <c r="M120" i="3"/>
  <c r="L120" i="3"/>
  <c r="K120" i="3"/>
  <c r="J120" i="3"/>
  <c r="I120" i="3"/>
  <c r="Y119" i="3"/>
  <c r="X119" i="3"/>
  <c r="W119" i="3"/>
  <c r="V119" i="3"/>
  <c r="U119" i="3"/>
  <c r="T119" i="3"/>
  <c r="S119" i="3"/>
  <c r="R119" i="3"/>
  <c r="Q119" i="3"/>
  <c r="P119" i="3"/>
  <c r="O119" i="3"/>
  <c r="N119" i="3"/>
  <c r="M119" i="3"/>
  <c r="L119" i="3"/>
  <c r="K119" i="3"/>
  <c r="J119" i="3"/>
  <c r="I119" i="3"/>
  <c r="Z121" i="3"/>
  <c r="A118" i="3"/>
  <c r="H121" i="3"/>
  <c r="G121" i="3"/>
  <c r="F121" i="3"/>
  <c r="H120" i="3"/>
  <c r="G120" i="3"/>
  <c r="F120" i="3"/>
  <c r="AZ129" i="3"/>
  <c r="Z126" i="3"/>
  <c r="Z111" i="3"/>
  <c r="Z105" i="3"/>
  <c r="Z99" i="3"/>
  <c r="Z77" i="3"/>
  <c r="Z155" i="3" s="1"/>
  <c r="Z61" i="3"/>
  <c r="Z56" i="3"/>
  <c r="AD58" i="3" s="1"/>
  <c r="AQ60" i="12"/>
  <c r="AP60" i="12"/>
  <c r="AO60" i="12"/>
  <c r="AN60" i="12"/>
  <c r="AM60" i="12"/>
  <c r="AL60" i="12"/>
  <c r="AK60" i="12"/>
  <c r="Y60" i="12"/>
  <c r="X60" i="12"/>
  <c r="W60" i="12"/>
  <c r="V60" i="12"/>
  <c r="U60" i="12"/>
  <c r="T60" i="12"/>
  <c r="S60" i="12"/>
  <c r="R60" i="12"/>
  <c r="Q60" i="12"/>
  <c r="P60" i="12"/>
  <c r="O60" i="12"/>
  <c r="N60" i="12"/>
  <c r="M60" i="12"/>
  <c r="L60" i="12"/>
  <c r="K60" i="12"/>
  <c r="J60" i="12"/>
  <c r="I60" i="12"/>
  <c r="H60" i="12"/>
  <c r="G60" i="12"/>
  <c r="F60" i="12"/>
  <c r="E60" i="12"/>
  <c r="D60" i="12"/>
  <c r="C60" i="12"/>
  <c r="Z60" i="12"/>
  <c r="K36" i="72" l="1"/>
  <c r="AL292" i="70"/>
  <c r="BL4" i="2"/>
  <c r="AA57" i="3"/>
  <c r="Q115" i="72"/>
  <c r="Q116" i="72" s="1"/>
  <c r="O32" i="72"/>
  <c r="M35" i="72"/>
  <c r="Z16" i="72"/>
  <c r="P7" i="72"/>
  <c r="L26" i="72"/>
  <c r="L35" i="72"/>
  <c r="N16" i="72"/>
  <c r="N73" i="72"/>
  <c r="Z23" i="72"/>
  <c r="Z25" i="72" s="1"/>
  <c r="Z28" i="72" s="1"/>
  <c r="P12" i="72"/>
  <c r="P134" i="72" s="1"/>
  <c r="Z74" i="72"/>
  <c r="K27" i="72"/>
  <c r="K75" i="72"/>
  <c r="O15" i="72"/>
  <c r="O16" i="72" s="1"/>
  <c r="K138" i="72"/>
  <c r="K76" i="72"/>
  <c r="N23" i="72"/>
  <c r="N25" i="72" s="1"/>
  <c r="N26" i="72" s="1"/>
  <c r="N74" i="72"/>
  <c r="O18" i="72"/>
  <c r="Z166" i="3"/>
  <c r="Z75" i="3"/>
  <c r="M75" i="72"/>
  <c r="M27" i="72"/>
  <c r="AA110" i="72"/>
  <c r="AA111" i="72" s="1"/>
  <c r="Q5" i="72"/>
  <c r="Q111" i="72"/>
  <c r="Q112" i="72"/>
  <c r="AH81" i="2"/>
  <c r="AK67" i="7"/>
  <c r="AK54" i="7"/>
  <c r="AK22" i="7"/>
  <c r="AK7" i="7"/>
  <c r="AK33" i="7"/>
  <c r="AF101" i="2"/>
  <c r="AG100" i="2"/>
  <c r="AD65" i="2"/>
  <c r="AH99" i="2"/>
  <c r="AH53" i="2"/>
  <c r="AH36" i="2"/>
  <c r="AH35" i="2"/>
  <c r="AH23" i="2"/>
  <c r="AH21" i="2"/>
  <c r="AH18" i="2"/>
  <c r="AH7" i="2"/>
  <c r="AH6" i="2"/>
  <c r="Z301" i="12"/>
  <c r="Z325" i="12"/>
  <c r="Z324" i="12"/>
  <c r="Z322" i="12"/>
  <c r="Z321" i="12"/>
  <c r="Z319" i="12"/>
  <c r="Z318" i="12"/>
  <c r="Z316" i="12"/>
  <c r="Z315" i="12"/>
  <c r="Z306" i="12"/>
  <c r="AD21" i="12" s="1"/>
  <c r="Z305" i="12"/>
  <c r="Z302" i="12"/>
  <c r="Z293" i="12"/>
  <c r="Z292" i="12"/>
  <c r="Z291" i="12"/>
  <c r="Z290" i="12"/>
  <c r="Z286" i="12"/>
  <c r="Z278" i="12"/>
  <c r="Z259" i="12"/>
  <c r="Z255" i="12"/>
  <c r="Z253" i="12"/>
  <c r="Z252" i="12"/>
  <c r="Z235" i="12"/>
  <c r="Z234" i="12"/>
  <c r="Z199" i="12"/>
  <c r="Z200" i="12" s="1"/>
  <c r="Z198" i="12"/>
  <c r="Z197" i="12"/>
  <c r="Z189" i="12"/>
  <c r="Z70" i="12"/>
  <c r="Z65" i="12"/>
  <c r="Z52" i="12"/>
  <c r="Z41" i="12"/>
  <c r="Z35" i="12"/>
  <c r="Z4" i="12"/>
  <c r="Y141" i="3"/>
  <c r="L36" i="72" l="1"/>
  <c r="M36" i="72"/>
  <c r="M76" i="72" s="1"/>
  <c r="Y308" i="12"/>
  <c r="P130" i="72"/>
  <c r="P15" i="72" s="1"/>
  <c r="M138" i="72"/>
  <c r="N35" i="72"/>
  <c r="O73" i="72"/>
  <c r="P30" i="72"/>
  <c r="P32" i="72" s="1"/>
  <c r="O23" i="72"/>
  <c r="O25" i="72" s="1"/>
  <c r="O26" i="72" s="1"/>
  <c r="O75" i="72" s="1"/>
  <c r="Z35" i="72"/>
  <c r="Z36" i="72" s="1"/>
  <c r="Z76" i="72" s="1"/>
  <c r="L75" i="72"/>
  <c r="L27" i="72"/>
  <c r="Z26" i="72"/>
  <c r="Z27" i="72" s="1"/>
  <c r="O74" i="72"/>
  <c r="O19" i="72"/>
  <c r="L138" i="72"/>
  <c r="L76" i="72"/>
  <c r="P18" i="72"/>
  <c r="P19" i="72" s="1"/>
  <c r="Z171" i="3"/>
  <c r="Q12" i="72"/>
  <c r="R6" i="72"/>
  <c r="Q3" i="72"/>
  <c r="Q7" i="72"/>
  <c r="Q6" i="72"/>
  <c r="AA5" i="72"/>
  <c r="N75" i="72"/>
  <c r="N27" i="72"/>
  <c r="AH37" i="2"/>
  <c r="AH39" i="2"/>
  <c r="AH51" i="2" s="1"/>
  <c r="Z152" i="12"/>
  <c r="AA5" i="12"/>
  <c r="Z309" i="12"/>
  <c r="AA3" i="12"/>
  <c r="AK69" i="7"/>
  <c r="AG101" i="2"/>
  <c r="AH102" i="2"/>
  <c r="Z129" i="12"/>
  <c r="AA137" i="12" s="1"/>
  <c r="Z130" i="12"/>
  <c r="AA138" i="12" s="1"/>
  <c r="Z127" i="12"/>
  <c r="AA135" i="12" s="1"/>
  <c r="Z126" i="12"/>
  <c r="AA134" i="12" s="1"/>
  <c r="Z128" i="12"/>
  <c r="AA136" i="12" s="1"/>
  <c r="Z300" i="12"/>
  <c r="Z77" i="12"/>
  <c r="Z297" i="12"/>
  <c r="AH80" i="2"/>
  <c r="AK35" i="7"/>
  <c r="AH30" i="2"/>
  <c r="Z174" i="3" s="1"/>
  <c r="Z206" i="12"/>
  <c r="AC224" i="12" s="1"/>
  <c r="Z295" i="12"/>
  <c r="Z204" i="12"/>
  <c r="AC222" i="12" s="1"/>
  <c r="Z148" i="12"/>
  <c r="AA155" i="12" s="1"/>
  <c r="Z78" i="12"/>
  <c r="Z149" i="12"/>
  <c r="AA156" i="12" s="1"/>
  <c r="Z73" i="12"/>
  <c r="Z173" i="12"/>
  <c r="Z75" i="12"/>
  <c r="Z150" i="12"/>
  <c r="AA157" i="12" s="1"/>
  <c r="Z167" i="12"/>
  <c r="Z168" i="12"/>
  <c r="Z172" i="12"/>
  <c r="Z203" i="12"/>
  <c r="AC221" i="12" s="1"/>
  <c r="Z310" i="12"/>
  <c r="Z74" i="12"/>
  <c r="Z205" i="12"/>
  <c r="AC223" i="12" s="1"/>
  <c r="N36" i="72" l="1"/>
  <c r="N138" i="72" s="1"/>
  <c r="J66" i="7"/>
  <c r="K66" i="7" s="1"/>
  <c r="L66" i="7" s="1"/>
  <c r="J51" i="7"/>
  <c r="K51" i="7" s="1"/>
  <c r="L51" i="7" s="1"/>
  <c r="N76" i="72"/>
  <c r="AA6" i="72"/>
  <c r="AB5" i="72"/>
  <c r="AH61" i="2"/>
  <c r="AH66" i="2" s="1"/>
  <c r="AI41" i="2"/>
  <c r="AA88" i="12"/>
  <c r="AA84" i="12"/>
  <c r="O27" i="72"/>
  <c r="Z38" i="72"/>
  <c r="Z37" i="72"/>
  <c r="O35" i="72"/>
  <c r="P23" i="72"/>
  <c r="P25" i="72" s="1"/>
  <c r="P26" i="72" s="1"/>
  <c r="Z75" i="72"/>
  <c r="P74" i="72"/>
  <c r="P16" i="72"/>
  <c r="P73" i="72"/>
  <c r="AA73" i="3"/>
  <c r="Q134" i="72"/>
  <c r="Q130" i="72"/>
  <c r="Q30" i="72"/>
  <c r="AA12" i="72"/>
  <c r="AK71" i="7"/>
  <c r="AA159" i="12"/>
  <c r="Y152" i="12"/>
  <c r="Z159" i="12" s="1"/>
  <c r="AA210" i="12"/>
  <c r="Z118" i="3"/>
  <c r="AA87" i="12"/>
  <c r="AA211" i="12"/>
  <c r="Z108" i="3"/>
  <c r="AA85" i="12"/>
  <c r="AA212" i="12"/>
  <c r="AA209" i="12"/>
  <c r="AA83" i="12"/>
  <c r="Z123" i="3"/>
  <c r="Z131" i="12"/>
  <c r="Z102" i="3"/>
  <c r="Z96" i="3"/>
  <c r="Z169" i="12"/>
  <c r="AH31" i="2"/>
  <c r="AH82" i="2"/>
  <c r="AH40" i="2"/>
  <c r="Z174" i="12"/>
  <c r="Z151" i="12"/>
  <c r="Z107" i="12"/>
  <c r="Z80" i="12"/>
  <c r="O36" i="72" l="1"/>
  <c r="O76" i="72" s="1"/>
  <c r="Z129" i="3"/>
  <c r="AH73" i="2"/>
  <c r="AH72" i="2"/>
  <c r="AI226" i="2"/>
  <c r="AI228" i="2" s="1"/>
  <c r="AI68" i="2"/>
  <c r="AI62" i="2"/>
  <c r="AL345" i="70"/>
  <c r="AL347" i="70" s="1"/>
  <c r="P35" i="72"/>
  <c r="O138" i="72"/>
  <c r="Q15" i="72"/>
  <c r="AA15" i="72" s="1"/>
  <c r="AA73" i="72" s="1"/>
  <c r="Q18" i="72"/>
  <c r="AA18" i="72" s="1"/>
  <c r="R32" i="72"/>
  <c r="Q32" i="72"/>
  <c r="AA30" i="72"/>
  <c r="AA33" i="72" s="1"/>
  <c r="AA34" i="72" s="1"/>
  <c r="P75" i="72"/>
  <c r="P27" i="72"/>
  <c r="AA20" i="72"/>
  <c r="AA13" i="72"/>
  <c r="BF118" i="3"/>
  <c r="AH83" i="2"/>
  <c r="Z176" i="3"/>
  <c r="AC140" i="3"/>
  <c r="AD140" i="3" s="1"/>
  <c r="AH58" i="2"/>
  <c r="AH57" i="2"/>
  <c r="G144" i="7"/>
  <c r="G138" i="7"/>
  <c r="AP255" i="12"/>
  <c r="AQ255" i="12"/>
  <c r="AQ234" i="12"/>
  <c r="AP234" i="12"/>
  <c r="AP197" i="12"/>
  <c r="AQ197" i="12"/>
  <c r="AP198" i="12"/>
  <c r="AQ198" i="12"/>
  <c r="AP199" i="12"/>
  <c r="AP200" i="12" s="1"/>
  <c r="AQ199" i="12"/>
  <c r="AP189" i="12"/>
  <c r="AQ189" i="12"/>
  <c r="AP65" i="12"/>
  <c r="AQ65" i="12"/>
  <c r="AP52" i="12"/>
  <c r="AQ52" i="12"/>
  <c r="AQ35" i="12"/>
  <c r="AP35" i="12"/>
  <c r="AQ324" i="12"/>
  <c r="AP324" i="12"/>
  <c r="AQ321" i="12"/>
  <c r="AP321" i="12"/>
  <c r="AQ318" i="12"/>
  <c r="AP318" i="12"/>
  <c r="AQ315" i="12"/>
  <c r="AP315" i="12"/>
  <c r="AP305" i="12"/>
  <c r="Y126" i="3"/>
  <c r="Y111" i="3"/>
  <c r="Y105" i="3"/>
  <c r="Y99" i="3"/>
  <c r="Y77" i="3"/>
  <c r="Y61" i="3"/>
  <c r="Y56" i="3"/>
  <c r="AC58" i="3" s="1"/>
  <c r="V82" i="7"/>
  <c r="V80" i="7"/>
  <c r="V79" i="7"/>
  <c r="V76" i="7"/>
  <c r="V77" i="7" s="1"/>
  <c r="G73" i="7"/>
  <c r="AG65" i="2"/>
  <c r="AG53" i="2"/>
  <c r="AK292" i="70"/>
  <c r="AG22" i="2"/>
  <c r="AF4" i="2"/>
  <c r="Y327" i="12"/>
  <c r="Y325" i="12"/>
  <c r="Y324" i="12"/>
  <c r="Y322" i="12"/>
  <c r="Y321" i="12"/>
  <c r="Y319" i="12"/>
  <c r="Y318" i="12"/>
  <c r="Y316" i="12"/>
  <c r="Y315" i="12"/>
  <c r="Y306" i="12"/>
  <c r="AC21" i="12" s="1"/>
  <c r="Y305" i="12"/>
  <c r="Y293" i="12"/>
  <c r="Y292" i="12"/>
  <c r="Y291" i="12"/>
  <c r="Y290" i="12"/>
  <c r="Y286" i="12"/>
  <c r="Y278" i="12"/>
  <c r="Y259" i="12"/>
  <c r="Y255" i="12"/>
  <c r="Y253" i="12"/>
  <c r="Y252" i="12"/>
  <c r="Y235" i="12"/>
  <c r="Y234" i="12"/>
  <c r="Y199" i="12"/>
  <c r="Y200" i="12" s="1"/>
  <c r="Y198" i="12"/>
  <c r="Y197" i="12"/>
  <c r="Y189" i="12"/>
  <c r="Y70" i="12"/>
  <c r="Y65" i="12"/>
  <c r="Y52" i="12"/>
  <c r="Y41" i="12"/>
  <c r="Y35" i="12"/>
  <c r="C21" i="5" a="1"/>
  <c r="C21" i="5" s="1"/>
  <c r="C3" i="5" s="1"/>
  <c r="E7" i="84" s="1"/>
  <c r="AI7" i="7"/>
  <c r="X126" i="3"/>
  <c r="X111" i="3"/>
  <c r="X105" i="3"/>
  <c r="X99" i="3"/>
  <c r="X77" i="3"/>
  <c r="X61" i="3"/>
  <c r="X56" i="3"/>
  <c r="R253" i="12"/>
  <c r="R252" i="12"/>
  <c r="S253" i="12"/>
  <c r="S252" i="12"/>
  <c r="T253" i="12"/>
  <c r="T252" i="12"/>
  <c r="U253" i="12"/>
  <c r="U252" i="12"/>
  <c r="V253" i="12"/>
  <c r="V252" i="12"/>
  <c r="W253" i="12"/>
  <c r="W252" i="12"/>
  <c r="X253" i="12"/>
  <c r="X252" i="12"/>
  <c r="P36" i="72" l="1"/>
  <c r="P76" i="72" s="1"/>
  <c r="L84" i="4"/>
  <c r="K84" i="4"/>
  <c r="J84" i="4" s="1"/>
  <c r="L85" i="4"/>
  <c r="R68" i="8"/>
  <c r="Z133" i="3"/>
  <c r="AA134" i="3" s="1"/>
  <c r="AA130" i="3"/>
  <c r="Q68" i="8"/>
  <c r="K85" i="4"/>
  <c r="Z328" i="12"/>
  <c r="AC329" i="12"/>
  <c r="AL350" i="70"/>
  <c r="AB58" i="3"/>
  <c r="P138" i="72"/>
  <c r="Q16" i="72"/>
  <c r="Q73" i="72"/>
  <c r="R79" i="72" s="1"/>
  <c r="AA74" i="72"/>
  <c r="AA16" i="72"/>
  <c r="Q74" i="72"/>
  <c r="R78" i="72" s="1"/>
  <c r="Q23" i="72"/>
  <c r="Q25" i="72" s="1"/>
  <c r="Q26" i="72" s="1"/>
  <c r="AA19" i="72"/>
  <c r="Q19" i="72"/>
  <c r="AA23" i="72"/>
  <c r="AA25" i="72" s="1"/>
  <c r="AA21" i="72"/>
  <c r="Y154" i="3"/>
  <c r="Y155" i="3" s="1"/>
  <c r="G127" i="7"/>
  <c r="Z60" i="3"/>
  <c r="Z57" i="3"/>
  <c r="AQ200" i="12"/>
  <c r="Y60" i="3"/>
  <c r="Y57" i="3"/>
  <c r="Y297" i="12"/>
  <c r="Y295" i="12"/>
  <c r="X20" i="12"/>
  <c r="AF22" i="2"/>
  <c r="AF23" i="2" s="1"/>
  <c r="AF53" i="2"/>
  <c r="X165" i="3"/>
  <c r="X166" i="3" s="1"/>
  <c r="W259" i="12"/>
  <c r="V45" i="5"/>
  <c r="U45" i="5"/>
  <c r="T45" i="5"/>
  <c r="X327" i="12"/>
  <c r="X325" i="12"/>
  <c r="X324" i="12"/>
  <c r="X322" i="12"/>
  <c r="X321" i="12"/>
  <c r="X319" i="12"/>
  <c r="X318" i="12"/>
  <c r="X316" i="12"/>
  <c r="X315" i="12"/>
  <c r="X306" i="12"/>
  <c r="AB21" i="12" s="1"/>
  <c r="X305" i="12"/>
  <c r="X293" i="12"/>
  <c r="X292" i="12"/>
  <c r="X291" i="12"/>
  <c r="X290" i="12"/>
  <c r="X286" i="12"/>
  <c r="X278" i="12"/>
  <c r="X259" i="12"/>
  <c r="X255" i="12"/>
  <c r="X235" i="12"/>
  <c r="X234" i="12"/>
  <c r="X199" i="12"/>
  <c r="X200" i="12" s="1"/>
  <c r="X198" i="12"/>
  <c r="X197" i="12"/>
  <c r="X189" i="12"/>
  <c r="X70" i="12"/>
  <c r="X65" i="12"/>
  <c r="X52" i="12"/>
  <c r="X41" i="12"/>
  <c r="X35" i="12"/>
  <c r="W255" i="12"/>
  <c r="AD130" i="7"/>
  <c r="D131" i="7"/>
  <c r="C131" i="7"/>
  <c r="L86" i="4" l="1"/>
  <c r="J85" i="4"/>
  <c r="K86" i="4"/>
  <c r="Z65" i="3"/>
  <c r="Z64" i="3" s="1"/>
  <c r="AD67" i="3"/>
  <c r="AD71" i="3" s="1"/>
  <c r="AD70" i="3" s="1"/>
  <c r="Y65" i="3"/>
  <c r="Y64" i="3" s="1"/>
  <c r="AC67" i="3"/>
  <c r="AC71" i="3" s="1"/>
  <c r="AC70" i="3" s="1"/>
  <c r="Y328" i="12"/>
  <c r="AB329" i="12"/>
  <c r="Q35" i="72"/>
  <c r="AA35" i="72"/>
  <c r="AA28" i="72"/>
  <c r="AA26" i="72"/>
  <c r="Q75" i="72"/>
  <c r="Q27" i="72"/>
  <c r="Z73" i="3"/>
  <c r="AH67" i="2"/>
  <c r="AH84" i="2" s="1"/>
  <c r="Y73" i="3"/>
  <c r="X297" i="12"/>
  <c r="X295" i="12"/>
  <c r="AF88" i="2"/>
  <c r="U302" i="12"/>
  <c r="AE101" i="2"/>
  <c r="AD101" i="2"/>
  <c r="AE99" i="2"/>
  <c r="Q36" i="72" l="1"/>
  <c r="Q76" i="72" s="1"/>
  <c r="AA27" i="72"/>
  <c r="AA75" i="72"/>
  <c r="AA37" i="72"/>
  <c r="AA36" i="72"/>
  <c r="AA76" i="72" s="1"/>
  <c r="AA38" i="72"/>
  <c r="X154" i="3"/>
  <c r="X155" i="3" s="1"/>
  <c r="AJ292" i="70"/>
  <c r="Q138" i="72" l="1"/>
  <c r="J9" i="7"/>
  <c r="AG140" i="3"/>
  <c r="W20" i="12"/>
  <c r="W165" i="3"/>
  <c r="W154" i="3"/>
  <c r="W126" i="3"/>
  <c r="W111" i="3"/>
  <c r="W105" i="3"/>
  <c r="W99" i="3"/>
  <c r="W77" i="3"/>
  <c r="W152" i="3" s="1"/>
  <c r="W61" i="3"/>
  <c r="W56" i="3"/>
  <c r="AH67" i="7"/>
  <c r="AH54" i="7"/>
  <c r="AH33" i="7"/>
  <c r="AH22" i="7"/>
  <c r="AH7" i="7"/>
  <c r="AJ85" i="7"/>
  <c r="AJ22" i="7"/>
  <c r="AE43" i="2"/>
  <c r="AE22" i="2"/>
  <c r="AE23" i="2" s="1"/>
  <c r="AD22" i="2"/>
  <c r="AE4" i="2"/>
  <c r="BL136" i="2" s="1"/>
  <c r="BM137" i="2" s="1"/>
  <c r="AE54" i="2"/>
  <c r="AE53" i="2" s="1"/>
  <c r="K9" i="7" l="1"/>
  <c r="AA58" i="3"/>
  <c r="AI292" i="70"/>
  <c r="AH35" i="7"/>
  <c r="AH69" i="7"/>
  <c r="X57" i="3"/>
  <c r="X60" i="3"/>
  <c r="W166" i="3"/>
  <c r="W155" i="3"/>
  <c r="W327" i="12"/>
  <c r="W325" i="12"/>
  <c r="W324" i="12"/>
  <c r="W322" i="12"/>
  <c r="W321" i="12"/>
  <c r="W319" i="12"/>
  <c r="W318" i="12"/>
  <c r="W316" i="12"/>
  <c r="W315" i="12"/>
  <c r="W306" i="12"/>
  <c r="AA21" i="12" s="1"/>
  <c r="W305" i="12"/>
  <c r="W293" i="12"/>
  <c r="W292" i="12"/>
  <c r="W291" i="12"/>
  <c r="W290" i="12"/>
  <c r="W286" i="12"/>
  <c r="W278" i="12"/>
  <c r="W235" i="12"/>
  <c r="W234" i="12"/>
  <c r="W199" i="12"/>
  <c r="W198" i="12"/>
  <c r="W197" i="12"/>
  <c r="W189" i="12"/>
  <c r="W70" i="12"/>
  <c r="W65" i="12"/>
  <c r="W52" i="12"/>
  <c r="W41" i="12"/>
  <c r="W35" i="12"/>
  <c r="V235" i="12"/>
  <c r="AD99" i="2"/>
  <c r="AD102" i="2" s="1"/>
  <c r="AD46" i="2"/>
  <c r="V165" i="3"/>
  <c r="V160" i="3"/>
  <c r="V126" i="3"/>
  <c r="V111" i="3"/>
  <c r="V105" i="3"/>
  <c r="V99" i="3"/>
  <c r="V77" i="3"/>
  <c r="V152" i="3" s="1"/>
  <c r="V61" i="3"/>
  <c r="V56" i="3"/>
  <c r="U255" i="12"/>
  <c r="AD53" i="2"/>
  <c r="AD43" i="2"/>
  <c r="V154" i="3"/>
  <c r="BE154" i="3" s="1"/>
  <c r="AD23" i="2"/>
  <c r="AD4" i="2"/>
  <c r="V70" i="12"/>
  <c r="U70" i="12"/>
  <c r="V327" i="12"/>
  <c r="Z329" i="12" s="1"/>
  <c r="V325" i="12"/>
  <c r="V324" i="12"/>
  <c r="V322" i="12"/>
  <c r="V321" i="12"/>
  <c r="V319" i="12"/>
  <c r="V318" i="12"/>
  <c r="V316" i="12"/>
  <c r="V315" i="12"/>
  <c r="V306" i="12"/>
  <c r="Z21" i="12" s="1"/>
  <c r="V305" i="12"/>
  <c r="V293" i="12"/>
  <c r="V292" i="12"/>
  <c r="V291" i="12"/>
  <c r="V290" i="12"/>
  <c r="V286" i="12"/>
  <c r="V278" i="12"/>
  <c r="V259" i="12"/>
  <c r="V255" i="12"/>
  <c r="V234" i="12"/>
  <c r="V199" i="12"/>
  <c r="V200" i="12" s="1"/>
  <c r="V198" i="12"/>
  <c r="V197" i="12"/>
  <c r="V189" i="12"/>
  <c r="V65" i="12"/>
  <c r="V52" i="12"/>
  <c r="V41" i="12"/>
  <c r="V35" i="12"/>
  <c r="L9" i="7" l="1"/>
  <c r="AB67" i="3"/>
  <c r="X65" i="3"/>
  <c r="X64" i="3" s="1"/>
  <c r="Z58" i="3"/>
  <c r="X328" i="12"/>
  <c r="AA329" i="12"/>
  <c r="AH292" i="70"/>
  <c r="W60" i="3"/>
  <c r="W200" i="12"/>
  <c r="W328" i="12"/>
  <c r="W57" i="3"/>
  <c r="V166" i="3"/>
  <c r="W297" i="12"/>
  <c r="W295" i="12"/>
  <c r="V297" i="12"/>
  <c r="V295" i="12"/>
  <c r="E80" i="7"/>
  <c r="E100" i="7"/>
  <c r="E81" i="7"/>
  <c r="E82" i="7" s="1"/>
  <c r="AA67" i="3" l="1"/>
  <c r="W65" i="3"/>
  <c r="W64" i="3" s="1"/>
  <c r="AK140" i="3"/>
  <c r="AL140" i="3" s="1"/>
  <c r="BE136" i="3"/>
  <c r="AA71" i="3" l="1"/>
  <c r="AA70" i="3" s="1"/>
  <c r="AT140" i="3"/>
  <c r="F144" i="7"/>
  <c r="F138" i="7"/>
  <c r="E96" i="7"/>
  <c r="E97" i="7" s="1"/>
  <c r="E92" i="7"/>
  <c r="E93" i="7" s="1"/>
  <c r="F84" i="7"/>
  <c r="F73" i="7"/>
  <c r="U165" i="3"/>
  <c r="U154" i="3"/>
  <c r="U126" i="3"/>
  <c r="U111" i="3"/>
  <c r="U105" i="3"/>
  <c r="U99" i="3"/>
  <c r="U77" i="3"/>
  <c r="U56" i="3"/>
  <c r="AC99" i="2"/>
  <c r="BJ50" i="2"/>
  <c r="BJ65" i="2" s="1"/>
  <c r="BJ45" i="2"/>
  <c r="AC46" i="2"/>
  <c r="AC27" i="2"/>
  <c r="Y58" i="3" l="1"/>
  <c r="V60" i="3"/>
  <c r="V65" i="3" s="1"/>
  <c r="U166" i="3"/>
  <c r="V57" i="3"/>
  <c r="A24" i="2"/>
  <c r="AC50" i="2"/>
  <c r="AC65" i="2" s="1"/>
  <c r="U321" i="12"/>
  <c r="AC43" i="2"/>
  <c r="AC4" i="2"/>
  <c r="AC53" i="2"/>
  <c r="U327" i="12"/>
  <c r="Y329" i="12" s="1"/>
  <c r="U325" i="12"/>
  <c r="U324" i="12"/>
  <c r="U322" i="12"/>
  <c r="U319" i="12"/>
  <c r="U318" i="12"/>
  <c r="U316" i="12"/>
  <c r="U315" i="12"/>
  <c r="U306" i="12"/>
  <c r="Y21" i="12" s="1"/>
  <c r="U305" i="12"/>
  <c r="U293" i="12"/>
  <c r="U292" i="12"/>
  <c r="U291" i="12"/>
  <c r="U290" i="12"/>
  <c r="U286" i="12"/>
  <c r="U278" i="12"/>
  <c r="U259" i="12"/>
  <c r="U234" i="12"/>
  <c r="U199" i="12"/>
  <c r="U200" i="12" s="1"/>
  <c r="U198" i="12"/>
  <c r="U197" i="12"/>
  <c r="U189" i="12"/>
  <c r="U65" i="12"/>
  <c r="U52" i="12"/>
  <c r="U41" i="12"/>
  <c r="U35" i="12"/>
  <c r="AK308" i="12"/>
  <c r="AG292" i="70" l="1"/>
  <c r="V64" i="3"/>
  <c r="Z67" i="3"/>
  <c r="V328" i="12"/>
  <c r="V73" i="3"/>
  <c r="U297" i="12"/>
  <c r="U295" i="12"/>
  <c r="S327" i="12"/>
  <c r="R327" i="12"/>
  <c r="Q327" i="12"/>
  <c r="P327" i="12"/>
  <c r="O327" i="12"/>
  <c r="N327" i="12"/>
  <c r="M327" i="12"/>
  <c r="AN327" i="12" s="1"/>
  <c r="L327" i="12"/>
  <c r="K327" i="12"/>
  <c r="J327" i="12"/>
  <c r="I327" i="12"/>
  <c r="AM327" i="12" s="1"/>
  <c r="H327" i="12"/>
  <c r="G327" i="12"/>
  <c r="F327" i="12"/>
  <c r="E327" i="12"/>
  <c r="D327" i="12"/>
  <c r="C327" i="12"/>
  <c r="T327" i="12"/>
  <c r="X329" i="12" s="1"/>
  <c r="AD33" i="7"/>
  <c r="T165" i="3"/>
  <c r="T154" i="3"/>
  <c r="T126" i="3"/>
  <c r="T111" i="3"/>
  <c r="T105" i="3"/>
  <c r="T99" i="3"/>
  <c r="T77" i="3"/>
  <c r="T61" i="3"/>
  <c r="T56" i="3"/>
  <c r="AO189" i="12"/>
  <c r="AN189" i="12"/>
  <c r="AM189" i="12"/>
  <c r="AL189" i="12"/>
  <c r="AK189" i="12"/>
  <c r="S189" i="12"/>
  <c r="R189" i="12"/>
  <c r="Q189" i="12"/>
  <c r="P189" i="12"/>
  <c r="O189" i="12"/>
  <c r="N189" i="12"/>
  <c r="M189" i="12"/>
  <c r="L189" i="12"/>
  <c r="K189" i="12"/>
  <c r="J189" i="12"/>
  <c r="I189" i="12"/>
  <c r="H189" i="12"/>
  <c r="G189" i="12"/>
  <c r="F189" i="12"/>
  <c r="E189" i="12"/>
  <c r="T189" i="12"/>
  <c r="AB4" i="2"/>
  <c r="AB99" i="2"/>
  <c r="AB100" i="2"/>
  <c r="AB53" i="2"/>
  <c r="AB46" i="2"/>
  <c r="AB36" i="2"/>
  <c r="AB23" i="2"/>
  <c r="T255" i="12"/>
  <c r="T315" i="12"/>
  <c r="T4" i="12"/>
  <c r="T325" i="12"/>
  <c r="T324" i="12"/>
  <c r="T322" i="12"/>
  <c r="T321" i="12"/>
  <c r="T319" i="12"/>
  <c r="T318" i="12"/>
  <c r="T316" i="12"/>
  <c r="T306" i="12"/>
  <c r="X21" i="12" s="1"/>
  <c r="T305" i="12"/>
  <c r="T293" i="12"/>
  <c r="T292" i="12"/>
  <c r="T291" i="12"/>
  <c r="T290" i="12"/>
  <c r="T286" i="12"/>
  <c r="T278" i="12"/>
  <c r="T259" i="12"/>
  <c r="T234" i="12"/>
  <c r="T199" i="12"/>
  <c r="T200" i="12" s="1"/>
  <c r="T198" i="12"/>
  <c r="T197" i="12"/>
  <c r="T70" i="12"/>
  <c r="T65" i="12"/>
  <c r="T52" i="12"/>
  <c r="T41" i="12"/>
  <c r="T35" i="12"/>
  <c r="Z71" i="3" l="1"/>
  <c r="Z70" i="3" s="1"/>
  <c r="AF292" i="70"/>
  <c r="T128" i="12"/>
  <c r="T129" i="12"/>
  <c r="T130" i="12"/>
  <c r="T126" i="12"/>
  <c r="T127" i="12"/>
  <c r="T77" i="12"/>
  <c r="T118" i="3" s="1"/>
  <c r="U329" i="12"/>
  <c r="AO327" i="12"/>
  <c r="U60" i="3"/>
  <c r="Y67" i="3" s="1"/>
  <c r="X58" i="3"/>
  <c r="V329" i="12"/>
  <c r="U328" i="12"/>
  <c r="T310" i="12"/>
  <c r="W329" i="12"/>
  <c r="AC102" i="2"/>
  <c r="AC101" i="2"/>
  <c r="T78" i="12"/>
  <c r="T166" i="3"/>
  <c r="T73" i="12"/>
  <c r="T74" i="12"/>
  <c r="T75" i="12"/>
  <c r="T297" i="12"/>
  <c r="T295" i="12"/>
  <c r="Y71" i="3" l="1"/>
  <c r="Y70" i="3" s="1"/>
  <c r="T131" i="12"/>
  <c r="T123" i="3"/>
  <c r="T96" i="3"/>
  <c r="T80" i="12"/>
  <c r="T108" i="3"/>
  <c r="T102" i="3"/>
  <c r="T129" i="3" l="1"/>
  <c r="T133" i="3"/>
  <c r="BI108" i="2"/>
  <c r="BI115" i="2" s="1"/>
  <c r="D183" i="7" l="1"/>
  <c r="E183" i="7"/>
  <c r="E172" i="7"/>
  <c r="D172" i="7"/>
  <c r="E158" i="7"/>
  <c r="D158" i="7"/>
  <c r="D3" i="5" l="1"/>
  <c r="S165" i="3" l="1"/>
  <c r="S154" i="3"/>
  <c r="S105" i="3"/>
  <c r="S126" i="3"/>
  <c r="S111" i="3"/>
  <c r="S99" i="3"/>
  <c r="S77" i="3"/>
  <c r="S152" i="3" s="1"/>
  <c r="S56" i="3"/>
  <c r="S61" i="3"/>
  <c r="AA4" i="2"/>
  <c r="AE292" i="70" l="1"/>
  <c r="T60" i="3"/>
  <c r="X67" i="3" s="1"/>
  <c r="W58" i="3"/>
  <c r="S166" i="3"/>
  <c r="AN236" i="12"/>
  <c r="AN23" i="12"/>
  <c r="BG215" i="2"/>
  <c r="BH215" i="2"/>
  <c r="BH178" i="2"/>
  <c r="BG178" i="2"/>
  <c r="BG207" i="2" s="1"/>
  <c r="BG132" i="2"/>
  <c r="BG133" i="2" s="1"/>
  <c r="BH132" i="2"/>
  <c r="BH133" i="2" s="1"/>
  <c r="BH115" i="2"/>
  <c r="BG114" i="2"/>
  <c r="BG115" i="2" s="1"/>
  <c r="C179" i="7"/>
  <c r="C183" i="7" s="1"/>
  <c r="C163" i="7"/>
  <c r="C172" i="7" s="1"/>
  <c r="C158" i="7"/>
  <c r="BH179" i="2" l="1"/>
  <c r="BH207" i="2"/>
  <c r="BI179" i="2"/>
  <c r="X71" i="3"/>
  <c r="X70" i="3" s="1"/>
  <c r="BF215" i="2"/>
  <c r="BF178" i="2"/>
  <c r="BF207" i="2" s="1"/>
  <c r="BF132" i="2"/>
  <c r="BF133" i="2" s="1"/>
  <c r="BF114" i="2"/>
  <c r="BF115" i="2" s="1"/>
  <c r="S301" i="12" l="1"/>
  <c r="S290" i="12"/>
  <c r="S291" i="12"/>
  <c r="S292" i="12"/>
  <c r="S293" i="12"/>
  <c r="S286" i="12"/>
  <c r="S278" i="12"/>
  <c r="S259" i="12"/>
  <c r="S255" i="12"/>
  <c r="S234" i="12"/>
  <c r="S197" i="12"/>
  <c r="S198" i="12"/>
  <c r="S199" i="12"/>
  <c r="S200" i="12" s="1"/>
  <c r="S70" i="12"/>
  <c r="S65" i="12"/>
  <c r="S52" i="12"/>
  <c r="S41" i="12"/>
  <c r="S35" i="12"/>
  <c r="T328" i="12"/>
  <c r="S324" i="12"/>
  <c r="S325" i="12"/>
  <c r="S321" i="12"/>
  <c r="S322" i="12"/>
  <c r="S318" i="12"/>
  <c r="S319" i="12"/>
  <c r="S315" i="12"/>
  <c r="S316" i="12"/>
  <c r="S305" i="12"/>
  <c r="S306" i="12"/>
  <c r="W21" i="12" s="1"/>
  <c r="S4" i="12"/>
  <c r="AA100" i="2"/>
  <c r="AC33" i="7"/>
  <c r="AA99" i="2"/>
  <c r="AA53" i="2"/>
  <c r="AA46" i="2"/>
  <c r="AA22" i="2"/>
  <c r="AA23" i="2" s="1"/>
  <c r="S127" i="12" l="1"/>
  <c r="S128" i="12"/>
  <c r="S129" i="12"/>
  <c r="S130" i="12"/>
  <c r="S126" i="12"/>
  <c r="S77" i="12"/>
  <c r="S118" i="3" s="1"/>
  <c r="S310" i="12"/>
  <c r="S309" i="12"/>
  <c r="S203" i="12"/>
  <c r="S295" i="12"/>
  <c r="S297" i="12"/>
  <c r="S105" i="12"/>
  <c r="S206" i="12"/>
  <c r="S101" i="12"/>
  <c r="S148" i="12"/>
  <c r="S73" i="12"/>
  <c r="S167" i="12"/>
  <c r="S104" i="12"/>
  <c r="S205" i="12"/>
  <c r="S300" i="12"/>
  <c r="S78" i="12"/>
  <c r="S75" i="12"/>
  <c r="S103" i="12"/>
  <c r="S150" i="12"/>
  <c r="S173" i="12"/>
  <c r="S204" i="12"/>
  <c r="S74" i="12"/>
  <c r="S106" i="12"/>
  <c r="S102" i="12"/>
  <c r="S149" i="12"/>
  <c r="S168" i="12"/>
  <c r="S172" i="12"/>
  <c r="S131" i="12" l="1"/>
  <c r="T88" i="12"/>
  <c r="T83" i="12"/>
  <c r="T84" i="12"/>
  <c r="T85" i="12"/>
  <c r="S96" i="3"/>
  <c r="S108" i="3"/>
  <c r="S102" i="3"/>
  <c r="S123" i="3"/>
  <c r="S169" i="12"/>
  <c r="S107" i="12"/>
  <c r="S174" i="12"/>
  <c r="S80" i="12"/>
  <c r="S151" i="12"/>
  <c r="S129" i="3" l="1"/>
  <c r="S133" i="3"/>
  <c r="T134" i="3" s="1"/>
  <c r="T124" i="3"/>
  <c r="T97" i="3"/>
  <c r="T109" i="3"/>
  <c r="T103" i="3"/>
  <c r="T130" i="3" l="1"/>
  <c r="F63" i="8"/>
  <c r="C87" i="4"/>
  <c r="D87" i="4"/>
  <c r="E87" i="4"/>
  <c r="C88" i="4"/>
  <c r="D88" i="4"/>
  <c r="E88" i="4"/>
  <c r="C89" i="4"/>
  <c r="D89" i="4"/>
  <c r="E89" i="4"/>
  <c r="C90" i="4"/>
  <c r="D90" i="4"/>
  <c r="E90" i="4"/>
  <c r="E91" i="4" l="1"/>
  <c r="D91" i="4"/>
  <c r="C91" i="4"/>
  <c r="I85" i="4"/>
  <c r="H85" i="4" s="1"/>
  <c r="G85" i="4" s="1"/>
  <c r="F85" i="4" s="1"/>
  <c r="E85" i="4" s="1"/>
  <c r="D85" i="4" s="1"/>
  <c r="C85" i="4" s="1"/>
  <c r="J40" i="4"/>
  <c r="H38" i="4"/>
  <c r="J38" i="4"/>
  <c r="D36" i="4"/>
  <c r="C36" i="4"/>
  <c r="D35" i="4"/>
  <c r="C35" i="4"/>
  <c r="D18" i="4"/>
  <c r="C18" i="4"/>
  <c r="Z36" i="2"/>
  <c r="Y36" i="2"/>
  <c r="X36" i="2"/>
  <c r="W36" i="2"/>
  <c r="V36" i="2"/>
  <c r="U36" i="2"/>
  <c r="T36" i="2"/>
  <c r="S36" i="2"/>
  <c r="R36" i="2"/>
  <c r="Q36" i="2"/>
  <c r="P36" i="2"/>
  <c r="O36" i="2"/>
  <c r="N36" i="2"/>
  <c r="M36" i="2"/>
  <c r="L36" i="2"/>
  <c r="K36" i="2"/>
  <c r="I36" i="2"/>
  <c r="H36" i="2"/>
  <c r="G36" i="2"/>
  <c r="A35" i="2"/>
  <c r="A36" i="2"/>
  <c r="A37" i="2"/>
  <c r="A38" i="2"/>
  <c r="BH38" i="2"/>
  <c r="BG38" i="2"/>
  <c r="BF38" i="2"/>
  <c r="D19" i="4"/>
  <c r="C19" i="4"/>
  <c r="D17" i="4"/>
  <c r="C17" i="4"/>
  <c r="D16" i="4"/>
  <c r="C16" i="4"/>
  <c r="J41" i="4" l="1"/>
  <c r="O23" i="5" s="1"/>
  <c r="J45" i="4"/>
  <c r="BI78" i="2"/>
  <c r="E12" i="4" s="1"/>
  <c r="BI77" i="2"/>
  <c r="E11" i="4" s="1"/>
  <c r="BH78" i="2"/>
  <c r="D12" i="4" s="1"/>
  <c r="BG78" i="2"/>
  <c r="C12" i="4" s="1"/>
  <c r="BF78" i="2"/>
  <c r="BH77" i="2"/>
  <c r="D11" i="4" s="1"/>
  <c r="BG77" i="2"/>
  <c r="C11" i="4" s="1"/>
  <c r="BF77" i="2"/>
  <c r="A68" i="2"/>
  <c r="A62" i="2"/>
  <c r="A41" i="2"/>
  <c r="A32" i="2"/>
  <c r="D5" i="4"/>
  <c r="J16" i="5"/>
  <c r="I16" i="5"/>
  <c r="H16" i="5"/>
  <c r="I14" i="5"/>
  <c r="H14" i="5"/>
  <c r="G14" i="5"/>
  <c r="C144" i="7" l="1"/>
  <c r="D144" i="7"/>
  <c r="E144" i="7"/>
  <c r="C142" i="7"/>
  <c r="D142" i="7"/>
  <c r="E138" i="7"/>
  <c r="D138" i="7"/>
  <c r="C138" i="7"/>
  <c r="C143" i="7" l="1"/>
  <c r="C38" i="4" s="1"/>
  <c r="D143" i="7"/>
  <c r="D38" i="4" s="1"/>
  <c r="BN46" i="2" l="1"/>
  <c r="BN44" i="2"/>
  <c r="J73" i="7"/>
  <c r="P50" i="8" s="1"/>
  <c r="BN4" i="2"/>
  <c r="AK73" i="3"/>
  <c r="AJ73" i="3"/>
  <c r="AI73" i="3"/>
  <c r="AH73" i="3"/>
  <c r="AB73" i="3"/>
  <c r="X73" i="3"/>
  <c r="W73" i="3"/>
  <c r="U73" i="3"/>
  <c r="T73" i="3"/>
  <c r="Q111" i="3"/>
  <c r="P111" i="3"/>
  <c r="O111" i="3"/>
  <c r="N111" i="3"/>
  <c r="M111" i="3"/>
  <c r="L111" i="3"/>
  <c r="K111" i="3"/>
  <c r="J111" i="3"/>
  <c r="I111" i="3"/>
  <c r="H111" i="3"/>
  <c r="H129" i="3" s="1"/>
  <c r="G111" i="3"/>
  <c r="G129" i="3" s="1"/>
  <c r="F111" i="3"/>
  <c r="F129" i="3" s="1"/>
  <c r="Q126" i="3"/>
  <c r="P126" i="3"/>
  <c r="O126" i="3"/>
  <c r="N126" i="3"/>
  <c r="M126" i="3"/>
  <c r="L126" i="3"/>
  <c r="K126" i="3"/>
  <c r="J126" i="3"/>
  <c r="I126" i="3"/>
  <c r="H126" i="3"/>
  <c r="G126" i="3"/>
  <c r="F126" i="3"/>
  <c r="R126" i="3"/>
  <c r="A123" i="3"/>
  <c r="R111" i="3"/>
  <c r="A108" i="3"/>
  <c r="R105" i="3"/>
  <c r="A102" i="3"/>
  <c r="Q99" i="3"/>
  <c r="P99" i="3"/>
  <c r="O99" i="3"/>
  <c r="N99" i="3"/>
  <c r="M99" i="3"/>
  <c r="L99" i="3"/>
  <c r="K99" i="3"/>
  <c r="J99" i="3"/>
  <c r="I99" i="3"/>
  <c r="H99" i="3"/>
  <c r="G99" i="3"/>
  <c r="F99" i="3"/>
  <c r="R99" i="3"/>
  <c r="A96" i="3"/>
  <c r="AZ133" i="3"/>
  <c r="AS35" i="2" l="1"/>
  <c r="AR35" i="2"/>
  <c r="AQ35" i="2"/>
  <c r="AP35" i="2"/>
  <c r="AT314" i="12" l="1"/>
  <c r="Q61" i="3"/>
  <c r="P61" i="3"/>
  <c r="O61" i="3"/>
  <c r="N61" i="3"/>
  <c r="M61" i="3"/>
  <c r="L61" i="3"/>
  <c r="K61" i="3"/>
  <c r="J61" i="3"/>
  <c r="I61" i="3"/>
  <c r="H61" i="3"/>
  <c r="G61" i="3"/>
  <c r="F61" i="3"/>
  <c r="E61" i="3"/>
  <c r="R61" i="3"/>
  <c r="R165" i="3"/>
  <c r="R160" i="3"/>
  <c r="R154" i="3"/>
  <c r="R77" i="3"/>
  <c r="R56" i="3"/>
  <c r="R305" i="12"/>
  <c r="R306" i="12"/>
  <c r="V21" i="12" s="1"/>
  <c r="S328" i="12"/>
  <c r="R324" i="12"/>
  <c r="R325" i="12"/>
  <c r="R321" i="12"/>
  <c r="R322" i="12"/>
  <c r="R318" i="12"/>
  <c r="R319" i="12"/>
  <c r="R315" i="12"/>
  <c r="R316" i="12"/>
  <c r="R290" i="12"/>
  <c r="R291" i="12"/>
  <c r="R292" i="12"/>
  <c r="R293" i="12"/>
  <c r="R286" i="12"/>
  <c r="R278" i="12"/>
  <c r="P259" i="12"/>
  <c r="Q259" i="12"/>
  <c r="R259" i="12"/>
  <c r="R255" i="12"/>
  <c r="R234" i="12"/>
  <c r="R199" i="12"/>
  <c r="R200" i="12" s="1"/>
  <c r="R198" i="12"/>
  <c r="R197" i="12"/>
  <c r="R70" i="12"/>
  <c r="R65" i="12"/>
  <c r="R52" i="12"/>
  <c r="R41" i="12"/>
  <c r="R35" i="12"/>
  <c r="R4" i="12"/>
  <c r="Z99" i="2"/>
  <c r="Z100" i="2"/>
  <c r="AB33" i="7"/>
  <c r="AE22" i="7"/>
  <c r="AD22" i="7"/>
  <c r="AD36" i="7" s="1"/>
  <c r="AC22" i="7"/>
  <c r="AB22" i="7"/>
  <c r="AE85" i="7"/>
  <c r="AD85" i="7"/>
  <c r="AC85" i="7"/>
  <c r="AB85" i="7"/>
  <c r="AD67" i="7"/>
  <c r="AC67" i="7"/>
  <c r="AB67" i="7"/>
  <c r="AD54" i="7"/>
  <c r="AC54" i="7"/>
  <c r="AB54" i="7"/>
  <c r="AD7" i="7"/>
  <c r="AC7" i="7"/>
  <c r="AB7" i="7"/>
  <c r="R130" i="12" l="1"/>
  <c r="R126" i="12"/>
  <c r="R127" i="12"/>
  <c r="R128" i="12"/>
  <c r="R129" i="12"/>
  <c r="R77" i="12"/>
  <c r="R118" i="3" s="1"/>
  <c r="V58" i="3"/>
  <c r="R310" i="12"/>
  <c r="R309" i="12"/>
  <c r="S60" i="3"/>
  <c r="W67" i="3" s="1"/>
  <c r="S57" i="3"/>
  <c r="R295" i="12"/>
  <c r="R297" i="12"/>
  <c r="AA101" i="2"/>
  <c r="AA102" i="2"/>
  <c r="S3" i="12"/>
  <c r="S5" i="12"/>
  <c r="R102" i="12"/>
  <c r="S111" i="12" s="1"/>
  <c r="AD69" i="7"/>
  <c r="AC69" i="7"/>
  <c r="AD35" i="7"/>
  <c r="AC35" i="7"/>
  <c r="R167" i="12"/>
  <c r="R106" i="12"/>
  <c r="S115" i="12" s="1"/>
  <c r="R300" i="12"/>
  <c r="R205" i="12"/>
  <c r="R204" i="12"/>
  <c r="R168" i="12"/>
  <c r="R206" i="12"/>
  <c r="R172" i="12"/>
  <c r="R173" i="12"/>
  <c r="R203" i="12"/>
  <c r="R166" i="3"/>
  <c r="R155" i="3"/>
  <c r="R101" i="12"/>
  <c r="S110" i="12" s="1"/>
  <c r="R103" i="12"/>
  <c r="S112" i="12" s="1"/>
  <c r="R148" i="12"/>
  <c r="S155" i="12" s="1"/>
  <c r="R104" i="12"/>
  <c r="R149" i="12"/>
  <c r="S156" i="12" s="1"/>
  <c r="R105" i="12"/>
  <c r="S114" i="12" s="1"/>
  <c r="R150" i="12"/>
  <c r="S157" i="12" s="1"/>
  <c r="R78" i="12"/>
  <c r="R73" i="12"/>
  <c r="R74" i="12"/>
  <c r="R75" i="12"/>
  <c r="AB35" i="7"/>
  <c r="AB69" i="7"/>
  <c r="Z4" i="2"/>
  <c r="AD292" i="70" s="1"/>
  <c r="Z22" i="2"/>
  <c r="Z23" i="2" s="1"/>
  <c r="Z53" i="2"/>
  <c r="Z46" i="2"/>
  <c r="Z43" i="2" s="1"/>
  <c r="W71" i="3" l="1"/>
  <c r="W70" i="3" s="1"/>
  <c r="R131" i="12"/>
  <c r="S113" i="12"/>
  <c r="S209" i="12"/>
  <c r="S210" i="12"/>
  <c r="S211" i="12"/>
  <c r="S212" i="12"/>
  <c r="S73" i="3"/>
  <c r="AD71" i="7"/>
  <c r="R108" i="3"/>
  <c r="S85" i="12"/>
  <c r="R102" i="3"/>
  <c r="S84" i="12"/>
  <c r="R96" i="3"/>
  <c r="S83" i="12"/>
  <c r="R123" i="3"/>
  <c r="S88" i="12"/>
  <c r="AC71" i="7"/>
  <c r="R169" i="12"/>
  <c r="R301" i="12"/>
  <c r="R174" i="12"/>
  <c r="R151" i="12"/>
  <c r="R107" i="12"/>
  <c r="R80" i="12"/>
  <c r="AB71" i="7"/>
  <c r="R129" i="3" l="1"/>
  <c r="S130" i="3" s="1"/>
  <c r="R133" i="3"/>
  <c r="S124" i="3"/>
  <c r="S103" i="3"/>
  <c r="S97" i="3"/>
  <c r="S109" i="3"/>
  <c r="S134" i="3" l="1"/>
  <c r="R328" i="12"/>
  <c r="U81" i="2" l="1"/>
  <c r="O249" i="12" l="1"/>
  <c r="N250" i="12"/>
  <c r="O250" i="12"/>
  <c r="P250" i="12"/>
  <c r="P249" i="12"/>
  <c r="O253" i="12" l="1"/>
  <c r="Q253" i="12"/>
  <c r="P253" i="12"/>
  <c r="P252" i="12"/>
  <c r="Q252" i="12"/>
  <c r="A49" i="2"/>
  <c r="A50" i="2"/>
  <c r="A51" i="2"/>
  <c r="A52" i="2"/>
  <c r="A53" i="2"/>
  <c r="A54" i="2"/>
  <c r="A55" i="2"/>
  <c r="A56" i="2"/>
  <c r="A57" i="2"/>
  <c r="A58" i="2"/>
  <c r="A59" i="2"/>
  <c r="A60" i="2"/>
  <c r="A61" i="2"/>
  <c r="A63" i="2"/>
  <c r="AO234" i="12"/>
  <c r="AO255" i="12"/>
  <c r="Q154" i="3"/>
  <c r="Q165" i="3"/>
  <c r="Q77" i="3"/>
  <c r="Q56" i="3"/>
  <c r="W100" i="2"/>
  <c r="X100" i="2"/>
  <c r="Y100" i="2"/>
  <c r="E84" i="7"/>
  <c r="C85" i="7"/>
  <c r="D85" i="7"/>
  <c r="E85" i="7"/>
  <c r="E73" i="7"/>
  <c r="BI53" i="2"/>
  <c r="BI45" i="2"/>
  <c r="BI43" i="2" s="1"/>
  <c r="AO305" i="12"/>
  <c r="Q305" i="12"/>
  <c r="Q306" i="12"/>
  <c r="U21" i="12" s="1"/>
  <c r="Q301" i="12"/>
  <c r="Q290" i="12"/>
  <c r="Q291" i="12"/>
  <c r="Q292" i="12"/>
  <c r="Q293" i="12"/>
  <c r="Q286" i="12"/>
  <c r="Q278" i="12"/>
  <c r="Q255" i="12"/>
  <c r="Q240" i="12"/>
  <c r="Q234" i="12"/>
  <c r="AO197" i="12"/>
  <c r="AO198" i="12"/>
  <c r="AO199" i="12"/>
  <c r="AO200" i="12" s="1"/>
  <c r="Q197" i="12"/>
  <c r="Q198" i="12"/>
  <c r="Q199" i="12"/>
  <c r="Q200" i="12" s="1"/>
  <c r="Q70" i="12"/>
  <c r="AO65" i="12"/>
  <c r="Q65" i="12"/>
  <c r="AO52" i="12"/>
  <c r="Q52" i="12"/>
  <c r="Q41" i="12"/>
  <c r="AO35" i="12"/>
  <c r="Q35" i="12"/>
  <c r="AO324" i="12"/>
  <c r="AO321" i="12"/>
  <c r="AO318" i="12"/>
  <c r="AO315" i="12"/>
  <c r="Q4" i="12"/>
  <c r="BH81" i="2"/>
  <c r="BG81" i="2"/>
  <c r="BF81" i="2"/>
  <c r="Y99" i="2"/>
  <c r="Y46" i="2"/>
  <c r="Y43" i="2" s="1"/>
  <c r="X46" i="2"/>
  <c r="X43" i="2" s="1"/>
  <c r="Y53" i="2"/>
  <c r="BG23" i="2"/>
  <c r="A33" i="2"/>
  <c r="A34" i="2"/>
  <c r="X81" i="2"/>
  <c r="W81" i="2"/>
  <c r="V81" i="2"/>
  <c r="Y81" i="2"/>
  <c r="A81" i="2"/>
  <c r="A82" i="2"/>
  <c r="A83" i="2"/>
  <c r="P308" i="12" l="1"/>
  <c r="Q129" i="12"/>
  <c r="Q130" i="12"/>
  <c r="Q126" i="12"/>
  <c r="Q127" i="12"/>
  <c r="Q128" i="12"/>
  <c r="Q77" i="12"/>
  <c r="Q118" i="3" s="1"/>
  <c r="R17" i="12"/>
  <c r="S17" i="12" s="1"/>
  <c r="T17" i="12" s="1"/>
  <c r="U17" i="12" s="1"/>
  <c r="V17" i="12" s="1"/>
  <c r="E56" i="4"/>
  <c r="Q309" i="12"/>
  <c r="C56" i="4"/>
  <c r="F87" i="4"/>
  <c r="D56" i="4"/>
  <c r="E86" i="7"/>
  <c r="Q295" i="12"/>
  <c r="Y102" i="2"/>
  <c r="R60" i="3"/>
  <c r="V67" i="3" s="1"/>
  <c r="U58" i="3"/>
  <c r="Q155" i="3"/>
  <c r="R5" i="12"/>
  <c r="R3" i="12"/>
  <c r="Z101" i="2"/>
  <c r="Z102" i="2"/>
  <c r="Q166" i="3"/>
  <c r="R57" i="3"/>
  <c r="Q297" i="12"/>
  <c r="Q173" i="12"/>
  <c r="Q300" i="12"/>
  <c r="Q78" i="12"/>
  <c r="Q149" i="12"/>
  <c r="R156" i="12" s="1"/>
  <c r="Q75" i="12"/>
  <c r="Q148" i="12"/>
  <c r="R155" i="12" s="1"/>
  <c r="Q73" i="12"/>
  <c r="Q103" i="12"/>
  <c r="R112" i="12" s="1"/>
  <c r="Q168" i="12"/>
  <c r="Q172" i="12"/>
  <c r="Q102" i="12"/>
  <c r="R111" i="12" s="1"/>
  <c r="Q205" i="12"/>
  <c r="Q106" i="12"/>
  <c r="R115" i="12" s="1"/>
  <c r="Q167" i="12"/>
  <c r="Q204" i="12"/>
  <c r="Q105" i="12"/>
  <c r="R114" i="12" s="1"/>
  <c r="Q203" i="12"/>
  <c r="Q104" i="12"/>
  <c r="Q206" i="12"/>
  <c r="Q74" i="12"/>
  <c r="Q101" i="12"/>
  <c r="R110" i="12" s="1"/>
  <c r="Q150" i="12"/>
  <c r="R157" i="12" s="1"/>
  <c r="Y22" i="2"/>
  <c r="Y23" i="2" s="1"/>
  <c r="Q324" i="12"/>
  <c r="Q325" i="12"/>
  <c r="Q321" i="12"/>
  <c r="Q322" i="12"/>
  <c r="Q318" i="12"/>
  <c r="Q319" i="12"/>
  <c r="Q315" i="12"/>
  <c r="Q316" i="12"/>
  <c r="J30" i="7" l="1"/>
  <c r="K30" i="7" s="1"/>
  <c r="L30" i="7" s="1"/>
  <c r="V71" i="3"/>
  <c r="V70" i="3" s="1"/>
  <c r="Q131" i="12"/>
  <c r="W17" i="12"/>
  <c r="X17" i="12" s="1"/>
  <c r="Y17" i="12" s="1"/>
  <c r="Z17" i="12" s="1"/>
  <c r="AA17" i="12" s="1"/>
  <c r="AB17" i="12" s="1"/>
  <c r="AC17" i="12" s="1"/>
  <c r="AD17" i="12" s="1"/>
  <c r="AE17" i="12" s="1"/>
  <c r="AF17" i="12" s="1"/>
  <c r="AG17" i="12" s="1"/>
  <c r="R73" i="3"/>
  <c r="R113" i="12"/>
  <c r="R211" i="12"/>
  <c r="R209" i="12"/>
  <c r="R210" i="12"/>
  <c r="Q102" i="3"/>
  <c r="Q174" i="12"/>
  <c r="R83" i="12"/>
  <c r="Q96" i="3"/>
  <c r="R85" i="12"/>
  <c r="Q108" i="3"/>
  <c r="R88" i="12"/>
  <c r="Q123" i="3"/>
  <c r="R84" i="12"/>
  <c r="R212" i="12"/>
  <c r="Q169" i="12"/>
  <c r="Q80" i="12"/>
  <c r="Q151" i="12"/>
  <c r="Q107" i="12"/>
  <c r="Q129" i="3" l="1"/>
  <c r="R130" i="3" s="1"/>
  <c r="Q133" i="3"/>
  <c r="R124" i="3"/>
  <c r="R109" i="3"/>
  <c r="R97" i="3"/>
  <c r="R103" i="3"/>
  <c r="J48" i="7"/>
  <c r="K48" i="7" l="1"/>
  <c r="J29" i="7"/>
  <c r="R134" i="3"/>
  <c r="K29" i="7" l="1"/>
  <c r="L48" i="7"/>
  <c r="K87" i="4"/>
  <c r="L29" i="7" l="1"/>
  <c r="C256" i="12"/>
  <c r="D256" i="12"/>
  <c r="L87" i="4" l="1"/>
  <c r="C130" i="7" l="1"/>
  <c r="J50" i="7" l="1"/>
  <c r="K50" i="7" s="1"/>
  <c r="L50" i="7" s="1"/>
  <c r="J49" i="7"/>
  <c r="BG89" i="2"/>
  <c r="J64" i="7" l="1"/>
  <c r="K64" i="7" s="1"/>
  <c r="K49" i="7"/>
  <c r="L49" i="7" l="1"/>
  <c r="Q33" i="8"/>
  <c r="L64" i="7"/>
  <c r="R33" i="8" s="1"/>
  <c r="F63" i="7" l="1"/>
  <c r="G63" i="7" s="1"/>
  <c r="H63" i="7" s="1"/>
  <c r="I63" i="7" l="1"/>
  <c r="G87" i="4" l="1"/>
  <c r="D80" i="7"/>
  <c r="C107" i="7"/>
  <c r="C103" i="7"/>
  <c r="C79" i="7"/>
  <c r="C80" i="7" s="1"/>
  <c r="T23" i="2"/>
  <c r="R23" i="2"/>
  <c r="Q23" i="2"/>
  <c r="C108" i="7" l="1"/>
  <c r="D107" i="7"/>
  <c r="C104" i="7"/>
  <c r="J15" i="7"/>
  <c r="K15" i="7" s="1"/>
  <c r="L15" i="7" s="1"/>
  <c r="H87" i="4"/>
  <c r="J63" i="7"/>
  <c r="D103" i="7" l="1"/>
  <c r="D102" i="7"/>
  <c r="P34" i="8"/>
  <c r="K63" i="7"/>
  <c r="J87" i="4"/>
  <c r="P68" i="8"/>
  <c r="I87" i="4"/>
  <c r="T292" i="70"/>
  <c r="S292" i="70"/>
  <c r="R292" i="70"/>
  <c r="Q292" i="70"/>
  <c r="P292" i="70"/>
  <c r="O292" i="70"/>
  <c r="N292" i="70"/>
  <c r="I4" i="2"/>
  <c r="H4" i="2"/>
  <c r="G4" i="2"/>
  <c r="Q4" i="2"/>
  <c r="U292" i="70" s="1"/>
  <c r="AK324" i="12"/>
  <c r="AL324" i="12"/>
  <c r="AK321" i="12"/>
  <c r="AL321" i="12"/>
  <c r="AK318" i="12"/>
  <c r="AL318" i="12"/>
  <c r="AK315" i="12"/>
  <c r="AL315" i="12"/>
  <c r="AK305" i="12"/>
  <c r="AL305" i="12"/>
  <c r="AM305" i="12"/>
  <c r="G77" i="8"/>
  <c r="G57" i="8"/>
  <c r="AK197" i="12"/>
  <c r="AK198" i="12"/>
  <c r="AK199" i="12"/>
  <c r="AK256" i="12"/>
  <c r="AK244" i="12"/>
  <c r="AK240" i="12"/>
  <c r="AK234" i="12"/>
  <c r="C234" i="12"/>
  <c r="D234" i="12"/>
  <c r="C240" i="12"/>
  <c r="D240" i="12"/>
  <c r="C244" i="12"/>
  <c r="D244" i="12"/>
  <c r="AK180" i="12"/>
  <c r="AK41" i="12"/>
  <c r="U77" i="8"/>
  <c r="U79" i="8" s="1"/>
  <c r="U81" i="8" s="1"/>
  <c r="F75" i="8"/>
  <c r="G75" i="8"/>
  <c r="H75" i="8"/>
  <c r="AM324" i="12"/>
  <c r="AM321" i="12"/>
  <c r="AN318" i="12"/>
  <c r="AM318" i="12"/>
  <c r="AM315" i="12"/>
  <c r="AL256" i="12"/>
  <c r="AL244" i="12"/>
  <c r="AL240" i="12"/>
  <c r="AL234" i="12"/>
  <c r="E256" i="12"/>
  <c r="BF43" i="2"/>
  <c r="Q34" i="8" l="1"/>
  <c r="L63" i="7"/>
  <c r="R34" i="8" s="1"/>
  <c r="D292" i="70"/>
  <c r="L292" i="70"/>
  <c r="H5" i="2"/>
  <c r="L4" i="70" s="1"/>
  <c r="G292" i="70"/>
  <c r="H292" i="70"/>
  <c r="E292" i="70"/>
  <c r="I292" i="70"/>
  <c r="K292" i="70"/>
  <c r="G5" i="2"/>
  <c r="M292" i="70"/>
  <c r="I5" i="2"/>
  <c r="C292" i="70"/>
  <c r="B292" i="70"/>
  <c r="F292" i="70"/>
  <c r="J292" i="70"/>
  <c r="G63" i="8"/>
  <c r="J13" i="7"/>
  <c r="AK255" i="12"/>
  <c r="AK257" i="12" s="1"/>
  <c r="AL255" i="12"/>
  <c r="AL257" i="12" s="1"/>
  <c r="AK200" i="12"/>
  <c r="P5" i="2"/>
  <c r="H301" i="12"/>
  <c r="C301" i="12"/>
  <c r="D301" i="12"/>
  <c r="N4" i="70"/>
  <c r="Q5" i="2"/>
  <c r="U4" i="70" s="1"/>
  <c r="I301" i="12"/>
  <c r="M5" i="2"/>
  <c r="E301" i="12"/>
  <c r="N5" i="2"/>
  <c r="F301" i="12"/>
  <c r="O5" i="2"/>
  <c r="G301" i="12"/>
  <c r="C255" i="12"/>
  <c r="D255" i="12"/>
  <c r="L99" i="2"/>
  <c r="K99" i="2"/>
  <c r="L80" i="2"/>
  <c r="K80" i="2"/>
  <c r="I80" i="2"/>
  <c r="L53" i="2"/>
  <c r="K53" i="2"/>
  <c r="I53" i="2"/>
  <c r="L43" i="2"/>
  <c r="K43" i="2"/>
  <c r="I43" i="2"/>
  <c r="L37" i="2"/>
  <c r="K37" i="2"/>
  <c r="I37" i="2"/>
  <c r="I21" i="2"/>
  <c r="H21" i="2"/>
  <c r="G21" i="2"/>
  <c r="I18" i="2"/>
  <c r="G18" i="2"/>
  <c r="H80" i="2"/>
  <c r="G80" i="2"/>
  <c r="H53" i="2"/>
  <c r="G53" i="2"/>
  <c r="H43" i="2"/>
  <c r="G43" i="2"/>
  <c r="H37" i="2"/>
  <c r="G37" i="2"/>
  <c r="I27" i="2"/>
  <c r="I29" i="2" s="1"/>
  <c r="I39" i="2" s="1"/>
  <c r="H27" i="2"/>
  <c r="H29" i="2" s="1"/>
  <c r="H39" i="2" s="1"/>
  <c r="G27" i="2"/>
  <c r="G29" i="2" s="1"/>
  <c r="I77" i="8"/>
  <c r="BG43" i="2"/>
  <c r="J75" i="8"/>
  <c r="I75" i="8"/>
  <c r="J63" i="8"/>
  <c r="BH43" i="2"/>
  <c r="C33" i="7"/>
  <c r="D33" i="7"/>
  <c r="C22" i="7"/>
  <c r="D22" i="7"/>
  <c r="C6" i="7"/>
  <c r="D6" i="7"/>
  <c r="P306" i="12"/>
  <c r="T21" i="12" s="1"/>
  <c r="K13" i="7" l="1"/>
  <c r="H6" i="2"/>
  <c r="G6" i="2"/>
  <c r="I6" i="2"/>
  <c r="K4" i="70"/>
  <c r="K73" i="70" s="1"/>
  <c r="M4" i="70"/>
  <c r="M72" i="70" s="1"/>
  <c r="S4" i="70"/>
  <c r="S73" i="70" s="1"/>
  <c r="O7" i="2"/>
  <c r="J4" i="70"/>
  <c r="J291" i="70" s="1"/>
  <c r="P4" i="70"/>
  <c r="P126" i="70" s="1"/>
  <c r="L7" i="2"/>
  <c r="T4" i="70"/>
  <c r="U5" i="70" s="1"/>
  <c r="P7" i="2"/>
  <c r="R4" i="70"/>
  <c r="R291" i="70" s="1"/>
  <c r="N7" i="2"/>
  <c r="Q4" i="70"/>
  <c r="Q100" i="70" s="1"/>
  <c r="M7" i="2"/>
  <c r="O4" i="70"/>
  <c r="O73" i="70" s="1"/>
  <c r="K7" i="2"/>
  <c r="B4" i="70"/>
  <c r="B291" i="70" s="1"/>
  <c r="C4" i="70"/>
  <c r="E4" i="70"/>
  <c r="U101" i="70"/>
  <c r="U145" i="70"/>
  <c r="Y6" i="70"/>
  <c r="U168" i="70"/>
  <c r="U164" i="70"/>
  <c r="U97" i="70"/>
  <c r="U123" i="70"/>
  <c r="U146" i="70"/>
  <c r="U76" i="70"/>
  <c r="U124" i="70"/>
  <c r="U199" i="70"/>
  <c r="U200" i="70"/>
  <c r="U122" i="70"/>
  <c r="U74" i="70"/>
  <c r="U202" i="70"/>
  <c r="U201" i="70"/>
  <c r="U75" i="70"/>
  <c r="U125" i="70"/>
  <c r="U72" i="70"/>
  <c r="U73" i="70"/>
  <c r="U169" i="70"/>
  <c r="U291" i="70"/>
  <c r="U102" i="70"/>
  <c r="U163" i="70"/>
  <c r="U98" i="70"/>
  <c r="V5" i="70"/>
  <c r="U300" i="70"/>
  <c r="U100" i="70"/>
  <c r="U126" i="70"/>
  <c r="U144" i="70"/>
  <c r="U99" i="70"/>
  <c r="N100" i="70"/>
  <c r="N76" i="70"/>
  <c r="N145" i="70"/>
  <c r="N75" i="70"/>
  <c r="N123" i="70"/>
  <c r="N124" i="70"/>
  <c r="N73" i="70"/>
  <c r="N200" i="70"/>
  <c r="N98" i="70"/>
  <c r="N102" i="70"/>
  <c r="N126" i="70"/>
  <c r="N97" i="70"/>
  <c r="N291" i="70"/>
  <c r="N144" i="70"/>
  <c r="N202" i="70"/>
  <c r="N72" i="70"/>
  <c r="N101" i="70"/>
  <c r="N74" i="70"/>
  <c r="N146" i="70"/>
  <c r="N199" i="70"/>
  <c r="N99" i="70"/>
  <c r="N122" i="70"/>
  <c r="N125" i="70"/>
  <c r="N201" i="70"/>
  <c r="L145" i="70"/>
  <c r="L146" i="70"/>
  <c r="L291" i="70"/>
  <c r="L76" i="70"/>
  <c r="L74" i="70"/>
  <c r="L72" i="70"/>
  <c r="L144" i="70"/>
  <c r="L75" i="70"/>
  <c r="L73" i="70"/>
  <c r="F4" i="70"/>
  <c r="G4" i="70"/>
  <c r="D4" i="70"/>
  <c r="I4" i="70"/>
  <c r="H4" i="70"/>
  <c r="H51" i="2"/>
  <c r="H58" i="2" s="1"/>
  <c r="K3" i="2"/>
  <c r="I51" i="2"/>
  <c r="I58" i="2" s="1"/>
  <c r="I40" i="2"/>
  <c r="I83" i="2" s="1"/>
  <c r="H40" i="2"/>
  <c r="H83" i="2" s="1"/>
  <c r="I30" i="2"/>
  <c r="I82" i="2" s="1"/>
  <c r="G39" i="2"/>
  <c r="G51" i="2" s="1"/>
  <c r="G58" i="2" s="1"/>
  <c r="G30" i="2"/>
  <c r="G82" i="2" s="1"/>
  <c r="H30" i="2"/>
  <c r="H82" i="2" s="1"/>
  <c r="N65" i="2"/>
  <c r="Q65" i="2"/>
  <c r="AN324" i="12"/>
  <c r="AN321" i="12"/>
  <c r="AN315" i="12"/>
  <c r="AN305" i="12"/>
  <c r="AM244" i="12"/>
  <c r="AM240" i="12"/>
  <c r="AM234" i="12"/>
  <c r="AN244" i="12"/>
  <c r="AN240" i="12"/>
  <c r="AN234" i="12"/>
  <c r="AN278" i="12"/>
  <c r="AN65" i="12"/>
  <c r="AN52" i="12"/>
  <c r="AM52" i="12"/>
  <c r="AN41" i="12"/>
  <c r="AN35" i="12"/>
  <c r="BH53" i="2"/>
  <c r="BH22" i="2"/>
  <c r="J325" i="12"/>
  <c r="J324" i="12"/>
  <c r="J322" i="12"/>
  <c r="J321" i="12"/>
  <c r="J319" i="12"/>
  <c r="J318" i="12"/>
  <c r="J316" i="12"/>
  <c r="J315" i="12"/>
  <c r="R65" i="2"/>
  <c r="U22" i="2"/>
  <c r="U23" i="2" s="1"/>
  <c r="N241" i="12"/>
  <c r="N249" i="12" s="1"/>
  <c r="O252" i="12" s="1"/>
  <c r="K325" i="12"/>
  <c r="K324" i="12"/>
  <c r="K322" i="12"/>
  <c r="K321" i="12"/>
  <c r="K319" i="12"/>
  <c r="K318" i="12"/>
  <c r="K316" i="12"/>
  <c r="K315" i="12"/>
  <c r="S22" i="2"/>
  <c r="S23" i="2" s="1"/>
  <c r="V22" i="2"/>
  <c r="V23" i="2" s="1"/>
  <c r="N286" i="12"/>
  <c r="M286" i="12"/>
  <c r="L286" i="12"/>
  <c r="C290" i="12"/>
  <c r="D290" i="12"/>
  <c r="E290" i="12"/>
  <c r="F290" i="12"/>
  <c r="G290" i="12"/>
  <c r="H290" i="12"/>
  <c r="I290" i="12"/>
  <c r="J290" i="12"/>
  <c r="K290" i="12"/>
  <c r="L290" i="12"/>
  <c r="M290" i="12"/>
  <c r="N290" i="12"/>
  <c r="O290" i="12"/>
  <c r="C291" i="12"/>
  <c r="D291" i="12"/>
  <c r="E291" i="12"/>
  <c r="F291" i="12"/>
  <c r="G291" i="12"/>
  <c r="H291" i="12"/>
  <c r="I291" i="12"/>
  <c r="J291" i="12"/>
  <c r="K291" i="12"/>
  <c r="L291" i="12"/>
  <c r="M291" i="12"/>
  <c r="N291" i="12"/>
  <c r="O291" i="12"/>
  <c r="C292" i="12"/>
  <c r="D292" i="12"/>
  <c r="E292" i="12"/>
  <c r="F292" i="12"/>
  <c r="G292" i="12"/>
  <c r="H292" i="12"/>
  <c r="I292" i="12"/>
  <c r="J292" i="12"/>
  <c r="K292" i="12"/>
  <c r="L292" i="12"/>
  <c r="M292" i="12"/>
  <c r="N292" i="12"/>
  <c r="O292" i="12"/>
  <c r="C293" i="12"/>
  <c r="D293" i="12"/>
  <c r="E293" i="12"/>
  <c r="F293" i="12"/>
  <c r="G293" i="12"/>
  <c r="H293" i="12"/>
  <c r="I293" i="12"/>
  <c r="J293" i="12"/>
  <c r="K293" i="12"/>
  <c r="L293" i="12"/>
  <c r="M293" i="12"/>
  <c r="N293" i="12"/>
  <c r="O293" i="12"/>
  <c r="O286" i="12"/>
  <c r="P286" i="12"/>
  <c r="P278" i="12"/>
  <c r="C52" i="12"/>
  <c r="D52" i="12"/>
  <c r="E52" i="12"/>
  <c r="F52" i="12"/>
  <c r="G52" i="12"/>
  <c r="H52" i="12"/>
  <c r="I52" i="12"/>
  <c r="J52" i="12"/>
  <c r="K52" i="12"/>
  <c r="L52" i="12"/>
  <c r="M52" i="12"/>
  <c r="N52" i="12"/>
  <c r="O52" i="12"/>
  <c r="P52" i="12"/>
  <c r="P325" i="12"/>
  <c r="O325" i="12"/>
  <c r="N325" i="12"/>
  <c r="M325" i="12"/>
  <c r="L325" i="12"/>
  <c r="P324" i="12"/>
  <c r="O324" i="12"/>
  <c r="N324" i="12"/>
  <c r="M324" i="12"/>
  <c r="L324" i="12"/>
  <c r="P322" i="12"/>
  <c r="O322" i="12"/>
  <c r="N322" i="12"/>
  <c r="M322" i="12"/>
  <c r="L322" i="12"/>
  <c r="P321" i="12"/>
  <c r="O321" i="12"/>
  <c r="N321" i="12"/>
  <c r="M321" i="12"/>
  <c r="L321" i="12"/>
  <c r="P319" i="12"/>
  <c r="O319" i="12"/>
  <c r="N319" i="12"/>
  <c r="M319" i="12"/>
  <c r="L319" i="12"/>
  <c r="P318" i="12"/>
  <c r="O318" i="12"/>
  <c r="N318" i="12"/>
  <c r="M318" i="12"/>
  <c r="L318" i="12"/>
  <c r="P316" i="12"/>
  <c r="O316" i="12"/>
  <c r="N316" i="12"/>
  <c r="M316" i="12"/>
  <c r="L316" i="12"/>
  <c r="P315" i="12"/>
  <c r="O315" i="12"/>
  <c r="N315" i="12"/>
  <c r="M315" i="12"/>
  <c r="L315" i="12"/>
  <c r="T54" i="7"/>
  <c r="T22" i="7"/>
  <c r="X22" i="7"/>
  <c r="W54" i="7"/>
  <c r="X54" i="7"/>
  <c r="Y54" i="7"/>
  <c r="Y22" i="7"/>
  <c r="V43" i="2"/>
  <c r="U43" i="2"/>
  <c r="T43" i="2"/>
  <c r="S43" i="2"/>
  <c r="R43" i="2"/>
  <c r="Q43" i="2"/>
  <c r="P43" i="2"/>
  <c r="O43" i="2"/>
  <c r="N43" i="2"/>
  <c r="M43" i="2"/>
  <c r="W22" i="2"/>
  <c r="W23" i="2" s="1"/>
  <c r="X22" i="2"/>
  <c r="X23" i="2" s="1"/>
  <c r="L13" i="7" l="1"/>
  <c r="O200" i="70"/>
  <c r="M144" i="70"/>
  <c r="M146" i="70"/>
  <c r="M74" i="70"/>
  <c r="N83" i="70" s="1"/>
  <c r="O98" i="70"/>
  <c r="M145" i="70"/>
  <c r="O102" i="70"/>
  <c r="N5" i="70"/>
  <c r="M73" i="70"/>
  <c r="M82" i="70" s="1"/>
  <c r="O5" i="70"/>
  <c r="O202" i="70"/>
  <c r="O208" i="70" s="1"/>
  <c r="AN295" i="12"/>
  <c r="AU278" i="12"/>
  <c r="S199" i="70"/>
  <c r="W211" i="70" s="1"/>
  <c r="M6" i="70"/>
  <c r="O144" i="70"/>
  <c r="M76" i="70"/>
  <c r="N85" i="70" s="1"/>
  <c r="O99" i="70"/>
  <c r="M75" i="70"/>
  <c r="O146" i="70"/>
  <c r="O124" i="70"/>
  <c r="O122" i="70"/>
  <c r="S72" i="70"/>
  <c r="W88" i="70" s="1"/>
  <c r="S102" i="70"/>
  <c r="W119" i="70" s="1"/>
  <c r="W6" i="70"/>
  <c r="S145" i="70"/>
  <c r="W159" i="70" s="1"/>
  <c r="S201" i="70"/>
  <c r="S98" i="70"/>
  <c r="W115" i="70" s="1"/>
  <c r="S126" i="70"/>
  <c r="S99" i="70"/>
  <c r="W116" i="70" s="1"/>
  <c r="S125" i="70"/>
  <c r="S74" i="70"/>
  <c r="W90" i="70" s="1"/>
  <c r="M291" i="70"/>
  <c r="S200" i="70"/>
  <c r="W212" i="70" s="1"/>
  <c r="S75" i="70"/>
  <c r="S100" i="70"/>
  <c r="S300" i="70"/>
  <c r="S146" i="70"/>
  <c r="W160" i="70" s="1"/>
  <c r="O201" i="70"/>
  <c r="O207" i="70" s="1"/>
  <c r="O145" i="70"/>
  <c r="O3" i="70"/>
  <c r="O101" i="70"/>
  <c r="S123" i="70"/>
  <c r="O123" i="70"/>
  <c r="O74" i="70"/>
  <c r="O100" i="70"/>
  <c r="O125" i="70"/>
  <c r="O75" i="70"/>
  <c r="S144" i="70"/>
  <c r="W158" i="70" s="1"/>
  <c r="J6" i="70"/>
  <c r="J75" i="70"/>
  <c r="K144" i="70"/>
  <c r="S291" i="70"/>
  <c r="S97" i="70"/>
  <c r="W114" i="70" s="1"/>
  <c r="S164" i="70"/>
  <c r="S76" i="70"/>
  <c r="W92" i="70" s="1"/>
  <c r="O291" i="70"/>
  <c r="S163" i="70"/>
  <c r="S101" i="70"/>
  <c r="W118" i="70" s="1"/>
  <c r="K72" i="70"/>
  <c r="L81" i="70" s="1"/>
  <c r="K74" i="70"/>
  <c r="K146" i="70"/>
  <c r="K291" i="70"/>
  <c r="O6" i="70"/>
  <c r="K76" i="70"/>
  <c r="L85" i="70" s="1"/>
  <c r="K6" i="70"/>
  <c r="K75" i="70"/>
  <c r="K145" i="70"/>
  <c r="O199" i="70"/>
  <c r="O205" i="70" s="1"/>
  <c r="O72" i="70"/>
  <c r="O81" i="70" s="1"/>
  <c r="P100" i="70"/>
  <c r="P6" i="70"/>
  <c r="P202" i="70"/>
  <c r="R122" i="70"/>
  <c r="R98" i="70"/>
  <c r="V115" i="70" s="1"/>
  <c r="P102" i="70"/>
  <c r="P98" i="70"/>
  <c r="P101" i="70"/>
  <c r="P124" i="70"/>
  <c r="S124" i="70"/>
  <c r="S122" i="70"/>
  <c r="O97" i="70"/>
  <c r="O126" i="70"/>
  <c r="N6" i="70"/>
  <c r="J145" i="70"/>
  <c r="P97" i="70"/>
  <c r="P201" i="70"/>
  <c r="J72" i="70"/>
  <c r="N88" i="70" s="1"/>
  <c r="P5" i="70"/>
  <c r="T97" i="70"/>
  <c r="X114" i="70" s="1"/>
  <c r="J73" i="70"/>
  <c r="K82" i="70" s="1"/>
  <c r="P73" i="70"/>
  <c r="P89" i="70" s="1"/>
  <c r="S202" i="70"/>
  <c r="W214" i="70" s="1"/>
  <c r="S6" i="70"/>
  <c r="O76" i="70"/>
  <c r="T100" i="70"/>
  <c r="P75" i="70"/>
  <c r="P145" i="70"/>
  <c r="P144" i="70"/>
  <c r="P199" i="70"/>
  <c r="P291" i="70"/>
  <c r="R199" i="70"/>
  <c r="R211" i="70" s="1"/>
  <c r="T164" i="70"/>
  <c r="J74" i="70"/>
  <c r="R126" i="70"/>
  <c r="T126" i="70"/>
  <c r="J76" i="70"/>
  <c r="N92" i="70" s="1"/>
  <c r="R300" i="70"/>
  <c r="R6" i="70"/>
  <c r="Q73" i="70"/>
  <c r="R75" i="70"/>
  <c r="Q126" i="70"/>
  <c r="R145" i="70"/>
  <c r="T72" i="70"/>
  <c r="X88" i="70" s="1"/>
  <c r="Q76" i="70"/>
  <c r="U92" i="70" s="1"/>
  <c r="Q125" i="70"/>
  <c r="R5" i="70"/>
  <c r="T101" i="70"/>
  <c r="U110" i="70" s="1"/>
  <c r="R123" i="70"/>
  <c r="T125" i="70"/>
  <c r="R164" i="70"/>
  <c r="S5" i="70"/>
  <c r="R76" i="70"/>
  <c r="T124" i="70"/>
  <c r="J146" i="70"/>
  <c r="Q122" i="70"/>
  <c r="Q200" i="70"/>
  <c r="U212" i="70" s="1"/>
  <c r="Q146" i="70"/>
  <c r="R201" i="70"/>
  <c r="R213" i="70" s="1"/>
  <c r="T201" i="70"/>
  <c r="X6" i="70"/>
  <c r="R144" i="70"/>
  <c r="P72" i="70"/>
  <c r="Q102" i="70"/>
  <c r="U119" i="70" s="1"/>
  <c r="Q97" i="70"/>
  <c r="U114" i="70" s="1"/>
  <c r="R124" i="70"/>
  <c r="T74" i="70"/>
  <c r="X90" i="70" s="1"/>
  <c r="T98" i="70"/>
  <c r="U107" i="70" s="1"/>
  <c r="T291" i="70"/>
  <c r="P122" i="70"/>
  <c r="P123" i="70"/>
  <c r="P76" i="70"/>
  <c r="Q123" i="70"/>
  <c r="Q72" i="70"/>
  <c r="R73" i="70"/>
  <c r="V89" i="70" s="1"/>
  <c r="R99" i="70"/>
  <c r="V116" i="70" s="1"/>
  <c r="T200" i="70"/>
  <c r="X212" i="70" s="1"/>
  <c r="T145" i="70"/>
  <c r="U152" i="70" s="1"/>
  <c r="T73" i="70"/>
  <c r="U82" i="70" s="1"/>
  <c r="Q5" i="70"/>
  <c r="V6" i="70"/>
  <c r="T202" i="70"/>
  <c r="T123" i="70"/>
  <c r="Q6" i="70"/>
  <c r="T6" i="70"/>
  <c r="Q291" i="70"/>
  <c r="Q199" i="70"/>
  <c r="U211" i="70" s="1"/>
  <c r="P74" i="70"/>
  <c r="P90" i="70" s="1"/>
  <c r="P99" i="70"/>
  <c r="P146" i="70"/>
  <c r="Q202" i="70"/>
  <c r="Q124" i="70"/>
  <c r="Q74" i="70"/>
  <c r="U90" i="70" s="1"/>
  <c r="R202" i="70"/>
  <c r="V214" i="70" s="1"/>
  <c r="R102" i="70"/>
  <c r="V119" i="70" s="1"/>
  <c r="R163" i="70"/>
  <c r="T122" i="70"/>
  <c r="T102" i="70"/>
  <c r="U111" i="70" s="1"/>
  <c r="U6" i="70"/>
  <c r="J144" i="70"/>
  <c r="Q201" i="70"/>
  <c r="Q144" i="70"/>
  <c r="Q101" i="70"/>
  <c r="R125" i="70"/>
  <c r="T300" i="70"/>
  <c r="Q145" i="70"/>
  <c r="R146" i="70"/>
  <c r="V160" i="70" s="1"/>
  <c r="R100" i="70"/>
  <c r="V117" i="70" s="1"/>
  <c r="T146" i="70"/>
  <c r="U153" i="70" s="1"/>
  <c r="T199" i="70"/>
  <c r="R72" i="70"/>
  <c r="T163" i="70"/>
  <c r="Q99" i="70"/>
  <c r="U116" i="70" s="1"/>
  <c r="R97" i="70"/>
  <c r="T75" i="70"/>
  <c r="T5" i="70"/>
  <c r="T144" i="70"/>
  <c r="P125" i="70"/>
  <c r="R101" i="70"/>
  <c r="V118" i="70" s="1"/>
  <c r="P200" i="70"/>
  <c r="P206" i="70" s="1"/>
  <c r="Q75" i="70"/>
  <c r="Q98" i="70"/>
  <c r="U115" i="70" s="1"/>
  <c r="R74" i="70"/>
  <c r="R200" i="70"/>
  <c r="V212" i="70" s="1"/>
  <c r="T76" i="70"/>
  <c r="X92" i="70" s="1"/>
  <c r="T99" i="70"/>
  <c r="U170" i="70"/>
  <c r="L147" i="70"/>
  <c r="U165" i="70"/>
  <c r="L78" i="70"/>
  <c r="O206" i="70"/>
  <c r="Y213" i="70"/>
  <c r="X219" i="70"/>
  <c r="V207" i="70"/>
  <c r="V153" i="70"/>
  <c r="Y160" i="70"/>
  <c r="I74" i="70"/>
  <c r="I6" i="70"/>
  <c r="I72" i="70"/>
  <c r="I291" i="70"/>
  <c r="I146" i="70"/>
  <c r="I76" i="70"/>
  <c r="I75" i="70"/>
  <c r="I144" i="70"/>
  <c r="I73" i="70"/>
  <c r="I145" i="70"/>
  <c r="V108" i="70"/>
  <c r="Y116" i="70"/>
  <c r="Y119" i="70"/>
  <c r="V111" i="70"/>
  <c r="Y214" i="70"/>
  <c r="X220" i="70"/>
  <c r="V208" i="70"/>
  <c r="V110" i="70"/>
  <c r="Y118" i="70"/>
  <c r="N81" i="70"/>
  <c r="N78" i="70"/>
  <c r="V151" i="70"/>
  <c r="Y158" i="70"/>
  <c r="U147" i="70"/>
  <c r="V83" i="70"/>
  <c r="Y90" i="70"/>
  <c r="M81" i="70"/>
  <c r="F74" i="70"/>
  <c r="F144" i="70"/>
  <c r="F76" i="70"/>
  <c r="F146" i="70"/>
  <c r="F6" i="70"/>
  <c r="F75" i="70"/>
  <c r="F73" i="70"/>
  <c r="F145" i="70"/>
  <c r="F291" i="70"/>
  <c r="F72" i="70"/>
  <c r="O89" i="70"/>
  <c r="O82" i="70"/>
  <c r="U127" i="70"/>
  <c r="V106" i="70"/>
  <c r="U103" i="70"/>
  <c r="Y114" i="70"/>
  <c r="E291" i="70"/>
  <c r="E144" i="70"/>
  <c r="E145" i="70"/>
  <c r="E146" i="70"/>
  <c r="N127" i="70"/>
  <c r="N147" i="70"/>
  <c r="Y117" i="70"/>
  <c r="V109" i="70"/>
  <c r="U117" i="70"/>
  <c r="Y95" i="70"/>
  <c r="V82" i="70"/>
  <c r="Y89" i="70"/>
  <c r="X218" i="70"/>
  <c r="AB224" i="70" s="1"/>
  <c r="Y212" i="70"/>
  <c r="V206" i="70"/>
  <c r="Y92" i="70"/>
  <c r="V85" i="70"/>
  <c r="D291" i="70"/>
  <c r="D145" i="70"/>
  <c r="D144" i="70"/>
  <c r="D146" i="70"/>
  <c r="L82" i="70"/>
  <c r="Y94" i="70"/>
  <c r="Y88" i="70"/>
  <c r="U78" i="70"/>
  <c r="U79" i="70" s="1"/>
  <c r="V79" i="70" s="1"/>
  <c r="V81" i="70"/>
  <c r="Y211" i="70"/>
  <c r="V205" i="70"/>
  <c r="X217" i="70"/>
  <c r="C291" i="70"/>
  <c r="C145" i="70"/>
  <c r="C146" i="70"/>
  <c r="C144" i="70"/>
  <c r="AX197" i="70"/>
  <c r="H74" i="70"/>
  <c r="L90" i="70" s="1"/>
  <c r="H76" i="70"/>
  <c r="H291" i="70"/>
  <c r="H6" i="70"/>
  <c r="H144" i="70"/>
  <c r="H146" i="70"/>
  <c r="H72" i="70"/>
  <c r="L88" i="70" s="1"/>
  <c r="H75" i="70"/>
  <c r="H73" i="70"/>
  <c r="L89" i="70" s="1"/>
  <c r="H145" i="70"/>
  <c r="G74" i="70"/>
  <c r="G146" i="70"/>
  <c r="G75" i="70"/>
  <c r="G76" i="70"/>
  <c r="G73" i="70"/>
  <c r="G6" i="70"/>
  <c r="G144" i="70"/>
  <c r="G291" i="70"/>
  <c r="G72" i="70"/>
  <c r="G145" i="70"/>
  <c r="Y115" i="70"/>
  <c r="V107" i="70"/>
  <c r="Y159" i="70"/>
  <c r="V152" i="70"/>
  <c r="S89" i="70"/>
  <c r="W89" i="70"/>
  <c r="L6" i="70"/>
  <c r="N103" i="70"/>
  <c r="BH27" i="2"/>
  <c r="D15" i="4" s="1"/>
  <c r="BH23" i="2"/>
  <c r="I61" i="2"/>
  <c r="AN255" i="12"/>
  <c r="AN257" i="12" s="1"/>
  <c r="AM255" i="12"/>
  <c r="AM257" i="12" s="1"/>
  <c r="P295" i="12"/>
  <c r="I57" i="2"/>
  <c r="G40" i="2"/>
  <c r="G83" i="2" s="1"/>
  <c r="H61" i="2"/>
  <c r="H57" i="2"/>
  <c r="P165" i="3"/>
  <c r="O165" i="3"/>
  <c r="N165" i="3"/>
  <c r="N160" i="3"/>
  <c r="P154" i="3"/>
  <c r="O154" i="3"/>
  <c r="N154" i="3"/>
  <c r="P77" i="3"/>
  <c r="O77" i="3"/>
  <c r="N77" i="3"/>
  <c r="P56" i="3"/>
  <c r="O56" i="3"/>
  <c r="S58" i="3" s="1"/>
  <c r="N56" i="3"/>
  <c r="R329" i="12"/>
  <c r="C305" i="12"/>
  <c r="D305" i="12"/>
  <c r="E305" i="12"/>
  <c r="F305" i="12"/>
  <c r="G305" i="12"/>
  <c r="H305" i="12"/>
  <c r="I305" i="12"/>
  <c r="J305" i="12"/>
  <c r="K305" i="12"/>
  <c r="L305" i="12"/>
  <c r="M305" i="12"/>
  <c r="C306" i="12"/>
  <c r="D306" i="12"/>
  <c r="E306" i="12"/>
  <c r="F306" i="12"/>
  <c r="G306" i="12"/>
  <c r="H306" i="12"/>
  <c r="I306" i="12"/>
  <c r="J306" i="12"/>
  <c r="K306" i="12"/>
  <c r="L306" i="12"/>
  <c r="M306" i="12"/>
  <c r="O306" i="12"/>
  <c r="S21" i="12" s="1"/>
  <c r="P305" i="12"/>
  <c r="M83" i="70" l="1"/>
  <c r="M89" i="70"/>
  <c r="M90" i="70"/>
  <c r="M147" i="70"/>
  <c r="N82" i="70"/>
  <c r="Q89" i="70"/>
  <c r="S81" i="70"/>
  <c r="P208" i="70"/>
  <c r="M92" i="70"/>
  <c r="S152" i="70"/>
  <c r="M78" i="70"/>
  <c r="M85" i="70"/>
  <c r="S115" i="70"/>
  <c r="S119" i="70"/>
  <c r="O147" i="70"/>
  <c r="O90" i="70"/>
  <c r="S92" i="70"/>
  <c r="V219" i="70"/>
  <c r="Z225" i="70" s="1"/>
  <c r="T109" i="70"/>
  <c r="S90" i="70"/>
  <c r="S116" i="70"/>
  <c r="S114" i="70"/>
  <c r="S213" i="70"/>
  <c r="S212" i="70"/>
  <c r="W213" i="70"/>
  <c r="R152" i="70"/>
  <c r="P81" i="70"/>
  <c r="S88" i="70"/>
  <c r="V159" i="70"/>
  <c r="P207" i="70"/>
  <c r="O127" i="70"/>
  <c r="S117" i="70"/>
  <c r="S78" i="70"/>
  <c r="W117" i="70"/>
  <c r="W94" i="70"/>
  <c r="S83" i="70"/>
  <c r="O83" i="70"/>
  <c r="T151" i="70"/>
  <c r="S147" i="70"/>
  <c r="S165" i="70"/>
  <c r="L83" i="70"/>
  <c r="P205" i="70"/>
  <c r="O78" i="70"/>
  <c r="O88" i="70"/>
  <c r="T214" i="70"/>
  <c r="K83" i="70"/>
  <c r="K147" i="70"/>
  <c r="S118" i="70"/>
  <c r="K78" i="70"/>
  <c r="S211" i="70"/>
  <c r="S103" i="70"/>
  <c r="K81" i="70"/>
  <c r="S85" i="70"/>
  <c r="R127" i="70"/>
  <c r="S127" i="70"/>
  <c r="R165" i="70"/>
  <c r="J88" i="70"/>
  <c r="Q147" i="70"/>
  <c r="T165" i="70"/>
  <c r="Q127" i="70"/>
  <c r="Q78" i="70"/>
  <c r="W218" i="70"/>
  <c r="AA224" i="70" s="1"/>
  <c r="T127" i="70"/>
  <c r="T115" i="70"/>
  <c r="N89" i="70"/>
  <c r="O103" i="70"/>
  <c r="P127" i="70"/>
  <c r="Q207" i="70"/>
  <c r="P147" i="70"/>
  <c r="T211" i="70"/>
  <c r="O92" i="70"/>
  <c r="U106" i="70"/>
  <c r="T106" i="70"/>
  <c r="T81" i="70"/>
  <c r="U151" i="70"/>
  <c r="P82" i="70"/>
  <c r="K85" i="70"/>
  <c r="X158" i="70"/>
  <c r="R85" i="70"/>
  <c r="O94" i="70"/>
  <c r="T114" i="70"/>
  <c r="R92" i="70"/>
  <c r="S107" i="70"/>
  <c r="O85" i="70"/>
  <c r="Q206" i="70"/>
  <c r="S94" i="70"/>
  <c r="U109" i="70"/>
  <c r="N94" i="70"/>
  <c r="W219" i="70"/>
  <c r="AA225" i="70" s="1"/>
  <c r="S214" i="70"/>
  <c r="Q92" i="70"/>
  <c r="T117" i="70"/>
  <c r="P85" i="70"/>
  <c r="Q90" i="70"/>
  <c r="V213" i="70"/>
  <c r="J89" i="70"/>
  <c r="U81" i="70"/>
  <c r="R214" i="70"/>
  <c r="T78" i="70"/>
  <c r="X117" i="70"/>
  <c r="P103" i="70"/>
  <c r="S208" i="70"/>
  <c r="S110" i="70"/>
  <c r="N90" i="70"/>
  <c r="R212" i="70"/>
  <c r="T147" i="70"/>
  <c r="U219" i="70"/>
  <c r="Y225" i="70" s="1"/>
  <c r="T118" i="70"/>
  <c r="S111" i="70"/>
  <c r="T107" i="70"/>
  <c r="X115" i="70"/>
  <c r="T116" i="70"/>
  <c r="J92" i="70"/>
  <c r="P94" i="70"/>
  <c r="V88" i="70"/>
  <c r="P88" i="70"/>
  <c r="T110" i="70"/>
  <c r="T153" i="70"/>
  <c r="X118" i="70"/>
  <c r="J78" i="70"/>
  <c r="U205" i="70"/>
  <c r="Q85" i="70"/>
  <c r="V220" i="70"/>
  <c r="Z226" i="70" s="1"/>
  <c r="X119" i="70"/>
  <c r="S205" i="70"/>
  <c r="P92" i="70"/>
  <c r="R103" i="70"/>
  <c r="R83" i="70"/>
  <c r="J90" i="70"/>
  <c r="S153" i="70"/>
  <c r="X213" i="70"/>
  <c r="S109" i="70"/>
  <c r="X214" i="70"/>
  <c r="U220" i="70"/>
  <c r="Y226" i="70" s="1"/>
  <c r="X160" i="70"/>
  <c r="S207" i="70"/>
  <c r="T207" i="70"/>
  <c r="V211" i="70"/>
  <c r="J147" i="70"/>
  <c r="V94" i="70"/>
  <c r="R78" i="70"/>
  <c r="U89" i="70"/>
  <c r="Q82" i="70"/>
  <c r="V217" i="70"/>
  <c r="Z223" i="70" s="1"/>
  <c r="T111" i="70"/>
  <c r="U208" i="70"/>
  <c r="S108" i="70"/>
  <c r="U217" i="70"/>
  <c r="Y223" i="70" s="1"/>
  <c r="U206" i="70"/>
  <c r="T119" i="70"/>
  <c r="V92" i="70"/>
  <c r="R206" i="70"/>
  <c r="P78" i="70"/>
  <c r="Q103" i="70"/>
  <c r="T220" i="70"/>
  <c r="X226" i="70" s="1"/>
  <c r="R90" i="70"/>
  <c r="T152" i="70"/>
  <c r="R88" i="70"/>
  <c r="S82" i="70"/>
  <c r="X159" i="70"/>
  <c r="R81" i="70"/>
  <c r="T88" i="70"/>
  <c r="T208" i="70"/>
  <c r="W220" i="70"/>
  <c r="AA226" i="70" s="1"/>
  <c r="U108" i="70"/>
  <c r="R151" i="70"/>
  <c r="S151" i="70"/>
  <c r="U207" i="70"/>
  <c r="V114" i="70"/>
  <c r="V90" i="70"/>
  <c r="T90" i="70"/>
  <c r="R208" i="70"/>
  <c r="U83" i="70"/>
  <c r="S206" i="70"/>
  <c r="U218" i="70"/>
  <c r="Y224" i="70" s="1"/>
  <c r="X95" i="70"/>
  <c r="U214" i="70"/>
  <c r="T92" i="70"/>
  <c r="T89" i="70"/>
  <c r="R89" i="70"/>
  <c r="Q205" i="70"/>
  <c r="X94" i="70"/>
  <c r="P83" i="70"/>
  <c r="T206" i="70"/>
  <c r="Q88" i="70"/>
  <c r="T213" i="70"/>
  <c r="T212" i="70"/>
  <c r="R205" i="70"/>
  <c r="Q83" i="70"/>
  <c r="R82" i="70"/>
  <c r="W217" i="70"/>
  <c r="AA223" i="70" s="1"/>
  <c r="U88" i="70"/>
  <c r="T103" i="70"/>
  <c r="T205" i="70"/>
  <c r="Q208" i="70"/>
  <c r="T218" i="70"/>
  <c r="X224" i="70" s="1"/>
  <c r="Q81" i="70"/>
  <c r="U118" i="70"/>
  <c r="V158" i="70"/>
  <c r="T108" i="70"/>
  <c r="X89" i="70"/>
  <c r="X116" i="70"/>
  <c r="T94" i="70"/>
  <c r="R94" i="70"/>
  <c r="U85" i="70"/>
  <c r="T219" i="70"/>
  <c r="X225" i="70" s="1"/>
  <c r="T85" i="70"/>
  <c r="X211" i="70"/>
  <c r="Q94" i="70"/>
  <c r="R147" i="70"/>
  <c r="S106" i="70"/>
  <c r="U94" i="70"/>
  <c r="V218" i="70"/>
  <c r="Z224" i="70" s="1"/>
  <c r="R207" i="70"/>
  <c r="T217" i="70"/>
  <c r="X223" i="70" s="1"/>
  <c r="U213" i="70"/>
  <c r="T82" i="70"/>
  <c r="T83" i="70"/>
  <c r="R153" i="70"/>
  <c r="J83" i="70"/>
  <c r="J85" i="70"/>
  <c r="C147" i="70"/>
  <c r="M94" i="70"/>
  <c r="H85" i="70"/>
  <c r="D147" i="70"/>
  <c r="K94" i="70"/>
  <c r="M88" i="70"/>
  <c r="E147" i="70"/>
  <c r="G147" i="70"/>
  <c r="G82" i="70"/>
  <c r="G85" i="70"/>
  <c r="K89" i="70"/>
  <c r="AB226" i="70"/>
  <c r="I85" i="70"/>
  <c r="K92" i="70"/>
  <c r="H78" i="70"/>
  <c r="H81" i="70"/>
  <c r="H147" i="70"/>
  <c r="L92" i="70"/>
  <c r="K88" i="70"/>
  <c r="I81" i="70"/>
  <c r="I78" i="70"/>
  <c r="J81" i="70"/>
  <c r="F78" i="70"/>
  <c r="F147" i="70"/>
  <c r="J94" i="70"/>
  <c r="AB225" i="70"/>
  <c r="G81" i="70"/>
  <c r="G78" i="70"/>
  <c r="H83" i="70"/>
  <c r="G83" i="70"/>
  <c r="J82" i="70"/>
  <c r="I82" i="70"/>
  <c r="I83" i="70"/>
  <c r="I147" i="70"/>
  <c r="L94" i="70"/>
  <c r="H82" i="70"/>
  <c r="AB223" i="70"/>
  <c r="K90" i="70"/>
  <c r="D136" i="7"/>
  <c r="D137" i="7" s="1"/>
  <c r="D40" i="4" s="1"/>
  <c r="D41" i="4" s="1"/>
  <c r="I23" i="5" s="1"/>
  <c r="BH29" i="2"/>
  <c r="H66" i="2"/>
  <c r="I62" i="2"/>
  <c r="BC77" i="3"/>
  <c r="T58" i="3"/>
  <c r="R58" i="3"/>
  <c r="P60" i="3"/>
  <c r="O60" i="3"/>
  <c r="BC56" i="3"/>
  <c r="BD60" i="3" s="1"/>
  <c r="BD61" i="3" s="1"/>
  <c r="I66" i="2"/>
  <c r="Q57" i="3"/>
  <c r="Q60" i="3"/>
  <c r="G61" i="2"/>
  <c r="G57" i="2"/>
  <c r="O166" i="3"/>
  <c r="O155" i="3"/>
  <c r="P155" i="3"/>
  <c r="P57" i="3"/>
  <c r="N166" i="3"/>
  <c r="N155" i="3"/>
  <c r="P166" i="3"/>
  <c r="O57" i="3"/>
  <c r="N305" i="12"/>
  <c r="N306" i="12"/>
  <c r="S329" i="12"/>
  <c r="O305" i="12"/>
  <c r="U54" i="7"/>
  <c r="U22" i="7"/>
  <c r="T33" i="7"/>
  <c r="U33" i="7"/>
  <c r="T67" i="7"/>
  <c r="U67" i="7"/>
  <c r="Y67" i="7"/>
  <c r="Y33" i="7"/>
  <c r="H72" i="2" l="1"/>
  <c r="H73" i="2"/>
  <c r="I73" i="2"/>
  <c r="I72" i="2"/>
  <c r="I25" i="5"/>
  <c r="AV344" i="70"/>
  <c r="I67" i="2"/>
  <c r="I84" i="2" s="1"/>
  <c r="I68" i="2"/>
  <c r="Q328" i="12"/>
  <c r="T329" i="12"/>
  <c r="BH39" i="2"/>
  <c r="D61" i="4"/>
  <c r="H67" i="2"/>
  <c r="H84" i="2" s="1"/>
  <c r="D45" i="4"/>
  <c r="G66" i="2"/>
  <c r="G62" i="2"/>
  <c r="H62" i="2"/>
  <c r="P329" i="12"/>
  <c r="P328" i="12"/>
  <c r="T69" i="7"/>
  <c r="U69" i="7"/>
  <c r="Y69" i="7"/>
  <c r="P234" i="12"/>
  <c r="O234" i="12"/>
  <c r="N234" i="12"/>
  <c r="M234" i="12"/>
  <c r="L234" i="12"/>
  <c r="K234" i="12"/>
  <c r="J234" i="12"/>
  <c r="I234" i="12"/>
  <c r="H234" i="12"/>
  <c r="G234" i="12"/>
  <c r="F234" i="12"/>
  <c r="E234" i="12"/>
  <c r="P244" i="12"/>
  <c r="O244" i="12"/>
  <c r="N244" i="12"/>
  <c r="P240" i="12"/>
  <c r="O240" i="12"/>
  <c r="N240" i="12"/>
  <c r="O197" i="12"/>
  <c r="P197" i="12"/>
  <c r="O198" i="12"/>
  <c r="P198" i="12"/>
  <c r="O199" i="12"/>
  <c r="O200" i="12" s="1"/>
  <c r="P199" i="12"/>
  <c r="P200" i="12" s="1"/>
  <c r="O65" i="12"/>
  <c r="P65" i="12"/>
  <c r="O41" i="12"/>
  <c r="P41" i="12"/>
  <c r="O70" i="12"/>
  <c r="P70" i="12"/>
  <c r="P290" i="12"/>
  <c r="P291" i="12"/>
  <c r="P292" i="12"/>
  <c r="P293" i="12"/>
  <c r="O278" i="12"/>
  <c r="P297" i="12"/>
  <c r="Y7" i="7"/>
  <c r="Y35" i="7" s="1"/>
  <c r="U7" i="7"/>
  <c r="U35" i="7" s="1"/>
  <c r="T7" i="7"/>
  <c r="T35" i="7" s="1"/>
  <c r="G72" i="2" l="1"/>
  <c r="G73" i="2"/>
  <c r="AV348" i="70"/>
  <c r="AV351" i="70"/>
  <c r="G67" i="2"/>
  <c r="G84" i="2" s="1"/>
  <c r="G68" i="2"/>
  <c r="H68" i="2"/>
  <c r="BH40" i="2"/>
  <c r="BH51" i="2"/>
  <c r="BH58" i="2" s="1"/>
  <c r="BH61" i="2" s="1"/>
  <c r="N255" i="12"/>
  <c r="O297" i="12"/>
  <c r="O295" i="12"/>
  <c r="U71" i="7"/>
  <c r="O255" i="12"/>
  <c r="P255" i="12"/>
  <c r="T71" i="7"/>
  <c r="Y71" i="7"/>
  <c r="X4" i="2"/>
  <c r="AB292" i="70" s="1"/>
  <c r="W4" i="2"/>
  <c r="AA292" i="70" s="1"/>
  <c r="AV345" i="70" l="1"/>
  <c r="N257" i="12"/>
  <c r="O301" i="12"/>
  <c r="P301" i="12"/>
  <c r="O257" i="12"/>
  <c r="P257" i="12"/>
  <c r="P35" i="12"/>
  <c r="O35" i="12"/>
  <c r="AV347" i="70" l="1"/>
  <c r="AV350" i="70"/>
  <c r="P4" i="12"/>
  <c r="O4" i="12"/>
  <c r="N308" i="12" l="1"/>
  <c r="O308" i="12"/>
  <c r="P128" i="12"/>
  <c r="P129" i="12"/>
  <c r="P130" i="12"/>
  <c r="P126" i="12"/>
  <c r="P127" i="12"/>
  <c r="O127" i="12"/>
  <c r="O128" i="12"/>
  <c r="O129" i="12"/>
  <c r="O130" i="12"/>
  <c r="O126" i="12"/>
  <c r="P77" i="12"/>
  <c r="P118" i="3" s="1"/>
  <c r="O77" i="12"/>
  <c r="P309" i="12"/>
  <c r="S6" i="12"/>
  <c r="O309" i="12"/>
  <c r="P3" i="12"/>
  <c r="Q3" i="12"/>
  <c r="Q5" i="12"/>
  <c r="Q73" i="3"/>
  <c r="O10" i="12"/>
  <c r="P10" i="12"/>
  <c r="O300" i="12"/>
  <c r="O78" i="12"/>
  <c r="O75" i="12"/>
  <c r="O74" i="12"/>
  <c r="O73" i="12"/>
  <c r="P74" i="12"/>
  <c r="P75" i="12"/>
  <c r="P101" i="12"/>
  <c r="Q110" i="12" s="1"/>
  <c r="P73" i="12"/>
  <c r="P300" i="12"/>
  <c r="P78" i="12"/>
  <c r="O73" i="3"/>
  <c r="P73" i="3"/>
  <c r="P172" i="12"/>
  <c r="P173" i="12"/>
  <c r="O173" i="12"/>
  <c r="O172" i="12"/>
  <c r="P168" i="12"/>
  <c r="P167" i="12"/>
  <c r="O168" i="12"/>
  <c r="O167" i="12"/>
  <c r="P104" i="12"/>
  <c r="P106" i="12"/>
  <c r="Q115" i="12" s="1"/>
  <c r="P105" i="12"/>
  <c r="Q114" i="12" s="1"/>
  <c r="O103" i="12"/>
  <c r="S120" i="12" s="1"/>
  <c r="O104" i="12"/>
  <c r="O102" i="12"/>
  <c r="S119" i="12" s="1"/>
  <c r="O106" i="12"/>
  <c r="S123" i="12" s="1"/>
  <c r="O101" i="12"/>
  <c r="S118" i="12" s="1"/>
  <c r="O105" i="12"/>
  <c r="S122" i="12" s="1"/>
  <c r="O149" i="12"/>
  <c r="S163" i="12" s="1"/>
  <c r="O203" i="12"/>
  <c r="O204" i="12"/>
  <c r="O150" i="12"/>
  <c r="S164" i="12" s="1"/>
  <c r="O206" i="12"/>
  <c r="O205" i="12"/>
  <c r="O148" i="12"/>
  <c r="S162" i="12" s="1"/>
  <c r="P203" i="12"/>
  <c r="P204" i="12"/>
  <c r="P206" i="12"/>
  <c r="P148" i="12"/>
  <c r="Q155" i="12" s="1"/>
  <c r="P149" i="12"/>
  <c r="Q156" i="12" s="1"/>
  <c r="P103" i="12"/>
  <c r="Q112" i="12" s="1"/>
  <c r="P150" i="12"/>
  <c r="Q157" i="12" s="1"/>
  <c r="P102" i="12"/>
  <c r="Q111" i="12" s="1"/>
  <c r="P205" i="12"/>
  <c r="Z85" i="7"/>
  <c r="Y85" i="7"/>
  <c r="X85" i="7"/>
  <c r="W85" i="7"/>
  <c r="X67" i="7"/>
  <c r="W67" i="7"/>
  <c r="X33" i="7"/>
  <c r="W33" i="7"/>
  <c r="W22" i="7"/>
  <c r="X7" i="7"/>
  <c r="W7" i="7"/>
  <c r="O118" i="3" l="1"/>
  <c r="O131" i="12"/>
  <c r="P131" i="12"/>
  <c r="S96" i="12"/>
  <c r="Q113" i="12"/>
  <c r="S121" i="12"/>
  <c r="Q209" i="12"/>
  <c r="R221" i="12"/>
  <c r="S221" i="12"/>
  <c r="S216" i="12"/>
  <c r="R224" i="12"/>
  <c r="S224" i="12"/>
  <c r="S217" i="12"/>
  <c r="S215" i="12"/>
  <c r="Q211" i="12"/>
  <c r="R223" i="12"/>
  <c r="S223" i="12"/>
  <c r="Q210" i="12"/>
  <c r="R222" i="12"/>
  <c r="S222" i="12"/>
  <c r="P123" i="3"/>
  <c r="T96" i="12"/>
  <c r="T93" i="12"/>
  <c r="T91" i="12"/>
  <c r="T98" i="12"/>
  <c r="T99" i="12"/>
  <c r="T92" i="12"/>
  <c r="P102" i="3"/>
  <c r="O102" i="3"/>
  <c r="S92" i="12"/>
  <c r="S99" i="12"/>
  <c r="O108" i="3"/>
  <c r="S93" i="12"/>
  <c r="S218" i="12"/>
  <c r="O96" i="3"/>
  <c r="S98" i="12"/>
  <c r="S91" i="12"/>
  <c r="Q85" i="12"/>
  <c r="P108" i="3"/>
  <c r="O123" i="3"/>
  <c r="Q83" i="12"/>
  <c r="P96" i="3"/>
  <c r="Q84" i="12"/>
  <c r="Q212" i="12"/>
  <c r="Q88" i="12"/>
  <c r="X35" i="7"/>
  <c r="P174" i="12"/>
  <c r="O174" i="12"/>
  <c r="O169" i="12"/>
  <c r="P169" i="12"/>
  <c r="P114" i="12"/>
  <c r="P115" i="12"/>
  <c r="P113" i="12"/>
  <c r="P80" i="12"/>
  <c r="P107" i="12"/>
  <c r="O107" i="12"/>
  <c r="O80" i="12"/>
  <c r="P209" i="12"/>
  <c r="P211" i="12"/>
  <c r="P210" i="12"/>
  <c r="P212" i="12"/>
  <c r="P112" i="12"/>
  <c r="P85" i="12"/>
  <c r="P83" i="12"/>
  <c r="P110" i="12"/>
  <c r="P156" i="12"/>
  <c r="P111" i="12"/>
  <c r="P151" i="12"/>
  <c r="P155" i="12"/>
  <c r="P157" i="12"/>
  <c r="O151" i="12"/>
  <c r="P84" i="12"/>
  <c r="P88" i="12"/>
  <c r="X69" i="7"/>
  <c r="W69" i="7"/>
  <c r="W35" i="7"/>
  <c r="X99" i="2"/>
  <c r="X102" i="2" s="1"/>
  <c r="W99" i="2"/>
  <c r="W102" i="2" s="1"/>
  <c r="V99" i="2"/>
  <c r="V102" i="2" s="1"/>
  <c r="W53" i="2"/>
  <c r="X53" i="2"/>
  <c r="P129" i="3" l="1"/>
  <c r="O129" i="3"/>
  <c r="S131" i="3" s="1"/>
  <c r="O133" i="3"/>
  <c r="P133" i="3"/>
  <c r="T135" i="3" s="1"/>
  <c r="S125" i="3"/>
  <c r="P124" i="3"/>
  <c r="T125" i="3"/>
  <c r="Q124" i="3"/>
  <c r="S98" i="3"/>
  <c r="T98" i="3"/>
  <c r="T104" i="3"/>
  <c r="S104" i="3"/>
  <c r="T110" i="3"/>
  <c r="P109" i="3"/>
  <c r="S110" i="3"/>
  <c r="Q109" i="3"/>
  <c r="P97" i="3"/>
  <c r="Q97" i="3"/>
  <c r="W71" i="7"/>
  <c r="X71" i="7"/>
  <c r="N199" i="12"/>
  <c r="N200" i="12" s="1"/>
  <c r="N198" i="12"/>
  <c r="N197" i="12"/>
  <c r="N70" i="12"/>
  <c r="N65" i="12"/>
  <c r="N41" i="12"/>
  <c r="N4" i="12"/>
  <c r="V4" i="2"/>
  <c r="Z292" i="70" s="1"/>
  <c r="V53" i="2"/>
  <c r="M308" i="12" l="1"/>
  <c r="P130" i="3"/>
  <c r="N130" i="12"/>
  <c r="N126" i="12"/>
  <c r="N127" i="12"/>
  <c r="N128" i="12"/>
  <c r="N129" i="12"/>
  <c r="Q130" i="3"/>
  <c r="T131" i="3"/>
  <c r="N77" i="12"/>
  <c r="N118" i="3" s="1"/>
  <c r="BC118" i="3" s="1"/>
  <c r="N309" i="12"/>
  <c r="P134" i="3"/>
  <c r="Q134" i="3"/>
  <c r="S135" i="3"/>
  <c r="N301" i="12"/>
  <c r="R6" i="12"/>
  <c r="O3" i="12"/>
  <c r="N10" i="12"/>
  <c r="N75" i="12"/>
  <c r="N300" i="12"/>
  <c r="N74" i="12"/>
  <c r="N78" i="12"/>
  <c r="N73" i="12"/>
  <c r="N173" i="12"/>
  <c r="N172" i="12"/>
  <c r="N168" i="12"/>
  <c r="N167" i="12"/>
  <c r="N103" i="12"/>
  <c r="R120" i="12" s="1"/>
  <c r="N102" i="12"/>
  <c r="R119" i="12" s="1"/>
  <c r="N106" i="12"/>
  <c r="R123" i="12" s="1"/>
  <c r="N101" i="12"/>
  <c r="R118" i="12" s="1"/>
  <c r="N105" i="12"/>
  <c r="R122" i="12" s="1"/>
  <c r="N104" i="12"/>
  <c r="O5" i="12"/>
  <c r="N148" i="12"/>
  <c r="N203" i="12"/>
  <c r="N149" i="12"/>
  <c r="N204" i="12"/>
  <c r="N150" i="12"/>
  <c r="N205" i="12"/>
  <c r="N206" i="12"/>
  <c r="N278" i="12"/>
  <c r="N295" i="12" s="1"/>
  <c r="N131" i="12" l="1"/>
  <c r="BL118" i="3"/>
  <c r="N123" i="3"/>
  <c r="R121" i="12"/>
  <c r="Q223" i="12"/>
  <c r="Q221" i="12"/>
  <c r="R216" i="12"/>
  <c r="Q222" i="12"/>
  <c r="R218" i="12"/>
  <c r="Q224" i="12"/>
  <c r="N96" i="3"/>
  <c r="BC96" i="3" s="1"/>
  <c r="N102" i="3"/>
  <c r="BC102" i="3" s="1"/>
  <c r="O81" i="12"/>
  <c r="R93" i="12"/>
  <c r="N108" i="3"/>
  <c r="BC108" i="3" s="1"/>
  <c r="R215" i="12"/>
  <c r="R92" i="12"/>
  <c r="R99" i="12"/>
  <c r="O155" i="12"/>
  <c r="R162" i="12"/>
  <c r="R217" i="12"/>
  <c r="O157" i="12"/>
  <c r="R164" i="12"/>
  <c r="O156" i="12"/>
  <c r="R163" i="12"/>
  <c r="R96" i="12"/>
  <c r="R98" i="12"/>
  <c r="R91" i="12"/>
  <c r="N169" i="12"/>
  <c r="N174" i="12"/>
  <c r="O114" i="12"/>
  <c r="O110" i="12"/>
  <c r="O113" i="12"/>
  <c r="O115" i="12"/>
  <c r="O111" i="12"/>
  <c r="O112" i="12"/>
  <c r="N107" i="12"/>
  <c r="N297" i="12"/>
  <c r="O210" i="12"/>
  <c r="O212" i="12"/>
  <c r="O211" i="12"/>
  <c r="O209" i="12"/>
  <c r="O88" i="12"/>
  <c r="O85" i="12"/>
  <c r="N151" i="12"/>
  <c r="U4" i="2"/>
  <c r="L165" i="3"/>
  <c r="M165" i="3"/>
  <c r="L154" i="3"/>
  <c r="M154" i="3"/>
  <c r="L77" i="3"/>
  <c r="M77" i="3"/>
  <c r="L56" i="3"/>
  <c r="M56" i="3"/>
  <c r="BC123" i="3" l="1"/>
  <c r="N129" i="3"/>
  <c r="M301" i="12"/>
  <c r="Y292" i="70"/>
  <c r="N133" i="3"/>
  <c r="R135" i="3" s="1"/>
  <c r="R125" i="3"/>
  <c r="O124" i="3"/>
  <c r="R98" i="3"/>
  <c r="O109" i="3"/>
  <c r="R104" i="3"/>
  <c r="R110" i="3"/>
  <c r="N60" i="3"/>
  <c r="Q58" i="3"/>
  <c r="M60" i="3"/>
  <c r="P58" i="3"/>
  <c r="M166" i="3"/>
  <c r="L166" i="3"/>
  <c r="M155" i="3"/>
  <c r="L155" i="3"/>
  <c r="M57" i="3"/>
  <c r="N57" i="3"/>
  <c r="O84" i="12"/>
  <c r="N35" i="12"/>
  <c r="Q329" i="12"/>
  <c r="E47" i="8"/>
  <c r="D47" i="8"/>
  <c r="BC129" i="3" l="1"/>
  <c r="R131" i="3"/>
  <c r="O130" i="3"/>
  <c r="BC133" i="3"/>
  <c r="O134" i="3"/>
  <c r="O83" i="12"/>
  <c r="N80" i="12"/>
  <c r="O97" i="3" l="1"/>
  <c r="AM197" i="12"/>
  <c r="AN197" i="12"/>
  <c r="AM198" i="12"/>
  <c r="AN198" i="12"/>
  <c r="AM199" i="12"/>
  <c r="AN199" i="12"/>
  <c r="AL197" i="12"/>
  <c r="AL198" i="12"/>
  <c r="AL199" i="12"/>
  <c r="AM200" i="12" l="1"/>
  <c r="AN200" i="12"/>
  <c r="AL200" i="12"/>
  <c r="L244" i="12" l="1"/>
  <c r="M244" i="12"/>
  <c r="L240" i="12" l="1"/>
  <c r="L255" i="12" s="1"/>
  <c r="M240" i="12"/>
  <c r="M255" i="12" s="1"/>
  <c r="L197" i="12"/>
  <c r="M197" i="12"/>
  <c r="L198" i="12"/>
  <c r="M198" i="12"/>
  <c r="L199" i="12"/>
  <c r="L200" i="12" s="1"/>
  <c r="M199" i="12"/>
  <c r="M200" i="12" s="1"/>
  <c r="M70" i="12"/>
  <c r="L70" i="12"/>
  <c r="M65" i="12"/>
  <c r="L65" i="12"/>
  <c r="M41" i="12"/>
  <c r="L41" i="12"/>
  <c r="M278" i="12"/>
  <c r="M295" i="12" s="1"/>
  <c r="L278" i="12"/>
  <c r="L295" i="12" s="1"/>
  <c r="M257" i="12" l="1"/>
  <c r="L257" i="12"/>
  <c r="M297" i="12"/>
  <c r="L297" i="12"/>
  <c r="D81" i="7"/>
  <c r="D82" i="7" s="1"/>
  <c r="D130" i="7"/>
  <c r="D100" i="7"/>
  <c r="E76" i="7" s="1"/>
  <c r="D73" i="7"/>
  <c r="M4" i="12"/>
  <c r="L4" i="12"/>
  <c r="U99" i="2"/>
  <c r="U102" i="2" s="1"/>
  <c r="T99" i="2"/>
  <c r="T102" i="2" s="1"/>
  <c r="U53" i="2"/>
  <c r="T53" i="2"/>
  <c r="K308" i="12" l="1"/>
  <c r="L308" i="12"/>
  <c r="M129" i="12"/>
  <c r="M130" i="12"/>
  <c r="M126" i="12"/>
  <c r="M127" i="12"/>
  <c r="M128" i="12"/>
  <c r="L128" i="12"/>
  <c r="L129" i="12"/>
  <c r="L130" i="12"/>
  <c r="L126" i="12"/>
  <c r="L127" i="12"/>
  <c r="L77" i="12"/>
  <c r="L118" i="3" s="1"/>
  <c r="M77" i="12"/>
  <c r="M118" i="3" s="1"/>
  <c r="L309" i="12"/>
  <c r="M309" i="12"/>
  <c r="M3" i="12"/>
  <c r="N3" i="12"/>
  <c r="D78" i="7"/>
  <c r="D104" i="7"/>
  <c r="E102" i="7" s="1"/>
  <c r="E104" i="7" s="1"/>
  <c r="Q6" i="12"/>
  <c r="M74" i="12"/>
  <c r="M73" i="12"/>
  <c r="M300" i="12"/>
  <c r="M78" i="12"/>
  <c r="M75" i="12"/>
  <c r="L73" i="12"/>
  <c r="L75" i="12"/>
  <c r="L78" i="12"/>
  <c r="L123" i="3" s="1"/>
  <c r="L74" i="12"/>
  <c r="L300" i="12"/>
  <c r="M173" i="12"/>
  <c r="M172" i="12"/>
  <c r="L173" i="12"/>
  <c r="L172" i="12"/>
  <c r="L168" i="12"/>
  <c r="L167" i="12"/>
  <c r="M168" i="12"/>
  <c r="M167" i="12"/>
  <c r="P6" i="12"/>
  <c r="L102" i="12"/>
  <c r="L106" i="12"/>
  <c r="L101" i="12"/>
  <c r="L105" i="12"/>
  <c r="L104" i="12"/>
  <c r="L103" i="12"/>
  <c r="N5" i="12"/>
  <c r="M103" i="12"/>
  <c r="Q120" i="12" s="1"/>
  <c r="M102" i="12"/>
  <c r="Q119" i="12" s="1"/>
  <c r="M106" i="12"/>
  <c r="Q123" i="12" s="1"/>
  <c r="M101" i="12"/>
  <c r="Q118" i="12" s="1"/>
  <c r="M105" i="12"/>
  <c r="Q122" i="12" s="1"/>
  <c r="M104" i="12"/>
  <c r="M35" i="12"/>
  <c r="L35" i="12"/>
  <c r="L148" i="12"/>
  <c r="P162" i="12" s="1"/>
  <c r="L150" i="12"/>
  <c r="P164" i="12" s="1"/>
  <c r="L149" i="12"/>
  <c r="P163" i="12" s="1"/>
  <c r="L206" i="12"/>
  <c r="L203" i="12"/>
  <c r="L205" i="12"/>
  <c r="L204" i="12"/>
  <c r="M150" i="12"/>
  <c r="M148" i="12"/>
  <c r="M149" i="12"/>
  <c r="M205" i="12"/>
  <c r="M206" i="12"/>
  <c r="M203" i="12"/>
  <c r="M204" i="12"/>
  <c r="T4" i="2"/>
  <c r="X292" i="70" s="1"/>
  <c r="M131" i="12" l="1"/>
  <c r="L131" i="12"/>
  <c r="E78" i="7"/>
  <c r="Q121" i="12"/>
  <c r="Q216" i="12"/>
  <c r="O222" i="12"/>
  <c r="P222" i="12"/>
  <c r="O224" i="12"/>
  <c r="P224" i="12"/>
  <c r="Q217" i="12"/>
  <c r="O223" i="12"/>
  <c r="P223" i="12"/>
  <c r="Q215" i="12"/>
  <c r="P221" i="12"/>
  <c r="O221" i="12"/>
  <c r="L96" i="3"/>
  <c r="M96" i="3"/>
  <c r="L102" i="3"/>
  <c r="M102" i="3"/>
  <c r="P93" i="12"/>
  <c r="L108" i="3"/>
  <c r="N85" i="12"/>
  <c r="M108" i="3"/>
  <c r="Q96" i="12"/>
  <c r="M123" i="3"/>
  <c r="L301" i="12"/>
  <c r="P92" i="12"/>
  <c r="P99" i="12"/>
  <c r="Q99" i="12"/>
  <c r="N156" i="12"/>
  <c r="Q163" i="12"/>
  <c r="Q91" i="12"/>
  <c r="Q98" i="12"/>
  <c r="N155" i="12"/>
  <c r="Q162" i="12"/>
  <c r="N84" i="12"/>
  <c r="Q92" i="12"/>
  <c r="N157" i="12"/>
  <c r="Q164" i="12"/>
  <c r="Q218" i="12"/>
  <c r="Q93" i="12"/>
  <c r="P96" i="12"/>
  <c r="P98" i="12"/>
  <c r="N88" i="12"/>
  <c r="N73" i="3"/>
  <c r="P118" i="12"/>
  <c r="M73" i="3"/>
  <c r="L174" i="12"/>
  <c r="M174" i="12"/>
  <c r="M169" i="12"/>
  <c r="L169" i="12"/>
  <c r="P121" i="12"/>
  <c r="P122" i="12"/>
  <c r="P123" i="12"/>
  <c r="P119" i="12"/>
  <c r="P120" i="12"/>
  <c r="M113" i="12"/>
  <c r="N113" i="12"/>
  <c r="M114" i="12"/>
  <c r="N114" i="12"/>
  <c r="M110" i="12"/>
  <c r="N110" i="12"/>
  <c r="M115" i="12"/>
  <c r="N115" i="12"/>
  <c r="M111" i="12"/>
  <c r="N111" i="12"/>
  <c r="M112" i="12"/>
  <c r="N112" i="12"/>
  <c r="M107" i="12"/>
  <c r="L107" i="12"/>
  <c r="N83" i="12"/>
  <c r="M80" i="12"/>
  <c r="P91" i="12"/>
  <c r="L80" i="12"/>
  <c r="P216" i="12"/>
  <c r="P217" i="12"/>
  <c r="N209" i="12"/>
  <c r="P218" i="12"/>
  <c r="P215" i="12"/>
  <c r="N211" i="12"/>
  <c r="M210" i="12"/>
  <c r="N210" i="12"/>
  <c r="M212" i="12"/>
  <c r="N212" i="12"/>
  <c r="M211" i="12"/>
  <c r="M209" i="12"/>
  <c r="M155" i="12"/>
  <c r="M151" i="12"/>
  <c r="M157" i="12"/>
  <c r="M84" i="12"/>
  <c r="M83" i="12"/>
  <c r="M85" i="12"/>
  <c r="L151" i="12"/>
  <c r="M156" i="12"/>
  <c r="M88" i="12"/>
  <c r="J199" i="12"/>
  <c r="J200" i="12" s="1"/>
  <c r="I199" i="12"/>
  <c r="I200" i="12" s="1"/>
  <c r="H199" i="12"/>
  <c r="H200" i="12" s="1"/>
  <c r="G199" i="12"/>
  <c r="G200" i="12" s="1"/>
  <c r="F199" i="12"/>
  <c r="F200" i="12" s="1"/>
  <c r="E199" i="12"/>
  <c r="E200" i="12" s="1"/>
  <c r="D199" i="12"/>
  <c r="D200" i="12" s="1"/>
  <c r="C199" i="12"/>
  <c r="C200" i="12" s="1"/>
  <c r="J198" i="12"/>
  <c r="I198" i="12"/>
  <c r="H198" i="12"/>
  <c r="G198" i="12"/>
  <c r="F198" i="12"/>
  <c r="E198" i="12"/>
  <c r="D198" i="12"/>
  <c r="C198" i="12"/>
  <c r="J197" i="12"/>
  <c r="I197" i="12"/>
  <c r="H197" i="12"/>
  <c r="G197" i="12"/>
  <c r="F197" i="12"/>
  <c r="E197" i="12"/>
  <c r="D197" i="12"/>
  <c r="C197" i="12"/>
  <c r="K199" i="12"/>
  <c r="K200" i="12" s="1"/>
  <c r="K197" i="12"/>
  <c r="K198" i="12"/>
  <c r="AL35" i="12"/>
  <c r="AM35" i="12"/>
  <c r="M129" i="3" l="1"/>
  <c r="Q131" i="3" s="1"/>
  <c r="L129" i="3"/>
  <c r="P131" i="3" s="1"/>
  <c r="M89" i="12"/>
  <c r="L133" i="3"/>
  <c r="P135" i="3" s="1"/>
  <c r="M133" i="3"/>
  <c r="M124" i="3"/>
  <c r="N124" i="3"/>
  <c r="P125" i="3"/>
  <c r="Q125" i="3"/>
  <c r="Q98" i="3"/>
  <c r="P98" i="3"/>
  <c r="S228" i="12"/>
  <c r="S227" i="12"/>
  <c r="S229" i="12"/>
  <c r="S230" i="12"/>
  <c r="M109" i="3"/>
  <c r="M97" i="3"/>
  <c r="N97" i="3"/>
  <c r="Q110" i="3"/>
  <c r="N109" i="3"/>
  <c r="P110" i="3"/>
  <c r="AK4" i="12"/>
  <c r="L131" i="3" l="1"/>
  <c r="M130" i="3"/>
  <c r="N130" i="3"/>
  <c r="AK77" i="12"/>
  <c r="M134" i="3"/>
  <c r="AP201" i="12"/>
  <c r="AK148" i="12"/>
  <c r="AK149" i="12"/>
  <c r="AK150" i="12"/>
  <c r="AK309" i="12"/>
  <c r="AK102" i="12"/>
  <c r="AK106" i="12"/>
  <c r="AK104" i="12"/>
  <c r="AK101" i="12"/>
  <c r="AK105" i="12"/>
  <c r="AK103" i="12"/>
  <c r="N134" i="3"/>
  <c r="Q135" i="3"/>
  <c r="AK204" i="12"/>
  <c r="AK203" i="12"/>
  <c r="AK205" i="12"/>
  <c r="AK206" i="12"/>
  <c r="AK74" i="12"/>
  <c r="AK78" i="12"/>
  <c r="AK75" i="12"/>
  <c r="AK73" i="12"/>
  <c r="M110" i="8"/>
  <c r="L110" i="8"/>
  <c r="K110" i="8"/>
  <c r="J110" i="8"/>
  <c r="I110" i="8"/>
  <c r="H110" i="8"/>
  <c r="G110" i="8"/>
  <c r="M109" i="8"/>
  <c r="L109" i="8"/>
  <c r="K109" i="8"/>
  <c r="J109" i="8"/>
  <c r="I109" i="8"/>
  <c r="H109" i="8"/>
  <c r="G109" i="8"/>
  <c r="AK131" i="12" l="1"/>
  <c r="AK88" i="12"/>
  <c r="AK85" i="12"/>
  <c r="AK84" i="12"/>
  <c r="AK83" i="12"/>
  <c r="AK212" i="12"/>
  <c r="AK211" i="12"/>
  <c r="AK209" i="12"/>
  <c r="AK210" i="12"/>
  <c r="E47" i="7" l="1"/>
  <c r="F85" i="7" l="1"/>
  <c r="F88" i="4"/>
  <c r="F58" i="7"/>
  <c r="F86" i="7" l="1"/>
  <c r="F90" i="4"/>
  <c r="G88" i="4"/>
  <c r="G85" i="7"/>
  <c r="H86" i="7" s="1"/>
  <c r="G58" i="7"/>
  <c r="E65" i="7"/>
  <c r="E21" i="7"/>
  <c r="F20" i="7"/>
  <c r="A93" i="2"/>
  <c r="A94" i="2"/>
  <c r="A95" i="2"/>
  <c r="BG93" i="2"/>
  <c r="S80" i="2"/>
  <c r="R80" i="2"/>
  <c r="U85" i="7"/>
  <c r="T85" i="7"/>
  <c r="S85" i="7"/>
  <c r="R85" i="7"/>
  <c r="C84" i="7"/>
  <c r="G86" i="7" l="1"/>
  <c r="F21" i="7"/>
  <c r="G21" i="7" s="1"/>
  <c r="H21" i="7" s="1"/>
  <c r="G90" i="4"/>
  <c r="H88" i="4"/>
  <c r="Y44" i="72"/>
  <c r="Y47" i="72" s="1"/>
  <c r="C129" i="7"/>
  <c r="F65" i="7"/>
  <c r="E31" i="7"/>
  <c r="E32" i="7"/>
  <c r="C86" i="7"/>
  <c r="I21" i="7" l="1"/>
  <c r="I22" i="7" s="1"/>
  <c r="I35" i="7" s="1"/>
  <c r="J20" i="7"/>
  <c r="K20" i="7" s="1"/>
  <c r="L20" i="7" s="1"/>
  <c r="J28" i="7"/>
  <c r="K28" i="7" s="1"/>
  <c r="L28" i="7" s="1"/>
  <c r="J61" i="7"/>
  <c r="K61" i="7" s="1"/>
  <c r="L61" i="7" s="1"/>
  <c r="H22" i="7"/>
  <c r="Y54" i="72"/>
  <c r="AD47" i="72"/>
  <c r="Y53" i="72"/>
  <c r="J21" i="7"/>
  <c r="K21" i="7" s="1"/>
  <c r="L21" i="7" s="1"/>
  <c r="I88" i="4"/>
  <c r="H90" i="4"/>
  <c r="J47" i="7"/>
  <c r="J18" i="7"/>
  <c r="J85" i="7" s="1"/>
  <c r="E22" i="7"/>
  <c r="F31" i="7"/>
  <c r="F52" i="7"/>
  <c r="F32" i="7"/>
  <c r="G65" i="7"/>
  <c r="R99" i="2"/>
  <c r="Q99" i="2"/>
  <c r="P99" i="2"/>
  <c r="O99" i="2"/>
  <c r="N99" i="2"/>
  <c r="M99" i="2"/>
  <c r="S99" i="2"/>
  <c r="H35" i="7" l="1"/>
  <c r="K18" i="7"/>
  <c r="H65" i="7"/>
  <c r="G131" i="7"/>
  <c r="K47" i="7"/>
  <c r="J117" i="7"/>
  <c r="K43" i="7"/>
  <c r="AD54" i="72"/>
  <c r="Y57" i="72"/>
  <c r="H56" i="4"/>
  <c r="Z44" i="72"/>
  <c r="I90" i="4"/>
  <c r="J53" i="7"/>
  <c r="J88" i="4"/>
  <c r="P69" i="8"/>
  <c r="J58" i="7"/>
  <c r="F22" i="7"/>
  <c r="G32" i="7"/>
  <c r="G52" i="7"/>
  <c r="H52" i="7" s="1"/>
  <c r="G45" i="7"/>
  <c r="H45" i="7" s="1"/>
  <c r="E165" i="3"/>
  <c r="D165" i="3"/>
  <c r="C165" i="3"/>
  <c r="E154" i="3"/>
  <c r="D154" i="3"/>
  <c r="C154" i="3"/>
  <c r="C77" i="3"/>
  <c r="R4" i="2"/>
  <c r="S4" i="2"/>
  <c r="E56" i="3"/>
  <c r="F60" i="3" s="1"/>
  <c r="D56" i="3"/>
  <c r="E60" i="3" s="1"/>
  <c r="C56" i="3"/>
  <c r="K244" i="12"/>
  <c r="J244" i="12"/>
  <c r="I244" i="12"/>
  <c r="H244" i="12"/>
  <c r="G244" i="12"/>
  <c r="F244" i="12"/>
  <c r="E244" i="12"/>
  <c r="K240" i="12"/>
  <c r="J240" i="12"/>
  <c r="I240" i="12"/>
  <c r="H240" i="12"/>
  <c r="G240" i="12"/>
  <c r="F240" i="12"/>
  <c r="E240" i="12"/>
  <c r="L18" i="7" l="1"/>
  <c r="K85" i="7"/>
  <c r="L47" i="7"/>
  <c r="R69" i="8"/>
  <c r="K117" i="7"/>
  <c r="L43" i="7"/>
  <c r="L117" i="7" s="1"/>
  <c r="I65" i="7"/>
  <c r="I67" i="7" s="1"/>
  <c r="I45" i="7"/>
  <c r="I52" i="7"/>
  <c r="Q51" i="8"/>
  <c r="K88" i="4"/>
  <c r="Q69" i="8"/>
  <c r="K58" i="7"/>
  <c r="L58" i="7" s="1"/>
  <c r="L90" i="4" s="1"/>
  <c r="P67" i="8"/>
  <c r="K53" i="7"/>
  <c r="H67" i="7"/>
  <c r="H131" i="7"/>
  <c r="H54" i="7"/>
  <c r="P22" i="8"/>
  <c r="Y58" i="72"/>
  <c r="AD57" i="72"/>
  <c r="Y61" i="72"/>
  <c r="L39" i="72"/>
  <c r="L47" i="72" s="1"/>
  <c r="K39" i="72"/>
  <c r="K47" i="72" s="1"/>
  <c r="M39" i="72"/>
  <c r="M47" i="72" s="1"/>
  <c r="Z47" i="72"/>
  <c r="K301" i="12"/>
  <c r="W292" i="70"/>
  <c r="J301" i="12"/>
  <c r="V292" i="70"/>
  <c r="I83" i="7"/>
  <c r="AA44" i="72"/>
  <c r="J90" i="4"/>
  <c r="P57" i="8"/>
  <c r="P63" i="8" s="1"/>
  <c r="G255" i="12"/>
  <c r="G257" i="12" s="1"/>
  <c r="AZ56" i="3"/>
  <c r="F255" i="12"/>
  <c r="F257" i="12" s="1"/>
  <c r="K255" i="12"/>
  <c r="K257" i="12" s="1"/>
  <c r="E255" i="12"/>
  <c r="E257" i="12" s="1"/>
  <c r="H255" i="12"/>
  <c r="H257" i="12" s="1"/>
  <c r="I255" i="12"/>
  <c r="I257" i="12" s="1"/>
  <c r="J255" i="12"/>
  <c r="J257" i="12" s="1"/>
  <c r="G22" i="7"/>
  <c r="BG80" i="2"/>
  <c r="BF80" i="2"/>
  <c r="C57" i="3"/>
  <c r="C166" i="3"/>
  <c r="D57" i="3"/>
  <c r="E57" i="3"/>
  <c r="C155" i="3"/>
  <c r="C159" i="3"/>
  <c r="K21" i="2"/>
  <c r="K18" i="2"/>
  <c r="K27" i="2"/>
  <c r="K29" i="2" s="1"/>
  <c r="O344" i="70" s="1"/>
  <c r="Q53" i="2"/>
  <c r="M53" i="2"/>
  <c r="P53" i="2"/>
  <c r="F42" i="8"/>
  <c r="G42" i="8"/>
  <c r="BF13" i="2"/>
  <c r="C73" i="7"/>
  <c r="C74" i="7" s="1"/>
  <c r="K84" i="7" l="1"/>
  <c r="K83" i="7" s="1"/>
  <c r="L88" i="4"/>
  <c r="L85" i="7"/>
  <c r="L84" i="7" s="1"/>
  <c r="R51" i="8"/>
  <c r="J65" i="7"/>
  <c r="K65" i="7" s="1"/>
  <c r="L65" i="7" s="1"/>
  <c r="R57" i="8"/>
  <c r="Q67" i="8"/>
  <c r="L53" i="7"/>
  <c r="R67" i="8" s="1"/>
  <c r="R22" i="8"/>
  <c r="I54" i="7"/>
  <c r="I69" i="7" s="1"/>
  <c r="Q22" i="8"/>
  <c r="J31" i="7"/>
  <c r="K31" i="7" s="1"/>
  <c r="L31" i="7" s="1"/>
  <c r="H69" i="7"/>
  <c r="H71" i="7" s="1"/>
  <c r="H147" i="7"/>
  <c r="K90" i="4"/>
  <c r="Q57" i="8"/>
  <c r="Q63" i="8" s="1"/>
  <c r="BF138" i="2"/>
  <c r="Y63" i="72"/>
  <c r="Y62" i="72"/>
  <c r="Y77" i="72" s="1"/>
  <c r="Y68" i="72"/>
  <c r="Y71" i="72" s="1"/>
  <c r="Y67" i="72"/>
  <c r="Y70" i="72" s="1"/>
  <c r="K49" i="72"/>
  <c r="K54" i="72" s="1"/>
  <c r="M49" i="72"/>
  <c r="M54" i="72" s="1"/>
  <c r="N39" i="72"/>
  <c r="N47" i="72" s="1"/>
  <c r="O39" i="72"/>
  <c r="O47" i="72" s="1"/>
  <c r="P39" i="72"/>
  <c r="P47" i="72" s="1"/>
  <c r="Q39" i="72"/>
  <c r="AA47" i="72"/>
  <c r="L49" i="72"/>
  <c r="L54" i="72" s="1"/>
  <c r="N344" i="70"/>
  <c r="J26" i="7"/>
  <c r="K26" i="7" s="1"/>
  <c r="L26" i="7" s="1"/>
  <c r="I56" i="4"/>
  <c r="BN48" i="2"/>
  <c r="J83" i="7"/>
  <c r="K39" i="2"/>
  <c r="K40" i="2" s="1"/>
  <c r="K83" i="2" s="1"/>
  <c r="C22" i="4"/>
  <c r="J14" i="7"/>
  <c r="K30" i="2"/>
  <c r="AS344" i="70"/>
  <c r="C163" i="3"/>
  <c r="C162" i="3" s="1"/>
  <c r="D159" i="3"/>
  <c r="BP48" i="2" l="1"/>
  <c r="L83" i="7"/>
  <c r="Q47" i="72"/>
  <c r="Q49" i="72" s="1"/>
  <c r="Q54" i="72" s="1"/>
  <c r="R63" i="8"/>
  <c r="BO48" i="2"/>
  <c r="Q10" i="8" s="1"/>
  <c r="K14" i="7"/>
  <c r="P10" i="8"/>
  <c r="P49" i="72"/>
  <c r="P54" i="72" s="1"/>
  <c r="N49" i="72"/>
  <c r="J54" i="72"/>
  <c r="J56" i="72" s="1"/>
  <c r="K56" i="72" s="1"/>
  <c r="Z49" i="72"/>
  <c r="O49" i="72"/>
  <c r="O54" i="72" s="1"/>
  <c r="K51" i="2"/>
  <c r="K58" i="2" s="1"/>
  <c r="AS348" i="70"/>
  <c r="AS351" i="70"/>
  <c r="P40" i="8"/>
  <c r="P71" i="8"/>
  <c r="AQ48" i="2"/>
  <c r="AR48" i="2"/>
  <c r="AS48" i="2"/>
  <c r="J56" i="4"/>
  <c r="AP48" i="2"/>
  <c r="J16" i="7"/>
  <c r="J52" i="7"/>
  <c r="K52" i="7" s="1"/>
  <c r="J32" i="7"/>
  <c r="J45" i="7"/>
  <c r="J27" i="7"/>
  <c r="F93" i="8"/>
  <c r="K82" i="2"/>
  <c r="K31" i="2"/>
  <c r="G93" i="8"/>
  <c r="C157" i="3"/>
  <c r="E159" i="3"/>
  <c r="AY48" i="2" l="1"/>
  <c r="AZ48" i="2"/>
  <c r="BA48" i="2"/>
  <c r="L56" i="4"/>
  <c r="K56" i="4"/>
  <c r="Q71" i="8"/>
  <c r="AT48" i="2"/>
  <c r="AU48" i="2"/>
  <c r="AV48" i="2"/>
  <c r="AW48" i="2"/>
  <c r="L52" i="7"/>
  <c r="L14" i="7"/>
  <c r="K16" i="7"/>
  <c r="K45" i="7"/>
  <c r="L45" i="7" s="1"/>
  <c r="K27" i="7"/>
  <c r="L27" i="7" s="1"/>
  <c r="K32" i="7"/>
  <c r="Q40" i="8"/>
  <c r="P36" i="8"/>
  <c r="P23" i="8"/>
  <c r="K61" i="2"/>
  <c r="K57" i="2"/>
  <c r="AA49" i="72"/>
  <c r="AA53" i="72" s="1"/>
  <c r="N54" i="72"/>
  <c r="L56" i="72"/>
  <c r="K57" i="72"/>
  <c r="J57" i="72"/>
  <c r="Z53" i="72"/>
  <c r="Z54" i="72"/>
  <c r="J22" i="7"/>
  <c r="C257" i="12"/>
  <c r="D257" i="12"/>
  <c r="C158" i="3"/>
  <c r="K22" i="7" l="1"/>
  <c r="L16" i="7"/>
  <c r="R23" i="8"/>
  <c r="L32" i="7"/>
  <c r="R40" i="8"/>
  <c r="L22" i="7"/>
  <c r="R36" i="8"/>
  <c r="Q23" i="8"/>
  <c r="Q36" i="8"/>
  <c r="K66" i="2"/>
  <c r="O345" i="70"/>
  <c r="AA54" i="72"/>
  <c r="J61" i="72"/>
  <c r="J58" i="72"/>
  <c r="K61" i="72"/>
  <c r="K58" i="72"/>
  <c r="M56" i="72"/>
  <c r="L57" i="72"/>
  <c r="N345" i="70"/>
  <c r="AS345" i="70"/>
  <c r="K62" i="2"/>
  <c r="F73" i="3"/>
  <c r="G5" i="8"/>
  <c r="F5" i="8"/>
  <c r="F27" i="8" s="1"/>
  <c r="I63" i="8"/>
  <c r="H63" i="8"/>
  <c r="H42" i="8"/>
  <c r="I42" i="8"/>
  <c r="A80" i="2"/>
  <c r="A84" i="2"/>
  <c r="A85" i="2"/>
  <c r="A86" i="2"/>
  <c r="A87" i="2"/>
  <c r="A88" i="2"/>
  <c r="A89" i="2"/>
  <c r="A90" i="2"/>
  <c r="A91" i="2"/>
  <c r="A92" i="2"/>
  <c r="A96" i="2"/>
  <c r="A97" i="2"/>
  <c r="A98" i="2"/>
  <c r="A99" i="2"/>
  <c r="A100" i="2"/>
  <c r="A101" i="2"/>
  <c r="A102" i="2"/>
  <c r="A103" i="2"/>
  <c r="A116" i="2"/>
  <c r="A117" i="2"/>
  <c r="A118" i="2"/>
  <c r="BF53" i="2"/>
  <c r="BG53" i="2"/>
  <c r="N53" i="2"/>
  <c r="R7" i="7"/>
  <c r="R67" i="7"/>
  <c r="R54" i="7"/>
  <c r="R22" i="7"/>
  <c r="O53" i="2"/>
  <c r="R53" i="2"/>
  <c r="S53" i="2"/>
  <c r="K70" i="12"/>
  <c r="K65" i="12"/>
  <c r="K41" i="12"/>
  <c r="K67" i="2" l="1"/>
  <c r="K84" i="2" s="1"/>
  <c r="K73" i="2"/>
  <c r="K72" i="2"/>
  <c r="K62" i="72"/>
  <c r="K63" i="72"/>
  <c r="L61" i="72"/>
  <c r="L58" i="72"/>
  <c r="Z56" i="72"/>
  <c r="Z57" i="72" s="1"/>
  <c r="N56" i="72"/>
  <c r="M57" i="72"/>
  <c r="J63" i="72"/>
  <c r="J62" i="72"/>
  <c r="AS347" i="70"/>
  <c r="AS350" i="70"/>
  <c r="K68" i="2"/>
  <c r="F44" i="8"/>
  <c r="G27" i="8"/>
  <c r="F92" i="8"/>
  <c r="G92" i="8"/>
  <c r="R69" i="7"/>
  <c r="C126" i="7"/>
  <c r="D121" i="7"/>
  <c r="D122" i="7" s="1"/>
  <c r="C121" i="7"/>
  <c r="C122" i="7" s="1"/>
  <c r="D113" i="7"/>
  <c r="C113" i="7"/>
  <c r="C114" i="7" s="1"/>
  <c r="C110" i="7"/>
  <c r="D106" i="7"/>
  <c r="D108" i="7" s="1"/>
  <c r="E106" i="7" s="1"/>
  <c r="E108" i="7" s="1"/>
  <c r="C78" i="7"/>
  <c r="C76" i="7"/>
  <c r="C96" i="7"/>
  <c r="D92" i="7"/>
  <c r="C92" i="7"/>
  <c r="S67" i="7"/>
  <c r="C67" i="7"/>
  <c r="S54" i="7"/>
  <c r="C54" i="7"/>
  <c r="R33" i="7"/>
  <c r="R35" i="7" s="1"/>
  <c r="S33" i="7"/>
  <c r="S22" i="7"/>
  <c r="S7" i="7"/>
  <c r="C7" i="7"/>
  <c r="F106" i="7" l="1"/>
  <c r="F108" i="7" s="1"/>
  <c r="E110" i="7"/>
  <c r="F47" i="8"/>
  <c r="J77" i="72"/>
  <c r="O56" i="72"/>
  <c r="N57" i="72"/>
  <c r="Z61" i="72"/>
  <c r="Z58" i="72"/>
  <c r="M61" i="72"/>
  <c r="M58" i="72"/>
  <c r="L63" i="72"/>
  <c r="L62" i="72"/>
  <c r="K77" i="72"/>
  <c r="C93" i="7"/>
  <c r="D93" i="7"/>
  <c r="G44" i="8"/>
  <c r="G47" i="8" s="1"/>
  <c r="C147" i="7"/>
  <c r="C57" i="4" s="1"/>
  <c r="E113" i="7"/>
  <c r="D114" i="7"/>
  <c r="R71" i="7"/>
  <c r="C54" i="4"/>
  <c r="C55" i="4"/>
  <c r="C69" i="7"/>
  <c r="S69" i="7"/>
  <c r="C35" i="7"/>
  <c r="C81" i="7"/>
  <c r="C82" i="7" s="1"/>
  <c r="S35" i="7"/>
  <c r="E121" i="7"/>
  <c r="E122" i="7" s="1"/>
  <c r="C80" i="4" l="1"/>
  <c r="H24" i="5"/>
  <c r="G24" i="5"/>
  <c r="F79" i="8"/>
  <c r="F81" i="8" s="1"/>
  <c r="F82" i="8" s="1"/>
  <c r="F85" i="8"/>
  <c r="F84" i="8"/>
  <c r="K136" i="72"/>
  <c r="Z63" i="72"/>
  <c r="Z67" i="72"/>
  <c r="Z70" i="72" s="1"/>
  <c r="Z62" i="72"/>
  <c r="Z77" i="72" s="1"/>
  <c r="Z68" i="72"/>
  <c r="Z71" i="72" s="1"/>
  <c r="L77" i="72"/>
  <c r="L136" i="72"/>
  <c r="N58" i="72"/>
  <c r="N61" i="72"/>
  <c r="J136" i="72"/>
  <c r="P56" i="72"/>
  <c r="O57" i="72"/>
  <c r="M62" i="72"/>
  <c r="M63" i="72"/>
  <c r="G84" i="8"/>
  <c r="G79" i="8"/>
  <c r="G81" i="8" s="1"/>
  <c r="G82" i="8" s="1"/>
  <c r="G85" i="8"/>
  <c r="C58" i="4"/>
  <c r="C59" i="4"/>
  <c r="C43" i="4"/>
  <c r="C34" i="4"/>
  <c r="S71" i="7"/>
  <c r="D86" i="7"/>
  <c r="C50" i="4"/>
  <c r="K63" i="8"/>
  <c r="M57" i="8"/>
  <c r="L57" i="8"/>
  <c r="C71" i="7"/>
  <c r="D110" i="7"/>
  <c r="D126" i="7"/>
  <c r="F86" i="8" l="1"/>
  <c r="F88" i="8" s="1"/>
  <c r="F100" i="8"/>
  <c r="F99" i="8"/>
  <c r="F96" i="8"/>
  <c r="G97" i="8"/>
  <c r="F97" i="8"/>
  <c r="M77" i="72"/>
  <c r="M136" i="72"/>
  <c r="Q56" i="72"/>
  <c r="Q57" i="72" s="1"/>
  <c r="P57" i="72"/>
  <c r="O61" i="72"/>
  <c r="O58" i="72"/>
  <c r="N63" i="72"/>
  <c r="N62" i="72"/>
  <c r="G96" i="8"/>
  <c r="G86" i="8"/>
  <c r="G88" i="8" s="1"/>
  <c r="G99" i="8"/>
  <c r="G100" i="8"/>
  <c r="C60" i="4"/>
  <c r="C44" i="4"/>
  <c r="L63" i="8"/>
  <c r="M63" i="8"/>
  <c r="AA56" i="72" l="1"/>
  <c r="AA57" i="72" s="1"/>
  <c r="R58" i="72"/>
  <c r="Q58" i="72"/>
  <c r="Q61" i="72"/>
  <c r="N77" i="72"/>
  <c r="O62" i="72"/>
  <c r="O63" i="72"/>
  <c r="P61" i="72"/>
  <c r="P58" i="72"/>
  <c r="AA61" i="72" l="1"/>
  <c r="AA58" i="72"/>
  <c r="P62" i="72"/>
  <c r="P63" i="72"/>
  <c r="Q63" i="72"/>
  <c r="Q62" i="72"/>
  <c r="R63" i="72"/>
  <c r="O77" i="72"/>
  <c r="O136" i="72"/>
  <c r="N136" i="72"/>
  <c r="F56" i="4"/>
  <c r="AA67" i="72" l="1"/>
  <c r="AA70" i="72" s="1"/>
  <c r="AA63" i="72"/>
  <c r="AA62" i="72"/>
  <c r="AA77" i="72" s="1"/>
  <c r="AA68" i="72"/>
  <c r="AA71" i="72" s="1"/>
  <c r="Q77" i="72"/>
  <c r="P77" i="72"/>
  <c r="P136" i="72"/>
  <c r="G56" i="4"/>
  <c r="J42" i="7"/>
  <c r="K42" i="7" s="1"/>
  <c r="J62" i="7"/>
  <c r="L42" i="7" l="1"/>
  <c r="K62" i="7"/>
  <c r="L62" i="7" s="1"/>
  <c r="R32" i="8" s="1"/>
  <c r="K5" i="7"/>
  <c r="L5" i="7" s="1"/>
  <c r="R66" i="8" s="1"/>
  <c r="Q136" i="72"/>
  <c r="P33" i="8"/>
  <c r="P32" i="8"/>
  <c r="K278" i="12"/>
  <c r="K295" i="12" s="1"/>
  <c r="Q66" i="8" l="1"/>
  <c r="Q32" i="8"/>
  <c r="K297" i="12"/>
  <c r="AM286" i="12"/>
  <c r="AL286" i="12"/>
  <c r="AK286" i="12"/>
  <c r="AM278" i="12"/>
  <c r="AL278" i="12"/>
  <c r="AK278" i="12"/>
  <c r="J278" i="12"/>
  <c r="J295" i="12" s="1"/>
  <c r="I278" i="12"/>
  <c r="I295" i="12" s="1"/>
  <c r="H278" i="12"/>
  <c r="H295" i="12" s="1"/>
  <c r="G278" i="12"/>
  <c r="G295" i="12" s="1"/>
  <c r="F278" i="12"/>
  <c r="F295" i="12" s="1"/>
  <c r="E278" i="12"/>
  <c r="E295" i="12" s="1"/>
  <c r="D278" i="12"/>
  <c r="D295" i="12" s="1"/>
  <c r="C278" i="12"/>
  <c r="C295" i="12" s="1"/>
  <c r="AK151" i="12"/>
  <c r="AM169" i="12"/>
  <c r="AL169" i="12"/>
  <c r="AK169" i="12"/>
  <c r="E169" i="12"/>
  <c r="D169" i="12"/>
  <c r="C169" i="12"/>
  <c r="H174" i="12"/>
  <c r="G174" i="12"/>
  <c r="F174" i="12"/>
  <c r="E174" i="12"/>
  <c r="D174" i="12"/>
  <c r="C174" i="12"/>
  <c r="J70" i="12"/>
  <c r="I70" i="12"/>
  <c r="H70" i="12"/>
  <c r="G70" i="12"/>
  <c r="F70" i="12"/>
  <c r="E70" i="12"/>
  <c r="D70" i="12"/>
  <c r="C70" i="12"/>
  <c r="AM65" i="12"/>
  <c r="AL65" i="12"/>
  <c r="AK65" i="12"/>
  <c r="J65" i="12"/>
  <c r="I65" i="12"/>
  <c r="H65" i="12"/>
  <c r="G65" i="12"/>
  <c r="F65" i="12"/>
  <c r="E65" i="12"/>
  <c r="D65" i="12"/>
  <c r="C65" i="12"/>
  <c r="AL52" i="12"/>
  <c r="AK52" i="12"/>
  <c r="AM41" i="12"/>
  <c r="AL41" i="12"/>
  <c r="J41" i="12"/>
  <c r="I41" i="12"/>
  <c r="H41" i="12"/>
  <c r="G41" i="12"/>
  <c r="F41" i="12"/>
  <c r="E41" i="12"/>
  <c r="D41" i="12"/>
  <c r="C41" i="12"/>
  <c r="AK35" i="12"/>
  <c r="A8" i="2"/>
  <c r="A9" i="2"/>
  <c r="A10" i="2"/>
  <c r="A11" i="2"/>
  <c r="A12" i="2"/>
  <c r="A13" i="2"/>
  <c r="E297" i="12" l="1"/>
  <c r="I297" i="12"/>
  <c r="F297" i="12"/>
  <c r="J297" i="12"/>
  <c r="C297" i="12"/>
  <c r="G297" i="12"/>
  <c r="D297" i="12"/>
  <c r="H297" i="12"/>
  <c r="K35" i="12"/>
  <c r="AK80" i="12"/>
  <c r="AK107" i="12"/>
  <c r="E35" i="12" l="1"/>
  <c r="H35" i="12"/>
  <c r="D35" i="12"/>
  <c r="C35" i="12"/>
  <c r="I35" i="12"/>
  <c r="F35" i="12"/>
  <c r="G35" i="12"/>
  <c r="J35" i="12"/>
  <c r="Q80" i="2" l="1"/>
  <c r="P80" i="2"/>
  <c r="O80" i="2"/>
  <c r="N80" i="2"/>
  <c r="M80" i="2"/>
  <c r="T47" i="8"/>
  <c r="S102" i="2" l="1"/>
  <c r="K165" i="3"/>
  <c r="K154" i="3"/>
  <c r="K77" i="3"/>
  <c r="K56" i="3"/>
  <c r="O58" i="3" l="1"/>
  <c r="L57" i="3"/>
  <c r="L60" i="3"/>
  <c r="K166" i="3"/>
  <c r="K4" i="12"/>
  <c r="J308" i="12" l="1"/>
  <c r="K127" i="12"/>
  <c r="K128" i="12"/>
  <c r="K129" i="12"/>
  <c r="K130" i="12"/>
  <c r="K126" i="12"/>
  <c r="K77" i="12"/>
  <c r="K118" i="3" s="1"/>
  <c r="L3" i="12"/>
  <c r="K309" i="12"/>
  <c r="K73" i="12"/>
  <c r="K300" i="12"/>
  <c r="K78" i="12"/>
  <c r="K75" i="12"/>
  <c r="K74" i="12"/>
  <c r="K173" i="12"/>
  <c r="K172" i="12"/>
  <c r="K168" i="12"/>
  <c r="K167" i="12"/>
  <c r="K101" i="12"/>
  <c r="K105" i="12"/>
  <c r="K104" i="12"/>
  <c r="K102" i="12"/>
  <c r="K106" i="12"/>
  <c r="K103" i="12"/>
  <c r="L5" i="12"/>
  <c r="O6" i="12"/>
  <c r="L73" i="3"/>
  <c r="K206" i="12"/>
  <c r="K205" i="12"/>
  <c r="K204" i="12"/>
  <c r="K203" i="12"/>
  <c r="K149" i="12"/>
  <c r="K148" i="12"/>
  <c r="K150" i="12"/>
  <c r="K131" i="12" l="1"/>
  <c r="N224" i="12"/>
  <c r="N221" i="12"/>
  <c r="N223" i="12"/>
  <c r="N222" i="12"/>
  <c r="K96" i="3"/>
  <c r="K108" i="3"/>
  <c r="K123" i="3"/>
  <c r="O99" i="12"/>
  <c r="K102" i="3"/>
  <c r="O98" i="12"/>
  <c r="K80" i="12"/>
  <c r="O91" i="12"/>
  <c r="L83" i="12"/>
  <c r="O92" i="12"/>
  <c r="L84" i="12"/>
  <c r="O93" i="12"/>
  <c r="L85" i="12"/>
  <c r="O96" i="12"/>
  <c r="L88" i="12"/>
  <c r="L124" i="3" s="1"/>
  <c r="K169" i="12"/>
  <c r="K174" i="12"/>
  <c r="O120" i="12"/>
  <c r="O123" i="12"/>
  <c r="O119" i="12"/>
  <c r="O121" i="12"/>
  <c r="O122" i="12"/>
  <c r="O118" i="12"/>
  <c r="L112" i="12"/>
  <c r="L115" i="12"/>
  <c r="L111" i="12"/>
  <c r="L113" i="12"/>
  <c r="L114" i="12"/>
  <c r="L110" i="12"/>
  <c r="K107" i="12"/>
  <c r="L211" i="12"/>
  <c r="O217" i="12"/>
  <c r="L212" i="12"/>
  <c r="O218" i="12"/>
  <c r="L210" i="12"/>
  <c r="O216" i="12"/>
  <c r="L209" i="12"/>
  <c r="O215" i="12"/>
  <c r="L155" i="12"/>
  <c r="O162" i="12"/>
  <c r="L156" i="12"/>
  <c r="O163" i="12"/>
  <c r="L157" i="12"/>
  <c r="O164" i="12"/>
  <c r="K151" i="12"/>
  <c r="K129" i="3" l="1"/>
  <c r="L89" i="12"/>
  <c r="K133" i="3"/>
  <c r="O125" i="3"/>
  <c r="O98" i="3"/>
  <c r="R229" i="12"/>
  <c r="R227" i="12"/>
  <c r="R230" i="12"/>
  <c r="R228" i="12"/>
  <c r="L109" i="3"/>
  <c r="L97" i="3"/>
  <c r="O110" i="3"/>
  <c r="K131" i="3" l="1"/>
  <c r="O131" i="3"/>
  <c r="L130" i="3"/>
  <c r="O135" i="3"/>
  <c r="L134" i="3"/>
  <c r="J165" i="3" l="1"/>
  <c r="J160" i="3"/>
  <c r="J154" i="3"/>
  <c r="J77" i="3"/>
  <c r="BB77" i="3" s="1"/>
  <c r="J56" i="3"/>
  <c r="J4" i="12"/>
  <c r="I308" i="12" l="1"/>
  <c r="J130" i="12"/>
  <c r="J126" i="12"/>
  <c r="J127" i="12"/>
  <c r="J128" i="12"/>
  <c r="J129" i="12"/>
  <c r="J77" i="12"/>
  <c r="J118" i="3" s="1"/>
  <c r="BB118" i="3" s="1"/>
  <c r="J309" i="12"/>
  <c r="BB56" i="3"/>
  <c r="BC57" i="3" s="1"/>
  <c r="N58" i="3"/>
  <c r="BC78" i="3"/>
  <c r="K57" i="3"/>
  <c r="K60" i="3"/>
  <c r="J75" i="12"/>
  <c r="J74" i="12"/>
  <c r="J73" i="12"/>
  <c r="J78" i="12"/>
  <c r="J300" i="12"/>
  <c r="J173" i="12"/>
  <c r="J172" i="12"/>
  <c r="J167" i="12"/>
  <c r="J168" i="12"/>
  <c r="N6" i="12"/>
  <c r="J101" i="12"/>
  <c r="J105" i="12"/>
  <c r="J104" i="12"/>
  <c r="J103" i="12"/>
  <c r="J102" i="12"/>
  <c r="J106" i="12"/>
  <c r="J204" i="12"/>
  <c r="J203" i="12"/>
  <c r="J206" i="12"/>
  <c r="J205" i="12"/>
  <c r="J150" i="12"/>
  <c r="N164" i="12" s="1"/>
  <c r="J149" i="12"/>
  <c r="N163" i="12" s="1"/>
  <c r="J148" i="12"/>
  <c r="N162" i="12" s="1"/>
  <c r="J166" i="3"/>
  <c r="J155" i="3"/>
  <c r="K5" i="12"/>
  <c r="BC119" i="3" l="1"/>
  <c r="J131" i="12"/>
  <c r="M223" i="12"/>
  <c r="M224" i="12"/>
  <c r="M221" i="12"/>
  <c r="M222" i="12"/>
  <c r="J123" i="3"/>
  <c r="J96" i="3"/>
  <c r="BB96" i="3" s="1"/>
  <c r="N92" i="12"/>
  <c r="J102" i="3"/>
  <c r="BB102" i="3" s="1"/>
  <c r="N93" i="12"/>
  <c r="J108" i="3"/>
  <c r="BB108" i="3" s="1"/>
  <c r="N99" i="12"/>
  <c r="K83" i="12"/>
  <c r="N98" i="12"/>
  <c r="K84" i="12"/>
  <c r="K85" i="12"/>
  <c r="J80" i="12"/>
  <c r="N91" i="12"/>
  <c r="J169" i="12"/>
  <c r="J174" i="12"/>
  <c r="N119" i="12"/>
  <c r="N120" i="12"/>
  <c r="N121" i="12"/>
  <c r="N122" i="12"/>
  <c r="N118" i="12"/>
  <c r="N123" i="12"/>
  <c r="K115" i="12"/>
  <c r="K111" i="12"/>
  <c r="K113" i="12"/>
  <c r="K114" i="12"/>
  <c r="K110" i="12"/>
  <c r="K112" i="12"/>
  <c r="J107" i="12"/>
  <c r="N217" i="12"/>
  <c r="N218" i="12"/>
  <c r="N215" i="12"/>
  <c r="N216" i="12"/>
  <c r="K88" i="12"/>
  <c r="K124" i="3" s="1"/>
  <c r="N96" i="12"/>
  <c r="K212" i="12"/>
  <c r="K209" i="12"/>
  <c r="K211" i="12"/>
  <c r="K210" i="12"/>
  <c r="K155" i="12"/>
  <c r="K157" i="12"/>
  <c r="K156" i="12"/>
  <c r="J151" i="12"/>
  <c r="K73" i="3"/>
  <c r="R102" i="2"/>
  <c r="O102" i="2"/>
  <c r="M102" i="2"/>
  <c r="I77" i="3"/>
  <c r="H77" i="3"/>
  <c r="G77" i="3"/>
  <c r="F77" i="3"/>
  <c r="E77" i="3"/>
  <c r="D77" i="3"/>
  <c r="I56" i="3"/>
  <c r="H56" i="3"/>
  <c r="G56" i="3"/>
  <c r="F56" i="3"/>
  <c r="J58" i="3" s="1"/>
  <c r="J129" i="3" l="1"/>
  <c r="J133" i="3"/>
  <c r="BB123" i="3"/>
  <c r="N125" i="3"/>
  <c r="N98" i="3"/>
  <c r="Q227" i="12"/>
  <c r="Q228" i="12"/>
  <c r="Q230" i="12"/>
  <c r="Q229" i="12"/>
  <c r="K109" i="3"/>
  <c r="BC97" i="3"/>
  <c r="K97" i="3"/>
  <c r="BC109" i="3"/>
  <c r="N110" i="3"/>
  <c r="BC103" i="3"/>
  <c r="H60" i="3"/>
  <c r="K58" i="3"/>
  <c r="I60" i="3"/>
  <c r="L58" i="3"/>
  <c r="J60" i="3"/>
  <c r="M58" i="3"/>
  <c r="BA77" i="3"/>
  <c r="AZ77" i="3"/>
  <c r="G60" i="3"/>
  <c r="BA56" i="3"/>
  <c r="D166" i="3"/>
  <c r="D155" i="3"/>
  <c r="E155" i="3"/>
  <c r="E166" i="3"/>
  <c r="N102" i="2"/>
  <c r="Q102" i="2"/>
  <c r="J57" i="3"/>
  <c r="P102" i="2"/>
  <c r="G57" i="3"/>
  <c r="I57" i="3"/>
  <c r="H57" i="3"/>
  <c r="F57" i="3"/>
  <c r="BC124" i="3" l="1"/>
  <c r="J131" i="3"/>
  <c r="N131" i="3"/>
  <c r="BB129" i="3"/>
  <c r="K130" i="3"/>
  <c r="BB133" i="3"/>
  <c r="N135" i="3"/>
  <c r="K134" i="3"/>
  <c r="BA78" i="3"/>
  <c r="BB78" i="3"/>
  <c r="BA57" i="3"/>
  <c r="BB57" i="3"/>
  <c r="J73" i="3"/>
  <c r="BC130" i="3" l="1"/>
  <c r="BC134" i="3"/>
  <c r="G73" i="3" l="1"/>
  <c r="H73" i="3"/>
  <c r="I73" i="3"/>
  <c r="E163" i="3" l="1"/>
  <c r="E162" i="3" s="1"/>
  <c r="D163" i="3"/>
  <c r="D162" i="3" s="1"/>
  <c r="I4" i="12" l="1"/>
  <c r="H4" i="12"/>
  <c r="G4" i="12"/>
  <c r="F4" i="12"/>
  <c r="E4" i="12"/>
  <c r="D4" i="12"/>
  <c r="C4" i="12"/>
  <c r="F308" i="12" l="1"/>
  <c r="G308" i="12"/>
  <c r="H308" i="12"/>
  <c r="D128" i="12"/>
  <c r="D129" i="12"/>
  <c r="D130" i="12"/>
  <c r="D126" i="12"/>
  <c r="D127" i="12"/>
  <c r="H128" i="12"/>
  <c r="H129" i="12"/>
  <c r="H130" i="12"/>
  <c r="H126" i="12"/>
  <c r="H127" i="12"/>
  <c r="E129" i="12"/>
  <c r="E130" i="12"/>
  <c r="E126" i="12"/>
  <c r="E127" i="12"/>
  <c r="E128" i="12"/>
  <c r="I129" i="12"/>
  <c r="I130" i="12"/>
  <c r="I126" i="12"/>
  <c r="I127" i="12"/>
  <c r="I128" i="12"/>
  <c r="F130" i="12"/>
  <c r="F126" i="12"/>
  <c r="F127" i="12"/>
  <c r="F128" i="12"/>
  <c r="F129" i="12"/>
  <c r="C127" i="12"/>
  <c r="C128" i="12"/>
  <c r="C129" i="12"/>
  <c r="C130" i="12"/>
  <c r="C126" i="12"/>
  <c r="G127" i="12"/>
  <c r="G128" i="12"/>
  <c r="G129" i="12"/>
  <c r="G130" i="12"/>
  <c r="G126" i="12"/>
  <c r="D77" i="12"/>
  <c r="D118" i="3" s="1"/>
  <c r="E77" i="12"/>
  <c r="E118" i="3" s="1"/>
  <c r="I77" i="12"/>
  <c r="I118" i="3" s="1"/>
  <c r="H309" i="12"/>
  <c r="H77" i="12"/>
  <c r="H118" i="3" s="1"/>
  <c r="F309" i="12"/>
  <c r="F77" i="12"/>
  <c r="F118" i="3" s="1"/>
  <c r="C3" i="12"/>
  <c r="C77" i="12"/>
  <c r="C118" i="3" s="1"/>
  <c r="G309" i="12"/>
  <c r="G77" i="12"/>
  <c r="G118" i="3" s="1"/>
  <c r="I309" i="12"/>
  <c r="D74" i="12"/>
  <c r="D102" i="3" s="1"/>
  <c r="D78" i="12"/>
  <c r="D123" i="3" s="1"/>
  <c r="D73" i="12"/>
  <c r="D96" i="3" s="1"/>
  <c r="D75" i="12"/>
  <c r="D300" i="12"/>
  <c r="E300" i="12"/>
  <c r="E74" i="12"/>
  <c r="E102" i="3" s="1"/>
  <c r="E78" i="12"/>
  <c r="E123" i="3" s="1"/>
  <c r="E73" i="12"/>
  <c r="E96" i="3" s="1"/>
  <c r="E75" i="12"/>
  <c r="C74" i="12"/>
  <c r="C102" i="3" s="1"/>
  <c r="C78" i="12"/>
  <c r="C123" i="3" s="1"/>
  <c r="C300" i="12"/>
  <c r="C73" i="12"/>
  <c r="C75" i="12"/>
  <c r="F300" i="12"/>
  <c r="F74" i="12"/>
  <c r="F78" i="12"/>
  <c r="F73" i="12"/>
  <c r="F75" i="12"/>
  <c r="G300" i="12"/>
  <c r="G73" i="12"/>
  <c r="K91" i="12" s="1"/>
  <c r="K98" i="3" s="1"/>
  <c r="G75" i="12"/>
  <c r="G74" i="12"/>
  <c r="G78" i="12"/>
  <c r="H300" i="12"/>
  <c r="H73" i="12"/>
  <c r="H75" i="12"/>
  <c r="H74" i="12"/>
  <c r="L92" i="12" s="1"/>
  <c r="H78" i="12"/>
  <c r="L96" i="12" s="1"/>
  <c r="L125" i="3" s="1"/>
  <c r="I78" i="12"/>
  <c r="I123" i="3" s="1"/>
  <c r="I75" i="12"/>
  <c r="I74" i="12"/>
  <c r="I73" i="12"/>
  <c r="I300" i="12"/>
  <c r="I172" i="12"/>
  <c r="I173" i="12"/>
  <c r="G168" i="12"/>
  <c r="G167" i="12"/>
  <c r="H167" i="12"/>
  <c r="H168" i="12"/>
  <c r="F168" i="12"/>
  <c r="F167" i="12"/>
  <c r="I167" i="12"/>
  <c r="I168" i="12"/>
  <c r="D102" i="12"/>
  <c r="D106" i="12"/>
  <c r="D101" i="12"/>
  <c r="D105" i="12"/>
  <c r="D104" i="12"/>
  <c r="D103" i="12"/>
  <c r="E102" i="12"/>
  <c r="E106" i="12"/>
  <c r="E101" i="12"/>
  <c r="E105" i="12"/>
  <c r="E103" i="12"/>
  <c r="E104" i="12"/>
  <c r="F103" i="12"/>
  <c r="J120" i="12" s="1"/>
  <c r="F102" i="12"/>
  <c r="J119" i="12" s="1"/>
  <c r="F106" i="12"/>
  <c r="J123" i="12" s="1"/>
  <c r="F101" i="12"/>
  <c r="J118" i="12" s="1"/>
  <c r="F105" i="12"/>
  <c r="J122" i="12" s="1"/>
  <c r="F104" i="12"/>
  <c r="J121" i="12" s="1"/>
  <c r="L6" i="12"/>
  <c r="H104" i="12"/>
  <c r="H103" i="12"/>
  <c r="H102" i="12"/>
  <c r="H106" i="12"/>
  <c r="H101" i="12"/>
  <c r="H105" i="12"/>
  <c r="C101" i="12"/>
  <c r="C105" i="12"/>
  <c r="C104" i="12"/>
  <c r="C103" i="12"/>
  <c r="C102" i="12"/>
  <c r="C106" i="12"/>
  <c r="G103" i="12"/>
  <c r="G104" i="12"/>
  <c r="G102" i="12"/>
  <c r="G106" i="12"/>
  <c r="G101" i="12"/>
  <c r="G105" i="12"/>
  <c r="M6" i="12"/>
  <c r="I104" i="12"/>
  <c r="I103" i="12"/>
  <c r="I102" i="12"/>
  <c r="I106" i="12"/>
  <c r="I105" i="12"/>
  <c r="I101" i="12"/>
  <c r="F204" i="12"/>
  <c r="F203" i="12"/>
  <c r="F206" i="12"/>
  <c r="F205" i="12"/>
  <c r="C203" i="12"/>
  <c r="C206" i="12"/>
  <c r="C205" i="12"/>
  <c r="C204" i="12"/>
  <c r="G203" i="12"/>
  <c r="G206" i="12"/>
  <c r="G205" i="12"/>
  <c r="G204" i="12"/>
  <c r="D206" i="12"/>
  <c r="D205" i="12"/>
  <c r="D204" i="12"/>
  <c r="D203" i="12"/>
  <c r="H206" i="12"/>
  <c r="H205" i="12"/>
  <c r="H204" i="12"/>
  <c r="H203" i="12"/>
  <c r="E205" i="12"/>
  <c r="E204" i="12"/>
  <c r="E203" i="12"/>
  <c r="E206" i="12"/>
  <c r="I205" i="12"/>
  <c r="I204" i="12"/>
  <c r="I203" i="12"/>
  <c r="I206" i="12"/>
  <c r="D150" i="12"/>
  <c r="D149" i="12"/>
  <c r="D148" i="12"/>
  <c r="E148" i="12"/>
  <c r="E149" i="12"/>
  <c r="E150" i="12"/>
  <c r="C150" i="12"/>
  <c r="C148" i="12"/>
  <c r="C149" i="12"/>
  <c r="G148" i="12"/>
  <c r="G149" i="12"/>
  <c r="G150" i="12"/>
  <c r="H150" i="12"/>
  <c r="L164" i="12" s="1"/>
  <c r="H149" i="12"/>
  <c r="L163" i="12" s="1"/>
  <c r="H148" i="12"/>
  <c r="L162" i="12" s="1"/>
  <c r="I149" i="12"/>
  <c r="I150" i="12"/>
  <c r="I148" i="12"/>
  <c r="F150" i="12"/>
  <c r="F149" i="12"/>
  <c r="F148" i="12"/>
  <c r="K6" i="12"/>
  <c r="J6" i="12"/>
  <c r="J5" i="12"/>
  <c r="E131" i="12" l="1"/>
  <c r="BA118" i="3"/>
  <c r="G131" i="12"/>
  <c r="AZ118" i="3"/>
  <c r="C131" i="12"/>
  <c r="F131" i="12"/>
  <c r="I131" i="12"/>
  <c r="H131" i="12"/>
  <c r="D131" i="12"/>
  <c r="L93" i="12"/>
  <c r="J93" i="12"/>
  <c r="E108" i="3"/>
  <c r="K93" i="12"/>
  <c r="C108" i="3"/>
  <c r="D108" i="3"/>
  <c r="H223" i="12"/>
  <c r="I222" i="12"/>
  <c r="M228" i="12" s="1"/>
  <c r="J222" i="12"/>
  <c r="N228" i="12" s="1"/>
  <c r="L222" i="12"/>
  <c r="K222" i="12"/>
  <c r="O228" i="12" s="1"/>
  <c r="I223" i="12"/>
  <c r="M229" i="12" s="1"/>
  <c r="J223" i="12"/>
  <c r="N229" i="12" s="1"/>
  <c r="L223" i="12"/>
  <c r="K223" i="12"/>
  <c r="O229" i="12" s="1"/>
  <c r="H224" i="12"/>
  <c r="I224" i="12"/>
  <c r="M230" i="12" s="1"/>
  <c r="J224" i="12"/>
  <c r="N230" i="12" s="1"/>
  <c r="K224" i="12"/>
  <c r="O230" i="12" s="1"/>
  <c r="L224" i="12"/>
  <c r="H221" i="12"/>
  <c r="I221" i="12"/>
  <c r="M227" i="12" s="1"/>
  <c r="J221" i="12"/>
  <c r="N227" i="12" s="1"/>
  <c r="L221" i="12"/>
  <c r="K221" i="12"/>
  <c r="O227" i="12" s="1"/>
  <c r="H222" i="12"/>
  <c r="AZ102" i="3"/>
  <c r="I102" i="3"/>
  <c r="C83" i="12"/>
  <c r="C96" i="3"/>
  <c r="AZ123" i="3"/>
  <c r="H96" i="3"/>
  <c r="H83" i="12"/>
  <c r="H97" i="3" s="1"/>
  <c r="F96" i="3"/>
  <c r="F83" i="12"/>
  <c r="F97" i="3" s="1"/>
  <c r="C92" i="12"/>
  <c r="C84" i="12"/>
  <c r="E96" i="12"/>
  <c r="E88" i="12"/>
  <c r="G96" i="12"/>
  <c r="G125" i="3" s="1"/>
  <c r="G88" i="12"/>
  <c r="G124" i="3" s="1"/>
  <c r="G123" i="3"/>
  <c r="F102" i="3"/>
  <c r="F84" i="12"/>
  <c r="M91" i="12"/>
  <c r="I96" i="3"/>
  <c r="I108" i="3"/>
  <c r="G102" i="3"/>
  <c r="G84" i="12"/>
  <c r="G93" i="12"/>
  <c r="G85" i="12"/>
  <c r="G109" i="3" s="1"/>
  <c r="G108" i="3"/>
  <c r="C93" i="12"/>
  <c r="C85" i="12"/>
  <c r="D93" i="12"/>
  <c r="D85" i="12"/>
  <c r="F123" i="3"/>
  <c r="F88" i="12"/>
  <c r="F124" i="3" s="1"/>
  <c r="H88" i="12"/>
  <c r="H124" i="3" s="1"/>
  <c r="H123" i="3"/>
  <c r="G96" i="3"/>
  <c r="G83" i="12"/>
  <c r="G97" i="3" s="1"/>
  <c r="D83" i="12"/>
  <c r="E92" i="12"/>
  <c r="E84" i="12"/>
  <c r="H102" i="3"/>
  <c r="H84" i="12"/>
  <c r="E85" i="12"/>
  <c r="D96" i="12"/>
  <c r="D88" i="12"/>
  <c r="H108" i="3"/>
  <c r="H85" i="12"/>
  <c r="H109" i="3" s="1"/>
  <c r="F108" i="3"/>
  <c r="F85" i="12"/>
  <c r="F109" i="3" s="1"/>
  <c r="C96" i="12"/>
  <c r="C88" i="12"/>
  <c r="E83" i="12"/>
  <c r="D92" i="12"/>
  <c r="D84" i="12"/>
  <c r="M99" i="12"/>
  <c r="H92" i="12"/>
  <c r="L99" i="12"/>
  <c r="F96" i="12"/>
  <c r="F125" i="3" s="1"/>
  <c r="F92" i="12"/>
  <c r="J92" i="12"/>
  <c r="K96" i="12"/>
  <c r="K125" i="3" s="1"/>
  <c r="H96" i="12"/>
  <c r="H125" i="3" s="1"/>
  <c r="G92" i="12"/>
  <c r="D98" i="12"/>
  <c r="H93" i="12"/>
  <c r="H98" i="12"/>
  <c r="L98" i="12"/>
  <c r="F98" i="12"/>
  <c r="J98" i="12"/>
  <c r="I98" i="12"/>
  <c r="M98" i="12"/>
  <c r="K92" i="12"/>
  <c r="L91" i="12"/>
  <c r="L98" i="3" s="1"/>
  <c r="G98" i="12"/>
  <c r="K98" i="12"/>
  <c r="C98" i="12"/>
  <c r="F93" i="12"/>
  <c r="E98" i="12"/>
  <c r="H91" i="12"/>
  <c r="H80" i="12"/>
  <c r="F91" i="12"/>
  <c r="F80" i="12"/>
  <c r="J96" i="12"/>
  <c r="J125" i="3" s="1"/>
  <c r="G91" i="12"/>
  <c r="G80" i="12"/>
  <c r="C91" i="12"/>
  <c r="C80" i="12"/>
  <c r="D91" i="12"/>
  <c r="D80" i="12"/>
  <c r="E93" i="12"/>
  <c r="E91" i="12"/>
  <c r="E80" i="12"/>
  <c r="E211" i="12"/>
  <c r="I80" i="12"/>
  <c r="I81" i="12" s="1"/>
  <c r="J81" i="12" s="1"/>
  <c r="I96" i="12"/>
  <c r="I125" i="3" s="1"/>
  <c r="I88" i="12"/>
  <c r="I124" i="3" s="1"/>
  <c r="I91" i="12"/>
  <c r="I98" i="3" s="1"/>
  <c r="I83" i="12"/>
  <c r="I92" i="12"/>
  <c r="I84" i="12"/>
  <c r="I93" i="12"/>
  <c r="I85" i="12"/>
  <c r="G169" i="12"/>
  <c r="H169" i="12"/>
  <c r="F169" i="12"/>
  <c r="I169" i="12"/>
  <c r="I174" i="12"/>
  <c r="I120" i="12"/>
  <c r="M120" i="12"/>
  <c r="G120" i="12"/>
  <c r="K120" i="12"/>
  <c r="H110" i="12"/>
  <c r="H118" i="12"/>
  <c r="L118" i="12"/>
  <c r="G111" i="12"/>
  <c r="G119" i="12"/>
  <c r="K119" i="12"/>
  <c r="I121" i="12"/>
  <c r="M121" i="12"/>
  <c r="H123" i="12"/>
  <c r="L123" i="12"/>
  <c r="H122" i="12"/>
  <c r="L122" i="12"/>
  <c r="H119" i="12"/>
  <c r="L119" i="12"/>
  <c r="I123" i="12"/>
  <c r="M123" i="12"/>
  <c r="G122" i="12"/>
  <c r="K122" i="12"/>
  <c r="H120" i="12"/>
  <c r="L120" i="12"/>
  <c r="I119" i="12"/>
  <c r="M119" i="12"/>
  <c r="I118" i="12"/>
  <c r="M118" i="12"/>
  <c r="G118" i="12"/>
  <c r="K118" i="12"/>
  <c r="H121" i="12"/>
  <c r="L121" i="12"/>
  <c r="G121" i="12"/>
  <c r="K121" i="12"/>
  <c r="I122" i="12"/>
  <c r="M122" i="12"/>
  <c r="G123" i="12"/>
  <c r="K123" i="12"/>
  <c r="C107" i="12"/>
  <c r="H114" i="12"/>
  <c r="G112" i="12"/>
  <c r="G115" i="12"/>
  <c r="I111" i="12"/>
  <c r="J111" i="12"/>
  <c r="I113" i="12"/>
  <c r="J113" i="12"/>
  <c r="H115" i="12"/>
  <c r="I112" i="12"/>
  <c r="J112" i="12"/>
  <c r="H111" i="12"/>
  <c r="I115" i="12"/>
  <c r="J115" i="12"/>
  <c r="G114" i="12"/>
  <c r="H112" i="12"/>
  <c r="I110" i="12"/>
  <c r="J110" i="12"/>
  <c r="G110" i="12"/>
  <c r="H113" i="12"/>
  <c r="G113" i="12"/>
  <c r="I114" i="12"/>
  <c r="J114" i="12"/>
  <c r="F107" i="12"/>
  <c r="E107" i="12"/>
  <c r="I107" i="12"/>
  <c r="G107" i="12"/>
  <c r="H107" i="12"/>
  <c r="D107" i="12"/>
  <c r="E210" i="12"/>
  <c r="E212" i="12"/>
  <c r="E209" i="12"/>
  <c r="D210" i="12"/>
  <c r="C212" i="12"/>
  <c r="D209" i="12"/>
  <c r="D211" i="12"/>
  <c r="C209" i="12"/>
  <c r="G211" i="12"/>
  <c r="G217" i="12"/>
  <c r="K217" i="12"/>
  <c r="J212" i="12"/>
  <c r="I218" i="12"/>
  <c r="I212" i="12"/>
  <c r="M218" i="12"/>
  <c r="G218" i="12"/>
  <c r="G212" i="12"/>
  <c r="K218" i="12"/>
  <c r="F217" i="12"/>
  <c r="F211" i="12"/>
  <c r="J217" i="12"/>
  <c r="J210" i="12"/>
  <c r="I210" i="12"/>
  <c r="I216" i="12"/>
  <c r="M216" i="12"/>
  <c r="H210" i="12"/>
  <c r="H216" i="12"/>
  <c r="L216" i="12"/>
  <c r="C210" i="12"/>
  <c r="H209" i="12"/>
  <c r="H215" i="12"/>
  <c r="L215" i="12"/>
  <c r="G209" i="12"/>
  <c r="G215" i="12"/>
  <c r="K215" i="12"/>
  <c r="J211" i="12"/>
  <c r="I217" i="12"/>
  <c r="I211" i="12"/>
  <c r="M217" i="12"/>
  <c r="H217" i="12"/>
  <c r="H211" i="12"/>
  <c r="L217" i="12"/>
  <c r="D212" i="12"/>
  <c r="F218" i="12"/>
  <c r="F212" i="12"/>
  <c r="J218" i="12"/>
  <c r="G216" i="12"/>
  <c r="G210" i="12"/>
  <c r="K216" i="12"/>
  <c r="C211" i="12"/>
  <c r="F215" i="12"/>
  <c r="F209" i="12"/>
  <c r="J215" i="12"/>
  <c r="J209" i="12"/>
  <c r="I209" i="12"/>
  <c r="I215" i="12"/>
  <c r="M215" i="12"/>
  <c r="H212" i="12"/>
  <c r="H218" i="12"/>
  <c r="L218" i="12"/>
  <c r="F216" i="12"/>
  <c r="F210" i="12"/>
  <c r="J216" i="12"/>
  <c r="J155" i="12"/>
  <c r="M162" i="12"/>
  <c r="J84" i="12"/>
  <c r="M92" i="12"/>
  <c r="J88" i="12"/>
  <c r="J124" i="3" s="1"/>
  <c r="M96" i="12"/>
  <c r="J157" i="12"/>
  <c r="M164" i="12"/>
  <c r="J85" i="12"/>
  <c r="M93" i="12"/>
  <c r="J156" i="12"/>
  <c r="M163" i="12"/>
  <c r="F155" i="12"/>
  <c r="J164" i="12"/>
  <c r="F157" i="12"/>
  <c r="G157" i="12"/>
  <c r="K164" i="12"/>
  <c r="G155" i="12"/>
  <c r="K162" i="12"/>
  <c r="H156" i="12"/>
  <c r="H155" i="12"/>
  <c r="G156" i="12"/>
  <c r="K163" i="12"/>
  <c r="J163" i="12"/>
  <c r="F156" i="12"/>
  <c r="H157" i="12"/>
  <c r="I151" i="12"/>
  <c r="I155" i="12"/>
  <c r="I156" i="12"/>
  <c r="J91" i="12"/>
  <c r="J98" i="3" s="1"/>
  <c r="C151" i="12"/>
  <c r="E151" i="12"/>
  <c r="D151" i="12"/>
  <c r="G151" i="12"/>
  <c r="H151" i="12"/>
  <c r="F151" i="12"/>
  <c r="J162" i="12"/>
  <c r="J83" i="12"/>
  <c r="I157" i="12"/>
  <c r="I129" i="3" l="1"/>
  <c r="J130" i="3" s="1"/>
  <c r="F98" i="3"/>
  <c r="F119" i="3"/>
  <c r="H98" i="3"/>
  <c r="H119" i="3"/>
  <c r="G98" i="3"/>
  <c r="G119" i="3"/>
  <c r="BA119" i="3"/>
  <c r="BB119" i="3"/>
  <c r="I133" i="3"/>
  <c r="M135" i="3" s="1"/>
  <c r="K110" i="3"/>
  <c r="L110" i="3"/>
  <c r="J110" i="3"/>
  <c r="AZ108" i="3"/>
  <c r="M125" i="3"/>
  <c r="M98" i="3"/>
  <c r="L229" i="12"/>
  <c r="P229" i="12"/>
  <c r="L228" i="12"/>
  <c r="P228" i="12"/>
  <c r="L227" i="12"/>
  <c r="P227" i="12"/>
  <c r="L230" i="12"/>
  <c r="P230" i="12"/>
  <c r="J97" i="3"/>
  <c r="AZ96" i="3"/>
  <c r="I109" i="3"/>
  <c r="I97" i="3"/>
  <c r="J109" i="3"/>
  <c r="H110" i="3"/>
  <c r="BA108" i="3"/>
  <c r="M110" i="3"/>
  <c r="H133" i="3"/>
  <c r="L135" i="3" s="1"/>
  <c r="F110" i="3"/>
  <c r="BA102" i="3"/>
  <c r="BA123" i="3"/>
  <c r="F133" i="3"/>
  <c r="G133" i="3"/>
  <c r="K135" i="3" s="1"/>
  <c r="BA96" i="3"/>
  <c r="I110" i="3"/>
  <c r="G110" i="3"/>
  <c r="I6" i="12"/>
  <c r="E5" i="12"/>
  <c r="C5" i="12"/>
  <c r="M131" i="3" l="1"/>
  <c r="BA129" i="3"/>
  <c r="BA130" i="3" s="1"/>
  <c r="J134" i="3"/>
  <c r="BA133" i="3"/>
  <c r="J135" i="3"/>
  <c r="BA109" i="3"/>
  <c r="BB109" i="3"/>
  <c r="BA124" i="3"/>
  <c r="BB124" i="3"/>
  <c r="BA97" i="3"/>
  <c r="BB97" i="3"/>
  <c r="BA103" i="3"/>
  <c r="BB103" i="3"/>
  <c r="G6" i="12"/>
  <c r="D5" i="12"/>
  <c r="H5" i="12"/>
  <c r="I5" i="12"/>
  <c r="H6" i="12"/>
  <c r="F5" i="12"/>
  <c r="G5" i="12"/>
  <c r="F6" i="12"/>
  <c r="BB130" i="3" l="1"/>
  <c r="BA134" i="3"/>
  <c r="BB134" i="3"/>
  <c r="M65" i="2"/>
  <c r="V65" i="2" l="1"/>
  <c r="W65" i="2" s="1"/>
  <c r="X65" i="2" l="1"/>
  <c r="Y65" i="2" s="1"/>
  <c r="BG65" i="2"/>
  <c r="BF65" i="2"/>
  <c r="BG27" i="2"/>
  <c r="C15" i="4" s="1"/>
  <c r="BF27" i="2"/>
  <c r="BF7" i="2"/>
  <c r="C132" i="7" l="1"/>
  <c r="C136" i="7"/>
  <c r="C137" i="7" s="1"/>
  <c r="C40" i="4" s="1"/>
  <c r="Z65" i="2"/>
  <c r="BF6" i="2"/>
  <c r="AL4" i="12"/>
  <c r="G9" i="5"/>
  <c r="BF21" i="2"/>
  <c r="BG29" i="2"/>
  <c r="AU344" i="70" s="1"/>
  <c r="BG18" i="2"/>
  <c r="BF29" i="2"/>
  <c r="AT344" i="70" s="1"/>
  <c r="BF18" i="2"/>
  <c r="BJ44" i="2"/>
  <c r="BG13" i="2"/>
  <c r="BG21" i="2"/>
  <c r="E157" i="3"/>
  <c r="D157" i="3"/>
  <c r="D158" i="3" s="1"/>
  <c r="C45" i="4" l="1"/>
  <c r="C41" i="4"/>
  <c r="H23" i="5" s="1"/>
  <c r="G23" i="5"/>
  <c r="BG138" i="2"/>
  <c r="AU348" i="70"/>
  <c r="AU351" i="70"/>
  <c r="AT348" i="70"/>
  <c r="AT351" i="70"/>
  <c r="AL77" i="12"/>
  <c r="AL148" i="12"/>
  <c r="AL149" i="12"/>
  <c r="AL150" i="12"/>
  <c r="AL5" i="12"/>
  <c r="AL103" i="12"/>
  <c r="AL105" i="12"/>
  <c r="AL102" i="12"/>
  <c r="AL106" i="12"/>
  <c r="AL101" i="12"/>
  <c r="AL104" i="12"/>
  <c r="C61" i="4"/>
  <c r="G25" i="5"/>
  <c r="BF32" i="2"/>
  <c r="H25" i="5"/>
  <c r="BG32" i="2"/>
  <c r="C7" i="4" s="1"/>
  <c r="BH32" i="2"/>
  <c r="D7" i="4" s="1"/>
  <c r="C6" i="4"/>
  <c r="AA65" i="2"/>
  <c r="BF30" i="2"/>
  <c r="AL3" i="12"/>
  <c r="AL309" i="12"/>
  <c r="AL73" i="12"/>
  <c r="AL74" i="12"/>
  <c r="AL78" i="12"/>
  <c r="AL75" i="12"/>
  <c r="BG39" i="2"/>
  <c r="AL205" i="12"/>
  <c r="AL204" i="12"/>
  <c r="AL206" i="12"/>
  <c r="AL203" i="12"/>
  <c r="BF39" i="2"/>
  <c r="E158" i="3"/>
  <c r="BF4" i="2"/>
  <c r="BF136" i="2" s="1"/>
  <c r="BF137" i="2" s="1"/>
  <c r="BG4" i="2"/>
  <c r="BG136" i="2" s="1"/>
  <c r="R7" i="2"/>
  <c r="BG30" i="2"/>
  <c r="I93" i="8"/>
  <c r="H93" i="8"/>
  <c r="BG137" i="2" l="1"/>
  <c r="AL131" i="12"/>
  <c r="AL88" i="12"/>
  <c r="AL84" i="12"/>
  <c r="AL83" i="12"/>
  <c r="BG31" i="2"/>
  <c r="AL85" i="12"/>
  <c r="BF31" i="2"/>
  <c r="AL151" i="12"/>
  <c r="G26" i="5"/>
  <c r="AL107" i="12"/>
  <c r="BF41" i="2"/>
  <c r="BG41" i="2"/>
  <c r="C8" i="4" s="1"/>
  <c r="BH41" i="2"/>
  <c r="D8" i="4" s="1"/>
  <c r="AB65" i="2"/>
  <c r="BG82" i="2"/>
  <c r="BG51" i="2"/>
  <c r="BG40" i="2"/>
  <c r="BF82" i="2"/>
  <c r="AL212" i="12"/>
  <c r="AL209" i="12"/>
  <c r="AL210" i="12"/>
  <c r="AL211" i="12"/>
  <c r="AL80" i="12"/>
  <c r="BF51" i="2"/>
  <c r="BF40" i="2"/>
  <c r="H26" i="5"/>
  <c r="C23" i="4" l="1"/>
  <c r="H5" i="8"/>
  <c r="BF58" i="2"/>
  <c r="BF61" i="2" s="1"/>
  <c r="BG57" i="2"/>
  <c r="C26" i="4" s="1"/>
  <c r="BG58" i="2"/>
  <c r="BG61" i="2" s="1"/>
  <c r="I5" i="8"/>
  <c r="BG83" i="2"/>
  <c r="BF57" i="2"/>
  <c r="BF83" i="2"/>
  <c r="AT345" i="70" l="1"/>
  <c r="AU345" i="70"/>
  <c r="BF66" i="2"/>
  <c r="H27" i="8"/>
  <c r="BF62" i="2"/>
  <c r="C33" i="4"/>
  <c r="C31" i="4"/>
  <c r="C24" i="4"/>
  <c r="BG62" i="2"/>
  <c r="C9" i="4" s="1"/>
  <c r="BH62" i="2"/>
  <c r="D9" i="4" s="1"/>
  <c r="AF65" i="2"/>
  <c r="BG66" i="2"/>
  <c r="I27" i="8"/>
  <c r="I165" i="3"/>
  <c r="H165" i="3"/>
  <c r="G165" i="3"/>
  <c r="F165" i="3"/>
  <c r="I154" i="3"/>
  <c r="H154" i="3"/>
  <c r="G154" i="3"/>
  <c r="F154" i="3"/>
  <c r="H22" i="5" l="1"/>
  <c r="G22" i="5"/>
  <c r="AT347" i="70"/>
  <c r="AT350" i="70"/>
  <c r="AU347" i="70"/>
  <c r="AU350" i="70"/>
  <c r="I44" i="8"/>
  <c r="I47" i="8" s="1"/>
  <c r="H44" i="8"/>
  <c r="C32" i="4"/>
  <c r="BG67" i="2"/>
  <c r="BG68" i="2"/>
  <c r="C10" i="4" s="1"/>
  <c r="BF70" i="2"/>
  <c r="BF68" i="2"/>
  <c r="BF94" i="2"/>
  <c r="I92" i="8"/>
  <c r="BF67" i="2"/>
  <c r="H92" i="8"/>
  <c r="G15" i="5"/>
  <c r="BG94" i="2"/>
  <c r="H15" i="5"/>
  <c r="BG70" i="2"/>
  <c r="BG96" i="2"/>
  <c r="BG71" i="2"/>
  <c r="BF71" i="2"/>
  <c r="BF91" i="2" s="1"/>
  <c r="BG91" i="2" l="1"/>
  <c r="C69" i="4" s="1"/>
  <c r="C81" i="4" s="1"/>
  <c r="H47" i="8"/>
  <c r="BG84" i="2"/>
  <c r="C25" i="4" s="1"/>
  <c r="C37" i="4"/>
  <c r="I79" i="8"/>
  <c r="I81" i="8" s="1"/>
  <c r="I82" i="8" s="1"/>
  <c r="BF84" i="2"/>
  <c r="I48" i="8" l="1"/>
  <c r="H79" i="8"/>
  <c r="H81" i="8" s="1"/>
  <c r="H82" i="8" s="1"/>
  <c r="C82" i="4"/>
  <c r="AQ65" i="2"/>
  <c r="C48" i="4"/>
  <c r="G166" i="3"/>
  <c r="F166" i="3"/>
  <c r="H155" i="3"/>
  <c r="G155" i="3"/>
  <c r="F155" i="3"/>
  <c r="H166" i="3"/>
  <c r="BI90" i="2"/>
  <c r="BJ90" i="2" s="1"/>
  <c r="BK90" i="2" s="1"/>
  <c r="A73" i="2"/>
  <c r="A72" i="2"/>
  <c r="A71" i="2"/>
  <c r="A70" i="2"/>
  <c r="A69" i="2"/>
  <c r="A67" i="2"/>
  <c r="A66" i="2"/>
  <c r="A48" i="2"/>
  <c r="A47" i="2"/>
  <c r="A46" i="2"/>
  <c r="A45" i="2"/>
  <c r="A44" i="2"/>
  <c r="A43" i="2"/>
  <c r="A42" i="2"/>
  <c r="A40" i="2"/>
  <c r="A39" i="2"/>
  <c r="Q37" i="2"/>
  <c r="P37" i="2"/>
  <c r="O37" i="2"/>
  <c r="N37" i="2"/>
  <c r="M37" i="2"/>
  <c r="A31" i="2"/>
  <c r="A30" i="2"/>
  <c r="A29" i="2"/>
  <c r="A28" i="2"/>
  <c r="A27" i="2"/>
  <c r="A23" i="2"/>
  <c r="R27" i="2"/>
  <c r="Q27" i="2"/>
  <c r="P27" i="2"/>
  <c r="O22" i="2"/>
  <c r="O27" i="2" s="1"/>
  <c r="N22" i="2"/>
  <c r="N27" i="2" s="1"/>
  <c r="M22" i="2"/>
  <c r="M27" i="2" s="1"/>
  <c r="L22" i="2"/>
  <c r="L27" i="2" s="1"/>
  <c r="A22" i="2"/>
  <c r="R21" i="2"/>
  <c r="Q21" i="2"/>
  <c r="P21" i="2"/>
  <c r="O21" i="2"/>
  <c r="N21" i="2"/>
  <c r="M21" i="2"/>
  <c r="L21" i="2"/>
  <c r="A21" i="2"/>
  <c r="R18" i="2"/>
  <c r="Q18" i="2"/>
  <c r="P18" i="2"/>
  <c r="O18" i="2"/>
  <c r="N18" i="2"/>
  <c r="M18" i="2"/>
  <c r="L18" i="2"/>
  <c r="A18" i="2"/>
  <c r="A15" i="2"/>
  <c r="A14" i="2"/>
  <c r="Q7" i="2"/>
  <c r="A7" i="2"/>
  <c r="R6" i="2"/>
  <c r="Q6" i="2"/>
  <c r="P6" i="2"/>
  <c r="O6" i="2"/>
  <c r="N6" i="2"/>
  <c r="M6" i="2"/>
  <c r="L6" i="2"/>
  <c r="K6" i="2"/>
  <c r="A6" i="2"/>
  <c r="A5" i="2"/>
  <c r="BH4" i="2"/>
  <c r="BH136" i="2" s="1"/>
  <c r="BH137" i="2" s="1"/>
  <c r="A4" i="2"/>
  <c r="A3" i="2"/>
  <c r="A2" i="2"/>
  <c r="AR65" i="2" l="1"/>
  <c r="BL90" i="2"/>
  <c r="P29" i="2"/>
  <c r="P30" i="2" s="1"/>
  <c r="M29" i="2"/>
  <c r="M30" i="2" s="1"/>
  <c r="Q29" i="2"/>
  <c r="U344" i="70" s="1"/>
  <c r="U351" i="70" s="1"/>
  <c r="N29" i="2"/>
  <c r="R343" i="70" s="1"/>
  <c r="R29" i="2"/>
  <c r="V344" i="70" s="1"/>
  <c r="L29" i="2"/>
  <c r="O29" i="2"/>
  <c r="O39" i="2" s="1"/>
  <c r="O51" i="2" s="1"/>
  <c r="O58" i="2" s="1"/>
  <c r="F160" i="3"/>
  <c r="G160" i="3" s="1"/>
  <c r="H21" i="5"/>
  <c r="G21" i="5"/>
  <c r="I85" i="8"/>
  <c r="I84" i="8"/>
  <c r="H85" i="8"/>
  <c r="H84" i="8"/>
  <c r="C49" i="4"/>
  <c r="I137" i="3"/>
  <c r="E137" i="3"/>
  <c r="I155" i="3"/>
  <c r="I166" i="3"/>
  <c r="AS65" i="2" l="1"/>
  <c r="AT65" i="2" s="1"/>
  <c r="AU65" i="2" s="1"/>
  <c r="AV65" i="2" s="1"/>
  <c r="AW65" i="2" s="1"/>
  <c r="AX65" i="2" s="1"/>
  <c r="AY65" i="2" s="1"/>
  <c r="AZ65" i="2" s="1"/>
  <c r="BA65" i="2" s="1"/>
  <c r="BM90" i="2"/>
  <c r="BN90" i="2" s="1"/>
  <c r="BO90" i="2" s="1"/>
  <c r="BP90" i="2" s="1"/>
  <c r="Q30" i="2"/>
  <c r="Q31" i="2" s="1"/>
  <c r="BN65" i="2"/>
  <c r="N30" i="2"/>
  <c r="F174" i="3" s="1"/>
  <c r="M39" i="2"/>
  <c r="M51" i="2" s="1"/>
  <c r="M58" i="2" s="1"/>
  <c r="BO65" i="2"/>
  <c r="P39" i="2"/>
  <c r="P40" i="2" s="1"/>
  <c r="Q39" i="2"/>
  <c r="Q51" i="2" s="1"/>
  <c r="Q58" i="2" s="1"/>
  <c r="R30" i="2"/>
  <c r="J174" i="3" s="1"/>
  <c r="U348" i="70"/>
  <c r="T344" i="70"/>
  <c r="T348" i="70" s="1"/>
  <c r="N39" i="2"/>
  <c r="N51" i="2" s="1"/>
  <c r="N61" i="2" s="1"/>
  <c r="S344" i="70"/>
  <c r="S348" i="70" s="1"/>
  <c r="P344" i="70"/>
  <c r="Q344" i="70"/>
  <c r="L30" i="2"/>
  <c r="L31" i="2" s="1"/>
  <c r="O30" i="2"/>
  <c r="O82" i="2" s="1"/>
  <c r="L39" i="2"/>
  <c r="L51" i="2" s="1"/>
  <c r="R348" i="70"/>
  <c r="R351" i="70"/>
  <c r="V348" i="70"/>
  <c r="V351" i="70"/>
  <c r="I89" i="8"/>
  <c r="P82" i="2"/>
  <c r="P31" i="2"/>
  <c r="M82" i="2"/>
  <c r="M31" i="2"/>
  <c r="E174" i="3"/>
  <c r="O61" i="2"/>
  <c r="H174" i="3"/>
  <c r="C51" i="4"/>
  <c r="I100" i="8"/>
  <c r="I99" i="8"/>
  <c r="H97" i="8"/>
  <c r="H96" i="8"/>
  <c r="H100" i="8"/>
  <c r="H99" i="8"/>
  <c r="I97" i="8"/>
  <c r="I96" i="8"/>
  <c r="E138" i="3"/>
  <c r="I138" i="3"/>
  <c r="BH65" i="2"/>
  <c r="O40" i="2"/>
  <c r="BP65" i="2" l="1"/>
  <c r="I174" i="3"/>
  <c r="N31" i="2"/>
  <c r="N82" i="2"/>
  <c r="Q82" i="2"/>
  <c r="M40" i="2"/>
  <c r="M83" i="2" s="1"/>
  <c r="P51" i="2"/>
  <c r="P58" i="2" s="1"/>
  <c r="R31" i="2"/>
  <c r="R82" i="2"/>
  <c r="N40" i="2"/>
  <c r="N83" i="2" s="1"/>
  <c r="L82" i="2"/>
  <c r="N58" i="2"/>
  <c r="D174" i="3"/>
  <c r="Q57" i="2"/>
  <c r="S351" i="70"/>
  <c r="Q61" i="2"/>
  <c r="U345" i="70" s="1"/>
  <c r="Q40" i="2"/>
  <c r="Q83" i="2" s="1"/>
  <c r="O31" i="2"/>
  <c r="T351" i="70"/>
  <c r="L40" i="2"/>
  <c r="L83" i="2" s="1"/>
  <c r="G174" i="3"/>
  <c r="O83" i="2"/>
  <c r="G176" i="3"/>
  <c r="R345" i="70"/>
  <c r="P83" i="2"/>
  <c r="H176" i="3"/>
  <c r="S345" i="70"/>
  <c r="O62" i="2"/>
  <c r="L57" i="2"/>
  <c r="L58" i="2"/>
  <c r="L61" i="2"/>
  <c r="M61" i="2"/>
  <c r="R37" i="2"/>
  <c r="R39" i="2"/>
  <c r="O57" i="2"/>
  <c r="N57" i="2"/>
  <c r="N66" i="2"/>
  <c r="BI65" i="2"/>
  <c r="M57" i="2"/>
  <c r="P57" i="2" l="1"/>
  <c r="E176" i="3"/>
  <c r="P61" i="2"/>
  <c r="Q62" i="2" s="1"/>
  <c r="N72" i="2"/>
  <c r="N73" i="2"/>
  <c r="F176" i="3"/>
  <c r="I176" i="3"/>
  <c r="D176" i="3"/>
  <c r="P345" i="70"/>
  <c r="S347" i="70"/>
  <c r="S350" i="70"/>
  <c r="R347" i="70"/>
  <c r="R350" i="70"/>
  <c r="Q345" i="70"/>
  <c r="U347" i="70"/>
  <c r="U350" i="70"/>
  <c r="M62" i="2"/>
  <c r="L66" i="2"/>
  <c r="L62" i="2"/>
  <c r="N62" i="2"/>
  <c r="M66" i="2"/>
  <c r="Q66" i="2"/>
  <c r="O66" i="2"/>
  <c r="R51" i="2"/>
  <c r="R58" i="2" s="1"/>
  <c r="R40" i="2"/>
  <c r="N67" i="2"/>
  <c r="P62" i="2" l="1"/>
  <c r="P66" i="2"/>
  <c r="P72" i="2" s="1"/>
  <c r="T345" i="70"/>
  <c r="T347" i="70" s="1"/>
  <c r="O73" i="2"/>
  <c r="O72" i="2"/>
  <c r="L73" i="2"/>
  <c r="L72" i="2"/>
  <c r="Q72" i="2"/>
  <c r="Q73" i="2"/>
  <c r="M73" i="2"/>
  <c r="M72" i="2"/>
  <c r="R83" i="2"/>
  <c r="J176" i="3"/>
  <c r="O67" i="2"/>
  <c r="O84" i="2" s="1"/>
  <c r="O68" i="2"/>
  <c r="M67" i="2"/>
  <c r="M84" i="2" s="1"/>
  <c r="M68" i="2"/>
  <c r="L68" i="2"/>
  <c r="N68" i="2"/>
  <c r="L67" i="2"/>
  <c r="L84" i="2" s="1"/>
  <c r="N84" i="2"/>
  <c r="R57" i="2"/>
  <c r="R61" i="2"/>
  <c r="V345" i="70" s="1"/>
  <c r="Q67" i="2"/>
  <c r="W43" i="2"/>
  <c r="P67" i="2" l="1"/>
  <c r="P84" i="2" s="1"/>
  <c r="Q68" i="2"/>
  <c r="T350" i="70"/>
  <c r="P73" i="2"/>
  <c r="P68" i="2"/>
  <c r="V347" i="70"/>
  <c r="V350" i="70"/>
  <c r="R62" i="2"/>
  <c r="Q84" i="2"/>
  <c r="R66" i="2"/>
  <c r="AC35" i="2"/>
  <c r="AC37" i="2" s="1"/>
  <c r="AA35" i="2"/>
  <c r="AA37" i="2" s="1"/>
  <c r="AB35" i="2"/>
  <c r="AB37" i="2" s="1"/>
  <c r="Z35" i="2"/>
  <c r="Z37" i="2" s="1"/>
  <c r="R72" i="2" l="1"/>
  <c r="R73" i="2"/>
  <c r="R67" i="2"/>
  <c r="R84" i="2" s="1"/>
  <c r="R68" i="2"/>
  <c r="AF35" i="2" l="1"/>
  <c r="AF37" i="2" s="1"/>
  <c r="AE35" i="2"/>
  <c r="AE37" i="2" s="1"/>
  <c r="AG35" i="2"/>
  <c r="AG37" i="2" s="1"/>
  <c r="AD35" i="2"/>
  <c r="AD37" i="2" s="1"/>
  <c r="F159" i="3" l="1"/>
  <c r="G159" i="3" l="1"/>
  <c r="F163" i="3"/>
  <c r="F162" i="3" s="1"/>
  <c r="F157" i="3" s="1"/>
  <c r="F158" i="3" s="1"/>
  <c r="G163" i="3" l="1"/>
  <c r="G162" i="3" s="1"/>
  <c r="G157" i="3" s="1"/>
  <c r="G158" i="3" s="1"/>
  <c r="H159" i="3"/>
  <c r="I159" i="3" s="1"/>
  <c r="J159" i="3" s="1"/>
  <c r="J163" i="3" s="1"/>
  <c r="J162" i="3" s="1"/>
  <c r="J157" i="3" s="1"/>
  <c r="I163" i="3" l="1"/>
  <c r="I162" i="3" s="1"/>
  <c r="I157" i="3" s="1"/>
  <c r="J158" i="3" s="1"/>
  <c r="H163" i="3"/>
  <c r="H162" i="3" l="1"/>
  <c r="H157" i="3" s="1"/>
  <c r="H158" i="3" l="1"/>
  <c r="I158" i="3"/>
  <c r="K159" i="3"/>
  <c r="L159" i="3" s="1"/>
  <c r="M159" i="3" l="1"/>
  <c r="L163" i="3"/>
  <c r="L162" i="3" s="1"/>
  <c r="K163" i="3"/>
  <c r="K162" i="3" s="1"/>
  <c r="K157" i="3" s="1"/>
  <c r="N159" i="3" l="1"/>
  <c r="M163" i="3"/>
  <c r="M162" i="3" s="1"/>
  <c r="K158" i="3"/>
  <c r="N163" i="3" l="1"/>
  <c r="N162" i="3" s="1"/>
  <c r="N157" i="3" s="1"/>
  <c r="O159" i="3"/>
  <c r="O163" i="3" l="1"/>
  <c r="O162" i="3" s="1"/>
  <c r="O157" i="3" s="1"/>
  <c r="O158" i="3" s="1"/>
  <c r="P159" i="3"/>
  <c r="P163" i="3" l="1"/>
  <c r="P162" i="3" s="1"/>
  <c r="P157" i="3" s="1"/>
  <c r="P158" i="3" s="1"/>
  <c r="Q159" i="3"/>
  <c r="R159" i="3" s="1"/>
  <c r="R163" i="3" l="1"/>
  <c r="R162" i="3" s="1"/>
  <c r="R157" i="3" s="1"/>
  <c r="S159" i="3"/>
  <c r="T159" i="3" l="1"/>
  <c r="S163" i="3"/>
  <c r="S162" i="3" s="1"/>
  <c r="T163" i="3" l="1"/>
  <c r="T162" i="3" s="1"/>
  <c r="T157" i="3" s="1"/>
  <c r="U159" i="3"/>
  <c r="V159" i="3" l="1"/>
  <c r="U163" i="3"/>
  <c r="U162" i="3" s="1"/>
  <c r="U157" i="3" s="1"/>
  <c r="U158" i="3" s="1"/>
  <c r="V163" i="3" l="1"/>
  <c r="V162" i="3" s="1"/>
  <c r="W159" i="3"/>
  <c r="X159" i="3" l="1"/>
  <c r="W163" i="3"/>
  <c r="W162" i="3" s="1"/>
  <c r="W157" i="3" s="1"/>
  <c r="Y159" i="3" l="1"/>
  <c r="Z159" i="3" s="1"/>
  <c r="AA159" i="3" s="1"/>
  <c r="AA163" i="3" s="1"/>
  <c r="X163" i="3"/>
  <c r="X162" i="3" s="1"/>
  <c r="BK4" i="2"/>
  <c r="BJ4" i="2"/>
  <c r="BI4" i="2"/>
  <c r="BJ136" i="2" l="1"/>
  <c r="BK136" i="2"/>
  <c r="BI136" i="2"/>
  <c r="BI137" i="2" s="1"/>
  <c r="Z163" i="3"/>
  <c r="Z162" i="3" s="1"/>
  <c r="Y163" i="3"/>
  <c r="Y162" i="3" s="1"/>
  <c r="Y157" i="3" s="1"/>
  <c r="S7" i="2"/>
  <c r="S6" i="2"/>
  <c r="K155" i="3"/>
  <c r="BK137" i="2" l="1"/>
  <c r="BL137" i="2"/>
  <c r="BJ137" i="2"/>
  <c r="AA162" i="3"/>
  <c r="AA157" i="3" s="1"/>
  <c r="AB159" i="3"/>
  <c r="Z157" i="3"/>
  <c r="Z158" i="3" s="1"/>
  <c r="S21" i="2"/>
  <c r="S27" i="2"/>
  <c r="S37" i="2"/>
  <c r="S18" i="2"/>
  <c r="AB163" i="3" l="1"/>
  <c r="AB162" i="3" s="1"/>
  <c r="AB157" i="3" s="1"/>
  <c r="AB158" i="3" s="1"/>
  <c r="AC159" i="3"/>
  <c r="S29" i="2"/>
  <c r="AA158" i="3"/>
  <c r="AC163" i="3" l="1"/>
  <c r="AC162" i="3" s="1"/>
  <c r="AC157" i="3" s="1"/>
  <c r="AC158" i="3" s="1"/>
  <c r="AD159" i="3"/>
  <c r="S30" i="2"/>
  <c r="S82" i="2" s="1"/>
  <c r="S39" i="2"/>
  <c r="S40" i="2" s="1"/>
  <c r="W344" i="70"/>
  <c r="W348" i="70" s="1"/>
  <c r="AE159" i="3" l="1"/>
  <c r="AD163" i="3"/>
  <c r="AD162" i="3" s="1"/>
  <c r="AD157" i="3" s="1"/>
  <c r="K174" i="3"/>
  <c r="S31" i="2"/>
  <c r="S51" i="2"/>
  <c r="S58" i="2" s="1"/>
  <c r="W351" i="70"/>
  <c r="S83" i="2"/>
  <c r="K176" i="3"/>
  <c r="AE163" i="3" l="1"/>
  <c r="AE162" i="3" s="1"/>
  <c r="AE157" i="3" s="1"/>
  <c r="AF159" i="3"/>
  <c r="AG159" i="3" s="1"/>
  <c r="AD158" i="3"/>
  <c r="S61" i="2"/>
  <c r="W345" i="70" s="1"/>
  <c r="W350" i="70" s="1"/>
  <c r="S57" i="2"/>
  <c r="AG163" i="3" l="1"/>
  <c r="AG162" i="3" s="1"/>
  <c r="AG157" i="3" s="1"/>
  <c r="AH157" i="3" s="1"/>
  <c r="AH159" i="3"/>
  <c r="AF163" i="3"/>
  <c r="AF162" i="3" s="1"/>
  <c r="AF157" i="3" s="1"/>
  <c r="AE158" i="3"/>
  <c r="S62" i="2"/>
  <c r="W347" i="70"/>
  <c r="AF158" i="3" l="1"/>
  <c r="AG158" i="3"/>
  <c r="S66" i="2" l="1"/>
  <c r="S68" i="2" l="1"/>
  <c r="S73" i="2"/>
  <c r="S72" i="2"/>
  <c r="AH163" i="3"/>
  <c r="AI159" i="3"/>
  <c r="S67" i="2"/>
  <c r="AI163" i="3" l="1"/>
  <c r="AJ159" i="3"/>
  <c r="S84" i="2"/>
  <c r="AJ163" i="3" l="1"/>
  <c r="AK159" i="3"/>
  <c r="AK163" i="3" l="1"/>
  <c r="AL159" i="3"/>
  <c r="T6" i="2"/>
  <c r="T7" i="2"/>
  <c r="T80" i="2"/>
  <c r="AM159" i="3" l="1"/>
  <c r="AL163" i="3"/>
  <c r="U7" i="2"/>
  <c r="U6" i="2"/>
  <c r="BH5" i="2"/>
  <c r="T21" i="2"/>
  <c r="T27" i="2"/>
  <c r="T18" i="2"/>
  <c r="T37" i="2"/>
  <c r="AN159" i="3" l="1"/>
  <c r="AM163" i="3"/>
  <c r="T29" i="2"/>
  <c r="AU299" i="70"/>
  <c r="AV4" i="70"/>
  <c r="AM308" i="12"/>
  <c r="BG5" i="2"/>
  <c r="AN4" i="12"/>
  <c r="BH13" i="2"/>
  <c r="BH138" i="2" s="1"/>
  <c r="U80" i="2"/>
  <c r="U21" i="2"/>
  <c r="I9" i="5"/>
  <c r="U37" i="2"/>
  <c r="U27" i="2"/>
  <c r="U18" i="2"/>
  <c r="T39" i="2" l="1"/>
  <c r="T40" i="2" s="1"/>
  <c r="T30" i="2"/>
  <c r="T31" i="2" s="1"/>
  <c r="AO159" i="3"/>
  <c r="AN163" i="3"/>
  <c r="X344" i="70"/>
  <c r="X348" i="70" s="1"/>
  <c r="U29" i="2"/>
  <c r="AV72" i="70"/>
  <c r="AV125" i="70" s="1"/>
  <c r="AV144" i="70"/>
  <c r="AV199" i="70"/>
  <c r="AV164" i="70"/>
  <c r="AV76" i="70"/>
  <c r="AV146" i="70"/>
  <c r="AV169" i="70"/>
  <c r="AV75" i="70"/>
  <c r="AV163" i="70"/>
  <c r="AV123" i="70"/>
  <c r="AV122" i="70"/>
  <c r="AV73" i="70"/>
  <c r="AV101" i="70"/>
  <c r="AV74" i="70"/>
  <c r="AW13" i="70"/>
  <c r="AV100" i="70"/>
  <c r="AV200" i="70"/>
  <c r="AV201" i="70"/>
  <c r="AV102" i="70"/>
  <c r="AV97" i="70"/>
  <c r="AV145" i="70"/>
  <c r="AV99" i="70"/>
  <c r="AV300" i="70"/>
  <c r="AV98" i="70"/>
  <c r="AV124" i="70"/>
  <c r="AV202" i="70"/>
  <c r="AV168" i="70"/>
  <c r="AL308" i="12"/>
  <c r="AT299" i="70"/>
  <c r="AU4" i="70"/>
  <c r="AV5" i="70" s="1"/>
  <c r="AN77" i="12"/>
  <c r="AN309" i="12"/>
  <c r="AO13" i="12"/>
  <c r="D6" i="4"/>
  <c r="AM4" i="12"/>
  <c r="BG6" i="2"/>
  <c r="H9" i="5"/>
  <c r="BG7" i="2"/>
  <c r="AN74" i="12"/>
  <c r="AN101" i="12"/>
  <c r="AN73" i="12"/>
  <c r="AN172" i="12"/>
  <c r="AN103" i="12"/>
  <c r="AN78" i="12"/>
  <c r="AN168" i="12"/>
  <c r="AN167" i="12"/>
  <c r="AN150" i="12"/>
  <c r="AN173" i="12"/>
  <c r="AN149" i="12"/>
  <c r="AN106" i="12"/>
  <c r="AN148" i="12"/>
  <c r="AN105" i="12"/>
  <c r="AN104" i="12"/>
  <c r="AN75" i="12"/>
  <c r="AN102" i="12"/>
  <c r="AN203" i="12"/>
  <c r="AN204" i="12"/>
  <c r="AN205" i="12"/>
  <c r="AN206" i="12"/>
  <c r="BH18" i="2"/>
  <c r="D74" i="7"/>
  <c r="BH80" i="2"/>
  <c r="AO163" i="3" l="1"/>
  <c r="AP159" i="3"/>
  <c r="T82" i="2"/>
  <c r="L174" i="3"/>
  <c r="T51" i="2"/>
  <c r="T58" i="2" s="1"/>
  <c r="U30" i="2"/>
  <c r="U31" i="2" s="1"/>
  <c r="X351" i="70"/>
  <c r="U39" i="2"/>
  <c r="AV170" i="70"/>
  <c r="AV3" i="70"/>
  <c r="Y344" i="70"/>
  <c r="Y348" i="70" s="1"/>
  <c r="AV126" i="70"/>
  <c r="AV127" i="70" s="1"/>
  <c r="AV103" i="70"/>
  <c r="AV147" i="70"/>
  <c r="T83" i="2"/>
  <c r="L176" i="3"/>
  <c r="AU74" i="70"/>
  <c r="AV83" i="70" s="1"/>
  <c r="AU75" i="70"/>
  <c r="AU144" i="70"/>
  <c r="AV151" i="70" s="1"/>
  <c r="AU73" i="70"/>
  <c r="AV82" i="70" s="1"/>
  <c r="AU124" i="70"/>
  <c r="AU132" i="70" s="1"/>
  <c r="AU3" i="70"/>
  <c r="AU99" i="70"/>
  <c r="AU108" i="70" s="1"/>
  <c r="AU146" i="70"/>
  <c r="AV153" i="70" s="1"/>
  <c r="AU100" i="70"/>
  <c r="AV109" i="70" s="1"/>
  <c r="AU202" i="70"/>
  <c r="AV208" i="70" s="1"/>
  <c r="AU98" i="70"/>
  <c r="AU107" i="70" s="1"/>
  <c r="AU123" i="70"/>
  <c r="AU131" i="70" s="1"/>
  <c r="AU101" i="70"/>
  <c r="AU110" i="70" s="1"/>
  <c r="AU122" i="70"/>
  <c r="AV130" i="70" s="1"/>
  <c r="AU102" i="70"/>
  <c r="AU111" i="70" s="1"/>
  <c r="AU76" i="70"/>
  <c r="AU85" i="70" s="1"/>
  <c r="AU199" i="70"/>
  <c r="AV205" i="70" s="1"/>
  <c r="AU72" i="70"/>
  <c r="AU125" i="70" s="1"/>
  <c r="AU133" i="70" s="1"/>
  <c r="AU200" i="70"/>
  <c r="AU300" i="70"/>
  <c r="AU97" i="70"/>
  <c r="AU106" i="70" s="1"/>
  <c r="AU145" i="70"/>
  <c r="AV152" i="70" s="1"/>
  <c r="AU5" i="70"/>
  <c r="AU201" i="70"/>
  <c r="AV165" i="70"/>
  <c r="AV78" i="70"/>
  <c r="AV79" i="70" s="1"/>
  <c r="AN131" i="12"/>
  <c r="AM77" i="12"/>
  <c r="H10" i="5"/>
  <c r="C5" i="4"/>
  <c r="AN5" i="12"/>
  <c r="AM148" i="12"/>
  <c r="AN155" i="12" s="1"/>
  <c r="AM149" i="12"/>
  <c r="AN156" i="12" s="1"/>
  <c r="AM150" i="12"/>
  <c r="AN157" i="12" s="1"/>
  <c r="AM5" i="12"/>
  <c r="D22" i="4"/>
  <c r="I10" i="5"/>
  <c r="AM309" i="12"/>
  <c r="AM101" i="12"/>
  <c r="AN110" i="12" s="1"/>
  <c r="AM102" i="12"/>
  <c r="AM205" i="12"/>
  <c r="AM106" i="12"/>
  <c r="AM73" i="12"/>
  <c r="AM206" i="12"/>
  <c r="AU206" i="12" s="1"/>
  <c r="AM104" i="12"/>
  <c r="AN113" i="12" s="1"/>
  <c r="AM74" i="12"/>
  <c r="AM204" i="12"/>
  <c r="AU204" i="12" s="1"/>
  <c r="AM105" i="12"/>
  <c r="AM78" i="12"/>
  <c r="AM3" i="12"/>
  <c r="AT201" i="12" s="1"/>
  <c r="AM75" i="12"/>
  <c r="AM103" i="12"/>
  <c r="AM203" i="12"/>
  <c r="AN3" i="12"/>
  <c r="AU201" i="12" s="1"/>
  <c r="AN169" i="12"/>
  <c r="AN174" i="12"/>
  <c r="AN151" i="12"/>
  <c r="AN107" i="12"/>
  <c r="AN80" i="12"/>
  <c r="AN81" i="12" s="1"/>
  <c r="T57" i="2"/>
  <c r="J42" i="8"/>
  <c r="AQ159" i="3" l="1"/>
  <c r="AP163" i="3"/>
  <c r="T61" i="2"/>
  <c r="X345" i="70" s="1"/>
  <c r="X347" i="70" s="1"/>
  <c r="U40" i="2"/>
  <c r="U83" i="2" s="1"/>
  <c r="U51" i="2"/>
  <c r="U58" i="2" s="1"/>
  <c r="U82" i="2"/>
  <c r="M174" i="3"/>
  <c r="Y351" i="70"/>
  <c r="AV81" i="70"/>
  <c r="AV111" i="70"/>
  <c r="AV133" i="70"/>
  <c r="AU205" i="70"/>
  <c r="AU103" i="70"/>
  <c r="AU109" i="70"/>
  <c r="AU207" i="70"/>
  <c r="AV207" i="70"/>
  <c r="AU147" i="70"/>
  <c r="AU130" i="70"/>
  <c r="AU126" i="70"/>
  <c r="AU134" i="70" s="1"/>
  <c r="AV107" i="70"/>
  <c r="AV108" i="70"/>
  <c r="AV132" i="70"/>
  <c r="AV85" i="70"/>
  <c r="AV110" i="70"/>
  <c r="AU206" i="70"/>
  <c r="AV206" i="70"/>
  <c r="AU78" i="70"/>
  <c r="AU79" i="70" s="1"/>
  <c r="AX79" i="70" s="1"/>
  <c r="AU208" i="70"/>
  <c r="AV131" i="70"/>
  <c r="AV106" i="70"/>
  <c r="AU203" i="12"/>
  <c r="AN211" i="12"/>
  <c r="AN212" i="12"/>
  <c r="AM151" i="12"/>
  <c r="AN112" i="12"/>
  <c r="AN85" i="12"/>
  <c r="AN83" i="12"/>
  <c r="AN84" i="12"/>
  <c r="AN88" i="12"/>
  <c r="AM88" i="12"/>
  <c r="AN209" i="12"/>
  <c r="AN114" i="12"/>
  <c r="AN111" i="12"/>
  <c r="AM80" i="12"/>
  <c r="AM81" i="12" s="1"/>
  <c r="AP81" i="12" s="1"/>
  <c r="AT205" i="12"/>
  <c r="AT207" i="12" s="1"/>
  <c r="AM211" i="12"/>
  <c r="AT204" i="12"/>
  <c r="AM210" i="12"/>
  <c r="AN210" i="12"/>
  <c r="AN115" i="12"/>
  <c r="AU205" i="12"/>
  <c r="AT203" i="12"/>
  <c r="AM209" i="12"/>
  <c r="AM107" i="12"/>
  <c r="AM212" i="12"/>
  <c r="AT206" i="12"/>
  <c r="J5" i="8"/>
  <c r="AR159" i="3" l="1"/>
  <c r="AQ163" i="3"/>
  <c r="T66" i="2"/>
  <c r="T67" i="2" s="1"/>
  <c r="T84" i="2" s="1"/>
  <c r="T62" i="2"/>
  <c r="X350" i="70"/>
  <c r="U57" i="2"/>
  <c r="M176" i="3"/>
  <c r="U61" i="2"/>
  <c r="Y345" i="70" s="1"/>
  <c r="Y347" i="70" s="1"/>
  <c r="AV134" i="70"/>
  <c r="AU127" i="70"/>
  <c r="AM131" i="12"/>
  <c r="J27" i="8"/>
  <c r="BH83" i="2"/>
  <c r="BH57" i="2"/>
  <c r="D26" i="4" s="1"/>
  <c r="BH66" i="2"/>
  <c r="AR163" i="3" l="1"/>
  <c r="AS159" i="3"/>
  <c r="AS163" i="3" s="1"/>
  <c r="T73" i="2"/>
  <c r="T72" i="2"/>
  <c r="T68" i="2"/>
  <c r="Y350" i="70"/>
  <c r="U62" i="2"/>
  <c r="J44" i="8"/>
  <c r="D24" i="4"/>
  <c r="I15" i="5"/>
  <c r="BH68" i="2"/>
  <c r="D10" i="4" s="1"/>
  <c r="BH94" i="2"/>
  <c r="BH96" i="2"/>
  <c r="U66" i="2"/>
  <c r="BH67" i="2"/>
  <c r="J92" i="8"/>
  <c r="U68" i="2" l="1"/>
  <c r="U73" i="2"/>
  <c r="U72" i="2"/>
  <c r="J47" i="8"/>
  <c r="BH84" i="2"/>
  <c r="U67" i="2"/>
  <c r="J79" i="8" l="1"/>
  <c r="J81" i="8" s="1"/>
  <c r="D37" i="4"/>
  <c r="J48" i="8"/>
  <c r="J84" i="8"/>
  <c r="D25" i="4"/>
  <c r="D48" i="4" s="1"/>
  <c r="U84" i="2"/>
  <c r="J89" i="8" l="1"/>
  <c r="J96" i="8"/>
  <c r="C64" i="4"/>
  <c r="C72" i="4" s="1"/>
  <c r="I86" i="8"/>
  <c r="I88" i="8" s="1"/>
  <c r="H17" i="5" l="1"/>
  <c r="C65" i="4"/>
  <c r="C73" i="4" s="1"/>
  <c r="H86" i="8" l="1"/>
  <c r="H88" i="8" s="1"/>
  <c r="G16" i="5" l="1"/>
  <c r="G17" i="5" l="1"/>
  <c r="D64" i="4" l="1"/>
  <c r="D72" i="4" l="1"/>
  <c r="I17" i="5" l="1"/>
  <c r="BH88" i="2"/>
  <c r="BH89" i="2" l="1"/>
  <c r="BH93" i="2" l="1"/>
  <c r="D7" i="7" l="1"/>
  <c r="D54" i="4" l="1"/>
  <c r="I24" i="5" s="1"/>
  <c r="D35" i="7"/>
  <c r="D31" i="4" s="1"/>
  <c r="I22" i="5" l="1"/>
  <c r="D80" i="4"/>
  <c r="I21" i="5"/>
  <c r="D54" i="7"/>
  <c r="K7" i="8" l="1"/>
  <c r="J85" i="8"/>
  <c r="J99" i="8" l="1"/>
  <c r="E54" i="7" l="1"/>
  <c r="D67" i="7"/>
  <c r="D55" i="4"/>
  <c r="K80" i="8"/>
  <c r="J82" i="8"/>
  <c r="F96" i="7" l="1"/>
  <c r="D147" i="7"/>
  <c r="D57" i="4" s="1"/>
  <c r="D69" i="7"/>
  <c r="D71" i="7" l="1"/>
  <c r="F92" i="7"/>
  <c r="D59" i="4"/>
  <c r="D58" i="4"/>
  <c r="D43" i="4"/>
  <c r="D34" i="4"/>
  <c r="D49" i="4" s="1"/>
  <c r="D33" i="4"/>
  <c r="D32" i="4"/>
  <c r="D50" i="4"/>
  <c r="D60" i="4" l="1"/>
  <c r="D44" i="4"/>
  <c r="E114" i="7"/>
  <c r="F113" i="7"/>
  <c r="D51" i="4"/>
  <c r="BH21" i="2" l="1"/>
  <c r="M137" i="3"/>
  <c r="M138" i="3" s="1"/>
  <c r="D132" i="7" l="1"/>
  <c r="BH30" i="2" l="1"/>
  <c r="J93" i="8"/>
  <c r="V6" i="2"/>
  <c r="V7" i="2"/>
  <c r="BH31" i="2" l="1"/>
  <c r="J97" i="8"/>
  <c r="J100" i="8"/>
  <c r="BH82" i="2"/>
  <c r="M175" i="3"/>
  <c r="I26" i="5"/>
  <c r="V21" i="2"/>
  <c r="W6" i="2"/>
  <c r="W7" i="2"/>
  <c r="V37" i="2"/>
  <c r="D23" i="4" l="1"/>
  <c r="Q137" i="3"/>
  <c r="Q138" i="3" s="1"/>
  <c r="W37" i="2"/>
  <c r="X6" i="2"/>
  <c r="X7" i="2"/>
  <c r="W21" i="2"/>
  <c r="BI5" i="2" l="1"/>
  <c r="X21" i="2"/>
  <c r="Y7" i="2"/>
  <c r="Y6" i="2"/>
  <c r="X37" i="2"/>
  <c r="AW4" i="70" l="1"/>
  <c r="AV299" i="70"/>
  <c r="AN308" i="12"/>
  <c r="AO4" i="12"/>
  <c r="BI12" i="2"/>
  <c r="J9" i="5"/>
  <c r="BI6" i="2"/>
  <c r="Y37" i="2"/>
  <c r="BI22" i="2"/>
  <c r="Y21" i="2"/>
  <c r="BI20" i="2"/>
  <c r="BI189" i="2" l="1"/>
  <c r="BI201" i="2"/>
  <c r="BI190" i="2"/>
  <c r="BI202" i="2"/>
  <c r="BI185" i="2"/>
  <c r="BI204" i="2"/>
  <c r="BI199" i="2"/>
  <c r="BI206" i="2"/>
  <c r="BI184" i="2"/>
  <c r="BI196" i="2"/>
  <c r="BI191" i="2"/>
  <c r="BI203" i="2"/>
  <c r="BI186" i="2"/>
  <c r="BI198" i="2"/>
  <c r="BI181" i="2"/>
  <c r="BI193" i="2"/>
  <c r="BI205" i="2"/>
  <c r="BI188" i="2"/>
  <c r="BI200" i="2"/>
  <c r="BI183" i="2"/>
  <c r="BI195" i="2"/>
  <c r="BI197" i="2"/>
  <c r="BI187" i="2"/>
  <c r="BI182" i="2"/>
  <c r="BI194" i="2"/>
  <c r="BI192" i="2"/>
  <c r="BI207" i="2"/>
  <c r="BI133" i="2"/>
  <c r="BI134" i="2"/>
  <c r="AW144" i="70"/>
  <c r="AW72" i="70"/>
  <c r="AW125" i="70" s="1"/>
  <c r="AW74" i="70"/>
  <c r="AW126" i="70" s="1"/>
  <c r="AW134" i="70" s="1"/>
  <c r="AW169" i="70"/>
  <c r="AW122" i="70"/>
  <c r="AW75" i="70"/>
  <c r="AW124" i="70"/>
  <c r="AW163" i="70"/>
  <c r="AW200" i="70"/>
  <c r="AW206" i="70" s="1"/>
  <c r="AW73" i="70"/>
  <c r="AW76" i="70"/>
  <c r="AW85" i="70" s="1"/>
  <c r="AW202" i="70"/>
  <c r="AW208" i="70" s="1"/>
  <c r="AW16" i="70"/>
  <c r="AX16" i="70" s="1"/>
  <c r="AW168" i="70"/>
  <c r="AW123" i="70"/>
  <c r="AW3" i="70"/>
  <c r="AW201" i="70"/>
  <c r="AW207" i="70" s="1"/>
  <c r="AW102" i="70"/>
  <c r="AW111" i="70" s="1"/>
  <c r="AW5" i="70"/>
  <c r="AW97" i="70"/>
  <c r="AW199" i="70"/>
  <c r="AW205" i="70" s="1"/>
  <c r="AW100" i="70"/>
  <c r="AW101" i="70"/>
  <c r="AW146" i="70"/>
  <c r="AW99" i="70"/>
  <c r="AW300" i="70"/>
  <c r="AW145" i="70"/>
  <c r="AW98" i="70"/>
  <c r="AW164" i="70"/>
  <c r="AO77" i="12"/>
  <c r="E130" i="7"/>
  <c r="E131" i="7"/>
  <c r="AO16" i="12"/>
  <c r="AP16" i="12" s="1"/>
  <c r="J10" i="5"/>
  <c r="AO309" i="12"/>
  <c r="AO3" i="12"/>
  <c r="E35" i="4"/>
  <c r="E18" i="4"/>
  <c r="E36" i="4"/>
  <c r="E19" i="4"/>
  <c r="BI38" i="2"/>
  <c r="E16" i="4"/>
  <c r="E17" i="4"/>
  <c r="J14" i="5"/>
  <c r="E142" i="7"/>
  <c r="E143" i="7" s="1"/>
  <c r="E38" i="4" s="1"/>
  <c r="E5" i="4"/>
  <c r="AO5" i="12"/>
  <c r="BI23" i="2"/>
  <c r="BI80" i="2"/>
  <c r="BI81" i="2"/>
  <c r="AO148" i="12"/>
  <c r="AO106" i="12"/>
  <c r="AO115" i="12" s="1"/>
  <c r="AO204" i="12"/>
  <c r="AO203" i="12"/>
  <c r="AO74" i="12"/>
  <c r="AO150" i="12"/>
  <c r="AO205" i="12"/>
  <c r="AO78" i="12"/>
  <c r="AO75" i="12"/>
  <c r="AO168" i="12"/>
  <c r="AO172" i="12"/>
  <c r="AO101" i="12"/>
  <c r="AO73" i="12"/>
  <c r="AO167" i="12"/>
  <c r="AO149" i="12"/>
  <c r="AO103" i="12"/>
  <c r="AO206" i="12"/>
  <c r="AO212" i="12" s="1"/>
  <c r="AO104" i="12"/>
  <c r="AO102" i="12"/>
  <c r="AO105" i="12"/>
  <c r="AO173" i="12"/>
  <c r="BI21" i="2"/>
  <c r="BI13" i="2"/>
  <c r="BI138" i="2" s="1"/>
  <c r="E74" i="7"/>
  <c r="AW170" i="70" l="1"/>
  <c r="AW165" i="70"/>
  <c r="AW106" i="70"/>
  <c r="AW103" i="70"/>
  <c r="AW147" i="70"/>
  <c r="AW130" i="70"/>
  <c r="AW127" i="70"/>
  <c r="AW78" i="70"/>
  <c r="AO131" i="12"/>
  <c r="AO80" i="12"/>
  <c r="AO88" i="12"/>
  <c r="AO209" i="12"/>
  <c r="AO211" i="12"/>
  <c r="AO210" i="12"/>
  <c r="E22" i="4"/>
  <c r="AO169" i="12"/>
  <c r="E6" i="4"/>
  <c r="AO151" i="12"/>
  <c r="AO107" i="12"/>
  <c r="AO110" i="12"/>
  <c r="AO174" i="12"/>
  <c r="L157" i="3" l="1"/>
  <c r="L158" i="3" s="1"/>
  <c r="M157" i="3"/>
  <c r="M158" i="3" l="1"/>
  <c r="N158" i="3"/>
  <c r="V18" i="2"/>
  <c r="V80" i="2"/>
  <c r="V27" i="2"/>
  <c r="V29" i="2" l="1"/>
  <c r="W80" i="2"/>
  <c r="W18" i="2"/>
  <c r="W27" i="2"/>
  <c r="V39" i="2" l="1"/>
  <c r="V30" i="2"/>
  <c r="V31" i="2" s="1"/>
  <c r="Z344" i="70"/>
  <c r="Z348" i="70" s="1"/>
  <c r="W29" i="2"/>
  <c r="AA344" i="70" s="1"/>
  <c r="X27" i="2"/>
  <c r="X80" i="2"/>
  <c r="X18" i="2"/>
  <c r="V82" i="2" l="1"/>
  <c r="N174" i="3"/>
  <c r="V51" i="2"/>
  <c r="V58" i="2" s="1"/>
  <c r="V40" i="2"/>
  <c r="V83" i="2" s="1"/>
  <c r="Z351" i="70"/>
  <c r="W39" i="2"/>
  <c r="W30" i="2"/>
  <c r="W31" i="2" s="1"/>
  <c r="X29" i="2"/>
  <c r="X30" i="2" s="1"/>
  <c r="X31" i="2" s="1"/>
  <c r="AA351" i="70"/>
  <c r="AA348" i="70"/>
  <c r="Y80" i="2"/>
  <c r="Y18" i="2"/>
  <c r="Y27" i="2"/>
  <c r="N176" i="3" l="1"/>
  <c r="W40" i="2"/>
  <c r="O176" i="3" s="1"/>
  <c r="W51" i="2"/>
  <c r="W58" i="2" s="1"/>
  <c r="V61" i="2"/>
  <c r="V66" i="2" s="1"/>
  <c r="V57" i="2"/>
  <c r="O174" i="3"/>
  <c r="W82" i="2"/>
  <c r="X39" i="2"/>
  <c r="X51" i="2" s="1"/>
  <c r="X58" i="2" s="1"/>
  <c r="AB344" i="70"/>
  <c r="AB348" i="70" s="1"/>
  <c r="Y29" i="2"/>
  <c r="AC344" i="70" s="1"/>
  <c r="AC351" i="70" s="1"/>
  <c r="W83" i="2"/>
  <c r="P174" i="3"/>
  <c r="X82" i="2"/>
  <c r="BI18" i="2"/>
  <c r="BI27" i="2"/>
  <c r="W57" i="2" l="1"/>
  <c r="W61" i="2"/>
  <c r="AA345" i="70" s="1"/>
  <c r="Z345" i="70"/>
  <c r="Z347" i="70" s="1"/>
  <c r="V62" i="2"/>
  <c r="V68" i="2"/>
  <c r="V72" i="2"/>
  <c r="V73" i="2"/>
  <c r="X40" i="2"/>
  <c r="P176" i="3" s="1"/>
  <c r="AB351" i="70"/>
  <c r="Y39" i="2"/>
  <c r="AC348" i="70"/>
  <c r="Y30" i="2"/>
  <c r="Y31" i="2" s="1"/>
  <c r="E15" i="4"/>
  <c r="E132" i="7"/>
  <c r="E136" i="7"/>
  <c r="E137" i="7" s="1"/>
  <c r="E40" i="4" s="1"/>
  <c r="E41" i="4" s="1"/>
  <c r="J23" i="5" s="1"/>
  <c r="X57" i="2"/>
  <c r="X61" i="2"/>
  <c r="AB345" i="70" s="1"/>
  <c r="V67" i="2"/>
  <c r="E33" i="7"/>
  <c r="BI29" i="2"/>
  <c r="W66" i="2" l="1"/>
  <c r="W67" i="2" s="1"/>
  <c r="W62" i="2"/>
  <c r="Z350" i="70"/>
  <c r="X83" i="2"/>
  <c r="Y82" i="2"/>
  <c r="Q174" i="3"/>
  <c r="Y51" i="2"/>
  <c r="Y40" i="2"/>
  <c r="Q176" i="3" s="1"/>
  <c r="AB350" i="70"/>
  <c r="AB347" i="70"/>
  <c r="AW344" i="70"/>
  <c r="AA347" i="70"/>
  <c r="AA350" i="70"/>
  <c r="X62" i="2"/>
  <c r="E45" i="4"/>
  <c r="E61" i="4"/>
  <c r="V84" i="2"/>
  <c r="J25" i="5"/>
  <c r="BI32" i="2"/>
  <c r="E7" i="4" s="1"/>
  <c r="K42" i="8"/>
  <c r="BI30" i="2"/>
  <c r="K93" i="8"/>
  <c r="BI39" i="2"/>
  <c r="W73" i="2" l="1"/>
  <c r="W72" i="2"/>
  <c r="W68" i="2"/>
  <c r="Y83" i="2"/>
  <c r="Y85" i="2" s="1"/>
  <c r="BI42" i="2"/>
  <c r="AW348" i="70"/>
  <c r="AW351" i="70"/>
  <c r="BI41" i="2"/>
  <c r="E8" i="4" s="1"/>
  <c r="W84" i="2"/>
  <c r="BI51" i="2"/>
  <c r="BI82" i="2"/>
  <c r="BI31" i="2"/>
  <c r="X66" i="2"/>
  <c r="Q175" i="3"/>
  <c r="J26" i="5"/>
  <c r="BI40" i="2"/>
  <c r="X73" i="2" l="1"/>
  <c r="X72" i="2"/>
  <c r="X67" i="2"/>
  <c r="X84" i="2" s="1"/>
  <c r="X68" i="2"/>
  <c r="BI58" i="2"/>
  <c r="E23" i="4"/>
  <c r="BI83" i="2"/>
  <c r="K5" i="8"/>
  <c r="BI61" i="2" l="1"/>
  <c r="E24" i="4"/>
  <c r="BI62" i="2" l="1"/>
  <c r="E9" i="4" s="1"/>
  <c r="BI71" i="2"/>
  <c r="BI91" i="2" s="1"/>
  <c r="AW345" i="70"/>
  <c r="E82" i="4" l="1"/>
  <c r="E69" i="4"/>
  <c r="AW347" i="70"/>
  <c r="AW350" i="70"/>
  <c r="E81" i="4" l="1"/>
  <c r="BH71" i="2" l="1"/>
  <c r="BH91" i="2" s="1"/>
  <c r="BH70" i="2"/>
  <c r="D65" i="4" l="1"/>
  <c r="D73" i="4" s="1"/>
  <c r="J86" i="8"/>
  <c r="J88" i="8" s="1"/>
  <c r="D82" i="4" l="1"/>
  <c r="D69" i="4"/>
  <c r="D81" i="4" l="1"/>
  <c r="D96" i="7" l="1"/>
  <c r="D97" i="7" s="1"/>
  <c r="C100" i="7"/>
  <c r="D76" i="7" s="1"/>
  <c r="C97" i="7"/>
  <c r="Y58" i="2"/>
  <c r="Y57" i="2"/>
  <c r="K27" i="8" l="1"/>
  <c r="BI66" i="2"/>
  <c r="Y61" i="2"/>
  <c r="AC345" i="70" s="1"/>
  <c r="BI57" i="2"/>
  <c r="E26" i="4" s="1"/>
  <c r="AC347" i="70" l="1"/>
  <c r="AC350" i="70"/>
  <c r="K44" i="8"/>
  <c r="BI68" i="2"/>
  <c r="E10" i="4" s="1"/>
  <c r="Y62" i="2"/>
  <c r="J15" i="5"/>
  <c r="Y66" i="2"/>
  <c r="BI67" i="2"/>
  <c r="K92" i="8"/>
  <c r="Y68" i="2" l="1"/>
  <c r="Y73" i="2"/>
  <c r="Y72" i="2"/>
  <c r="K47" i="8"/>
  <c r="K48" i="8" s="1"/>
  <c r="BI84" i="2"/>
  <c r="BI70" i="2"/>
  <c r="Y67" i="2"/>
  <c r="E64" i="4"/>
  <c r="K84" i="8" l="1"/>
  <c r="K85" i="8"/>
  <c r="E37" i="4"/>
  <c r="E72" i="4"/>
  <c r="E25" i="4"/>
  <c r="E48" i="4" s="1"/>
  <c r="Y84" i="2"/>
  <c r="E65" i="4"/>
  <c r="E73" i="4" s="1"/>
  <c r="BI94" i="2"/>
  <c r="K97" i="8" l="1"/>
  <c r="K96" i="8"/>
  <c r="K86" i="8"/>
  <c r="K88" i="8" s="1"/>
  <c r="K89" i="8"/>
  <c r="K99" i="8"/>
  <c r="K100" i="8"/>
  <c r="J17" i="5"/>
  <c r="BI88" i="2"/>
  <c r="BI89" i="2" l="1"/>
  <c r="BI93" i="2" s="1"/>
  <c r="K75" i="8" l="1"/>
  <c r="K79" i="8" l="1"/>
  <c r="K81" i="8" s="1"/>
  <c r="L80" i="8" s="1"/>
  <c r="E7" i="7"/>
  <c r="E55" i="4" l="1"/>
  <c r="K82" i="8"/>
  <c r="E67" i="7"/>
  <c r="E54" i="4"/>
  <c r="J24" i="5" s="1"/>
  <c r="E35" i="7"/>
  <c r="E31" i="4" s="1"/>
  <c r="J22" i="5" l="1"/>
  <c r="J21" i="5"/>
  <c r="E147" i="7"/>
  <c r="E57" i="4" s="1"/>
  <c r="E80" i="4"/>
  <c r="E69" i="7"/>
  <c r="E43" i="4" l="1"/>
  <c r="E59" i="4"/>
  <c r="E58" i="4"/>
  <c r="E34" i="4"/>
  <c r="E49" i="4" s="1"/>
  <c r="E32" i="4"/>
  <c r="E33" i="4"/>
  <c r="E50" i="4"/>
  <c r="E71" i="7"/>
  <c r="E60" i="4" l="1"/>
  <c r="E44" i="4"/>
  <c r="E51" i="4"/>
  <c r="Q163" i="3" l="1"/>
  <c r="Q162" i="3" s="1"/>
  <c r="Q157" i="3" s="1"/>
  <c r="R158" i="3" s="1"/>
  <c r="Q158" i="3" l="1"/>
  <c r="Z6" i="2" l="1"/>
  <c r="Z7" i="2"/>
  <c r="T57" i="3" l="1"/>
  <c r="Z27" i="2"/>
  <c r="Z29" i="2" s="1"/>
  <c r="AD344" i="70" s="1"/>
  <c r="Z81" i="2"/>
  <c r="Z80" i="2"/>
  <c r="Z18" i="2"/>
  <c r="AA7" i="2"/>
  <c r="AA6" i="2"/>
  <c r="Z21" i="2"/>
  <c r="Z24" i="2" s="1"/>
  <c r="BD56" i="3"/>
  <c r="S155" i="3"/>
  <c r="AD348" i="70" l="1"/>
  <c r="AD351" i="70"/>
  <c r="AA36" i="2"/>
  <c r="U57" i="3"/>
  <c r="BD77" i="3"/>
  <c r="BD78" i="3" s="1"/>
  <c r="U137" i="3"/>
  <c r="U138" i="3" s="1"/>
  <c r="BD57" i="3"/>
  <c r="Z30" i="2"/>
  <c r="Z39" i="2"/>
  <c r="AA27" i="2"/>
  <c r="AA29" i="2" s="1"/>
  <c r="AE344" i="70" s="1"/>
  <c r="AA80" i="2"/>
  <c r="AA81" i="2"/>
  <c r="AA18" i="2"/>
  <c r="AA21" i="2"/>
  <c r="AB6" i="2"/>
  <c r="AB7" i="2"/>
  <c r="AE348" i="70" l="1"/>
  <c r="AE351" i="70"/>
  <c r="BJ5" i="2"/>
  <c r="U4" i="12"/>
  <c r="Q308" i="12" s="1"/>
  <c r="T6" i="12"/>
  <c r="T204" i="12"/>
  <c r="T222" i="12" s="1"/>
  <c r="T228" i="12" s="1"/>
  <c r="T167" i="12"/>
  <c r="T149" i="12"/>
  <c r="T105" i="12"/>
  <c r="T101" i="12"/>
  <c r="T300" i="12"/>
  <c r="T172" i="12"/>
  <c r="T168" i="12"/>
  <c r="T106" i="12"/>
  <c r="T203" i="12"/>
  <c r="T221" i="12" s="1"/>
  <c r="T227" i="12" s="1"/>
  <c r="T173" i="12"/>
  <c r="T148" i="12"/>
  <c r="T104" i="12"/>
  <c r="T309" i="12"/>
  <c r="T206" i="12"/>
  <c r="T224" i="12" s="1"/>
  <c r="T230" i="12" s="1"/>
  <c r="T103" i="12"/>
  <c r="T3" i="12"/>
  <c r="T205" i="12"/>
  <c r="T223" i="12" s="1"/>
  <c r="T229" i="12" s="1"/>
  <c r="T150" i="12"/>
  <c r="T102" i="12"/>
  <c r="T5" i="12"/>
  <c r="AA30" i="2"/>
  <c r="S174" i="3" s="1"/>
  <c r="AA39" i="2"/>
  <c r="AB21" i="2"/>
  <c r="Z40" i="2"/>
  <c r="Z51" i="2"/>
  <c r="Z57" i="2" s="1"/>
  <c r="Z31" i="2"/>
  <c r="Z32" i="2" s="1"/>
  <c r="Z82" i="2"/>
  <c r="R174" i="3"/>
  <c r="AC7" i="2"/>
  <c r="AC6" i="2"/>
  <c r="AW299" i="70" l="1"/>
  <c r="AX4" i="70"/>
  <c r="Z83" i="2"/>
  <c r="R176" i="3"/>
  <c r="U129" i="12"/>
  <c r="U130" i="12"/>
  <c r="U126" i="12"/>
  <c r="U127" i="12"/>
  <c r="U128" i="12"/>
  <c r="U77" i="12"/>
  <c r="U118" i="3" s="1"/>
  <c r="BD118" i="3" s="1"/>
  <c r="BD119" i="3" s="1"/>
  <c r="U310" i="12"/>
  <c r="K9" i="5"/>
  <c r="AO308" i="12"/>
  <c r="BJ6" i="2"/>
  <c r="AP4" i="12"/>
  <c r="AP17" i="12" s="1"/>
  <c r="U168" i="12"/>
  <c r="U103" i="12"/>
  <c r="U74" i="12"/>
  <c r="U5" i="12"/>
  <c r="U300" i="12"/>
  <c r="U148" i="12"/>
  <c r="U104" i="12"/>
  <c r="U173" i="12"/>
  <c r="U167" i="12"/>
  <c r="U150" i="12"/>
  <c r="U106" i="12"/>
  <c r="U102" i="12"/>
  <c r="U73" i="12"/>
  <c r="U309" i="12"/>
  <c r="U75" i="12"/>
  <c r="U172" i="12"/>
  <c r="U149" i="12"/>
  <c r="U105" i="12"/>
  <c r="U101" i="12"/>
  <c r="U78" i="12"/>
  <c r="U3" i="12"/>
  <c r="U6" i="12"/>
  <c r="U206" i="12"/>
  <c r="U203" i="12"/>
  <c r="U204" i="12"/>
  <c r="U205" i="12"/>
  <c r="T169" i="12"/>
  <c r="T174" i="12"/>
  <c r="T157" i="12"/>
  <c r="T164" i="12"/>
  <c r="T211" i="12"/>
  <c r="T217" i="12"/>
  <c r="T215" i="12"/>
  <c r="T209" i="12"/>
  <c r="T121" i="12"/>
  <c r="T113" i="12"/>
  <c r="T115" i="12"/>
  <c r="T123" i="12"/>
  <c r="T107" i="12"/>
  <c r="T118" i="12"/>
  <c r="T110" i="12"/>
  <c r="T216" i="12"/>
  <c r="T210" i="12"/>
  <c r="T212" i="12"/>
  <c r="T218" i="12"/>
  <c r="T156" i="12"/>
  <c r="T163" i="12"/>
  <c r="T111" i="12"/>
  <c r="T119" i="12"/>
  <c r="T120" i="12"/>
  <c r="T112" i="12"/>
  <c r="T151" i="12"/>
  <c r="T155" i="12"/>
  <c r="T162" i="12"/>
  <c r="T122" i="12"/>
  <c r="T114" i="12"/>
  <c r="BJ12" i="2"/>
  <c r="AA82" i="2"/>
  <c r="AA31" i="2"/>
  <c r="AC21" i="2"/>
  <c r="BJ20" i="2"/>
  <c r="AA40" i="2"/>
  <c r="BJ134" i="2" l="1"/>
  <c r="BJ182" i="2"/>
  <c r="BJ194" i="2"/>
  <c r="BJ206" i="2"/>
  <c r="BJ195" i="2"/>
  <c r="BJ192" i="2"/>
  <c r="BJ199" i="2"/>
  <c r="BJ189" i="2"/>
  <c r="BJ201" i="2"/>
  <c r="BJ184" i="2"/>
  <c r="BJ196" i="2"/>
  <c r="BJ191" i="2"/>
  <c r="BJ203" i="2"/>
  <c r="BJ186" i="2"/>
  <c r="BJ198" i="2"/>
  <c r="BJ181" i="2"/>
  <c r="BJ193" i="2"/>
  <c r="BJ188" i="2"/>
  <c r="BJ200" i="2"/>
  <c r="BJ183" i="2"/>
  <c r="BJ190" i="2"/>
  <c r="BJ202" i="2"/>
  <c r="BJ197" i="2"/>
  <c r="BJ187" i="2"/>
  <c r="BJ185" i="2"/>
  <c r="BJ205" i="2"/>
  <c r="BJ204" i="2"/>
  <c r="BJ207" i="2"/>
  <c r="BJ133" i="2"/>
  <c r="F131" i="7"/>
  <c r="U169" i="12"/>
  <c r="AA83" i="2"/>
  <c r="S176" i="3"/>
  <c r="AX98" i="70"/>
  <c r="AX107" i="70" s="1"/>
  <c r="AX99" i="70"/>
  <c r="AX108" i="70" s="1"/>
  <c r="AX72" i="70"/>
  <c r="AX169" i="70"/>
  <c r="AX3" i="70"/>
  <c r="AX168" i="70"/>
  <c r="AX144" i="70"/>
  <c r="AX201" i="70"/>
  <c r="AX207" i="70" s="1"/>
  <c r="AX102" i="70"/>
  <c r="AX74" i="70"/>
  <c r="AX83" i="70" s="1"/>
  <c r="AX76" i="70"/>
  <c r="AX85" i="70" s="1"/>
  <c r="AX199" i="70"/>
  <c r="AX205" i="70" s="1"/>
  <c r="AX75" i="70"/>
  <c r="AX145" i="70"/>
  <c r="AX152" i="70" s="1"/>
  <c r="AX73" i="70"/>
  <c r="AX82" i="70" s="1"/>
  <c r="AX163" i="70"/>
  <c r="AX164" i="70"/>
  <c r="AX123" i="70"/>
  <c r="AX131" i="70" s="1"/>
  <c r="AX5" i="70"/>
  <c r="AX124" i="70"/>
  <c r="AX132" i="70" s="1"/>
  <c r="AX200" i="70"/>
  <c r="AX206" i="70" s="1"/>
  <c r="AX97" i="70"/>
  <c r="AX101" i="70"/>
  <c r="AX146" i="70"/>
  <c r="AX153" i="70" s="1"/>
  <c r="AH293" i="70"/>
  <c r="AX122" i="70"/>
  <c r="AX100" i="70"/>
  <c r="AX202" i="70"/>
  <c r="AX208" i="70" s="1"/>
  <c r="AX300" i="70"/>
  <c r="AX17" i="70"/>
  <c r="U131" i="12"/>
  <c r="AP77" i="12"/>
  <c r="AP167" i="12"/>
  <c r="AP149" i="12"/>
  <c r="AP106" i="12"/>
  <c r="AP102" i="12"/>
  <c r="AP75" i="12"/>
  <c r="AP173" i="12"/>
  <c r="AP105" i="12"/>
  <c r="AP74" i="12"/>
  <c r="AP78" i="12"/>
  <c r="AP309" i="12"/>
  <c r="AP73" i="12"/>
  <c r="AP168" i="12"/>
  <c r="AP148" i="12"/>
  <c r="AP150" i="12"/>
  <c r="AP104" i="12"/>
  <c r="AP101" i="12"/>
  <c r="AP172" i="12"/>
  <c r="AP103" i="12"/>
  <c r="AP204" i="12"/>
  <c r="AP206" i="12"/>
  <c r="AP205" i="12"/>
  <c r="AP203" i="12"/>
  <c r="U123" i="3"/>
  <c r="V302" i="12"/>
  <c r="F130" i="7"/>
  <c r="U96" i="3"/>
  <c r="AP5" i="12"/>
  <c r="AP3" i="12"/>
  <c r="U108" i="3"/>
  <c r="U102" i="3"/>
  <c r="K10" i="5"/>
  <c r="F5" i="4"/>
  <c r="U174" i="12"/>
  <c r="U119" i="12"/>
  <c r="U111" i="12"/>
  <c r="U218" i="12"/>
  <c r="U212" i="12"/>
  <c r="U224" i="12"/>
  <c r="U230" i="12" s="1"/>
  <c r="U107" i="12"/>
  <c r="U118" i="12"/>
  <c r="U110" i="12"/>
  <c r="U93" i="12"/>
  <c r="U85" i="12"/>
  <c r="U123" i="12"/>
  <c r="U115" i="12"/>
  <c r="U113" i="12"/>
  <c r="U121" i="12"/>
  <c r="U84" i="12"/>
  <c r="U92" i="12"/>
  <c r="U99" i="12"/>
  <c r="U221" i="12"/>
  <c r="U227" i="12" s="1"/>
  <c r="U215" i="12"/>
  <c r="U209" i="12"/>
  <c r="U223" i="12"/>
  <c r="U229" i="12" s="1"/>
  <c r="U217" i="12"/>
  <c r="U211" i="12"/>
  <c r="U122" i="12"/>
  <c r="U114" i="12"/>
  <c r="U157" i="12"/>
  <c r="U164" i="12"/>
  <c r="U162" i="12"/>
  <c r="U151" i="12"/>
  <c r="U155" i="12"/>
  <c r="U112" i="12"/>
  <c r="U120" i="12"/>
  <c r="U96" i="12"/>
  <c r="U88" i="12"/>
  <c r="U222" i="12"/>
  <c r="U228" i="12" s="1"/>
  <c r="U216" i="12"/>
  <c r="U210" i="12"/>
  <c r="U156" i="12"/>
  <c r="U163" i="12"/>
  <c r="U98" i="12"/>
  <c r="U91" i="12"/>
  <c r="U83" i="12"/>
  <c r="U80" i="12"/>
  <c r="BJ13" i="2"/>
  <c r="F142" i="7"/>
  <c r="F143" i="7" s="1"/>
  <c r="F38" i="4" s="1"/>
  <c r="K14" i="5"/>
  <c r="AC36" i="2"/>
  <c r="BJ34" i="2"/>
  <c r="F18" i="4"/>
  <c r="F17" i="4"/>
  <c r="Z58" i="2"/>
  <c r="BJ21" i="2"/>
  <c r="BD123" i="3" l="1"/>
  <c r="BD124" i="3" s="1"/>
  <c r="U129" i="3"/>
  <c r="F6" i="4"/>
  <c r="BJ138" i="2"/>
  <c r="F82" i="7"/>
  <c r="AX170" i="70"/>
  <c r="AX165" i="70"/>
  <c r="AX126" i="70"/>
  <c r="AX134" i="70" s="1"/>
  <c r="AX103" i="70"/>
  <c r="AX106" i="70"/>
  <c r="AX109" i="70"/>
  <c r="AX130" i="70"/>
  <c r="AX81" i="70"/>
  <c r="AX78" i="70"/>
  <c r="AX111" i="70"/>
  <c r="AX110" i="70"/>
  <c r="AX125" i="70"/>
  <c r="AX147" i="70"/>
  <c r="AX151" i="70"/>
  <c r="AP131" i="12"/>
  <c r="U133" i="3"/>
  <c r="AP169" i="12"/>
  <c r="AP111" i="12"/>
  <c r="AP209" i="12"/>
  <c r="AP210" i="12"/>
  <c r="AP113" i="12"/>
  <c r="AP83" i="12"/>
  <c r="AP114" i="12"/>
  <c r="AP115" i="12"/>
  <c r="AP107" i="12"/>
  <c r="AP110" i="12"/>
  <c r="AP80" i="12"/>
  <c r="AP84" i="12"/>
  <c r="AP211" i="12"/>
  <c r="AP112" i="12"/>
  <c r="AP157" i="12"/>
  <c r="AP156" i="12"/>
  <c r="AP212" i="12"/>
  <c r="AP174" i="12"/>
  <c r="AP151" i="12"/>
  <c r="AP155" i="12"/>
  <c r="AP88" i="12"/>
  <c r="AP85" i="12"/>
  <c r="U124" i="3"/>
  <c r="U125" i="3"/>
  <c r="F19" i="4"/>
  <c r="BJ38" i="2"/>
  <c r="U98" i="3"/>
  <c r="U110" i="3"/>
  <c r="BD108" i="3"/>
  <c r="U104" i="3"/>
  <c r="U103" i="3"/>
  <c r="BD102" i="3"/>
  <c r="U97" i="3"/>
  <c r="U109" i="3"/>
  <c r="BD96" i="3"/>
  <c r="L7" i="8"/>
  <c r="Z61" i="2"/>
  <c r="AX127" i="70" l="1"/>
  <c r="AX133" i="70"/>
  <c r="Z62" i="2"/>
  <c r="AD345" i="70"/>
  <c r="BD129" i="3"/>
  <c r="BD130" i="3" s="1"/>
  <c r="U131" i="3"/>
  <c r="U130" i="3"/>
  <c r="BD97" i="3"/>
  <c r="U134" i="3"/>
  <c r="U135" i="3"/>
  <c r="BD133" i="3"/>
  <c r="BD134" i="3" s="1"/>
  <c r="BD103" i="3"/>
  <c r="BD109" i="3"/>
  <c r="L27" i="8"/>
  <c r="Z66" i="2"/>
  <c r="Z73" i="2" l="1"/>
  <c r="Z72" i="2"/>
  <c r="F76" i="7"/>
  <c r="AD347" i="70"/>
  <c r="AD350" i="70"/>
  <c r="F80" i="7"/>
  <c r="Z67" i="2"/>
  <c r="Z84" i="2" s="1"/>
  <c r="Z68" i="2"/>
  <c r="BJ70" i="2"/>
  <c r="G106" i="7" l="1"/>
  <c r="G108" i="7" s="1"/>
  <c r="V4" i="12"/>
  <c r="R308" i="12" s="1"/>
  <c r="AD7" i="2"/>
  <c r="AD6" i="2"/>
  <c r="F54" i="7"/>
  <c r="F36" i="4"/>
  <c r="V130" i="12" l="1"/>
  <c r="V126" i="12"/>
  <c r="V127" i="12"/>
  <c r="V128" i="12"/>
  <c r="V129" i="12"/>
  <c r="V77" i="12"/>
  <c r="V118" i="3" s="1"/>
  <c r="Z6" i="12"/>
  <c r="V310" i="12"/>
  <c r="AD21" i="2"/>
  <c r="V172" i="12"/>
  <c r="V149" i="12"/>
  <c r="Z163" i="12" s="1"/>
  <c r="V105" i="12"/>
  <c r="V101" i="12"/>
  <c r="V78" i="12"/>
  <c r="Z96" i="12" s="1"/>
  <c r="V6" i="12"/>
  <c r="V75" i="12"/>
  <c r="V5" i="12"/>
  <c r="V205" i="12"/>
  <c r="Z217" i="12" s="1"/>
  <c r="V168" i="12"/>
  <c r="V173" i="12"/>
  <c r="V150" i="12"/>
  <c r="Z164" i="12" s="1"/>
  <c r="V102" i="12"/>
  <c r="V73" i="12"/>
  <c r="V309" i="12"/>
  <c r="V300" i="12"/>
  <c r="V148" i="12"/>
  <c r="Z162" i="12" s="1"/>
  <c r="V104" i="12"/>
  <c r="V103" i="12"/>
  <c r="V74" i="12"/>
  <c r="V167" i="12"/>
  <c r="V106" i="12"/>
  <c r="V3" i="12"/>
  <c r="V206" i="12"/>
  <c r="Z218" i="12" s="1"/>
  <c r="V204" i="12"/>
  <c r="Z216" i="12" s="1"/>
  <c r="V203" i="12"/>
  <c r="Z215" i="12" s="1"/>
  <c r="V131" i="12" l="1"/>
  <c r="Z125" i="3"/>
  <c r="Z95" i="12"/>
  <c r="Z120" i="3" s="1"/>
  <c r="Z144" i="12"/>
  <c r="Z145" i="12"/>
  <c r="Z141" i="12"/>
  <c r="Z142" i="12"/>
  <c r="Z143" i="12"/>
  <c r="Z93" i="12"/>
  <c r="Z98" i="12"/>
  <c r="Z91" i="12"/>
  <c r="Z99" i="12"/>
  <c r="Z92" i="12"/>
  <c r="V123" i="3"/>
  <c r="V102" i="3"/>
  <c r="V108" i="3"/>
  <c r="V96" i="3"/>
  <c r="V174" i="12"/>
  <c r="V115" i="12"/>
  <c r="V123" i="12"/>
  <c r="AD36" i="2"/>
  <c r="V216" i="12"/>
  <c r="V222" i="12"/>
  <c r="V228" i="12" s="1"/>
  <c r="V210" i="12"/>
  <c r="V169" i="12"/>
  <c r="V162" i="12"/>
  <c r="V155" i="12"/>
  <c r="V151" i="12"/>
  <c r="V111" i="12"/>
  <c r="V119" i="12"/>
  <c r="V217" i="12"/>
  <c r="V223" i="12"/>
  <c r="V229" i="12" s="1"/>
  <c r="V211" i="12"/>
  <c r="V88" i="12"/>
  <c r="V96" i="12"/>
  <c r="V91" i="12"/>
  <c r="V83" i="12"/>
  <c r="V98" i="12"/>
  <c r="V80" i="12"/>
  <c r="V224" i="12"/>
  <c r="V230" i="12" s="1"/>
  <c r="V218" i="12"/>
  <c r="V212" i="12"/>
  <c r="V99" i="12"/>
  <c r="V92" i="12"/>
  <c r="V84" i="12"/>
  <c r="V164" i="12"/>
  <c r="V157" i="12"/>
  <c r="V107" i="12"/>
  <c r="V110" i="12"/>
  <c r="V118" i="12"/>
  <c r="V221" i="12"/>
  <c r="V227" i="12" s="1"/>
  <c r="V215" i="12"/>
  <c r="V209" i="12"/>
  <c r="V121" i="12"/>
  <c r="V113" i="12"/>
  <c r="V156" i="12"/>
  <c r="V163" i="12"/>
  <c r="V112" i="12"/>
  <c r="V120" i="12"/>
  <c r="V93" i="12"/>
  <c r="V85" i="12"/>
  <c r="V114" i="12"/>
  <c r="V122" i="12"/>
  <c r="V129" i="3" l="1"/>
  <c r="Z110" i="3"/>
  <c r="Z104" i="3"/>
  <c r="V133" i="3"/>
  <c r="Z98" i="3"/>
  <c r="V125" i="3"/>
  <c r="V124" i="3"/>
  <c r="V109" i="3"/>
  <c r="V103" i="3"/>
  <c r="V97" i="3"/>
  <c r="V110" i="3"/>
  <c r="V104" i="3"/>
  <c r="V98" i="3"/>
  <c r="V131" i="3" l="1"/>
  <c r="V130" i="3"/>
  <c r="Z131" i="3"/>
  <c r="V134" i="3"/>
  <c r="Z135" i="3"/>
  <c r="V135" i="3"/>
  <c r="W4" i="12"/>
  <c r="S308" i="12" s="1"/>
  <c r="AE7" i="2"/>
  <c r="AE6" i="2"/>
  <c r="AA6" i="12" l="1"/>
  <c r="W127" i="12"/>
  <c r="AA142" i="12" s="1"/>
  <c r="W128" i="12"/>
  <c r="AA143" i="12" s="1"/>
  <c r="W129" i="12"/>
  <c r="AA144" i="12" s="1"/>
  <c r="W130" i="12"/>
  <c r="AA145" i="12" s="1"/>
  <c r="W126" i="12"/>
  <c r="AA141" i="12" s="1"/>
  <c r="W168" i="12"/>
  <c r="W77" i="12"/>
  <c r="W74" i="12"/>
  <c r="W5" i="12"/>
  <c r="W203" i="12"/>
  <c r="W309" i="12"/>
  <c r="W206" i="12"/>
  <c r="W167" i="12"/>
  <c r="W75" i="12"/>
  <c r="AA93" i="12" s="1"/>
  <c r="W105" i="12"/>
  <c r="W122" i="12" s="1"/>
  <c r="W173" i="12"/>
  <c r="W148" i="12"/>
  <c r="W172" i="12"/>
  <c r="W3" i="12"/>
  <c r="W205" i="12"/>
  <c r="W310" i="12"/>
  <c r="W204" i="12"/>
  <c r="W73" i="12"/>
  <c r="W6" i="12"/>
  <c r="W78" i="12"/>
  <c r="W102" i="12"/>
  <c r="W111" i="12" s="1"/>
  <c r="W149" i="12"/>
  <c r="W106" i="12"/>
  <c r="W115" i="12" s="1"/>
  <c r="W103" i="12"/>
  <c r="W112" i="12" s="1"/>
  <c r="W104" i="12"/>
  <c r="W101" i="12"/>
  <c r="W118" i="12" s="1"/>
  <c r="W300" i="12"/>
  <c r="W150" i="12"/>
  <c r="AE21" i="2"/>
  <c r="AA110" i="3" l="1"/>
  <c r="W83" i="12"/>
  <c r="AA91" i="12"/>
  <c r="AA98" i="12"/>
  <c r="W211" i="12"/>
  <c r="AA217" i="12"/>
  <c r="W209" i="12"/>
  <c r="AA215" i="12"/>
  <c r="W210" i="12"/>
  <c r="AA216" i="12"/>
  <c r="W155" i="12"/>
  <c r="AA162" i="12"/>
  <c r="W92" i="12"/>
  <c r="W104" i="3" s="1"/>
  <c r="AA92" i="12"/>
  <c r="AA99" i="12"/>
  <c r="W224" i="12"/>
  <c r="W230" i="12" s="1"/>
  <c r="AA218" i="12"/>
  <c r="W156" i="12"/>
  <c r="AA163" i="12"/>
  <c r="W157" i="12"/>
  <c r="AA164" i="12"/>
  <c r="W96" i="12"/>
  <c r="AA96" i="12"/>
  <c r="W118" i="3"/>
  <c r="AA95" i="12"/>
  <c r="W212" i="12"/>
  <c r="W84" i="12"/>
  <c r="W102" i="3"/>
  <c r="W131" i="12"/>
  <c r="W169" i="12"/>
  <c r="W85" i="12"/>
  <c r="W93" i="12"/>
  <c r="W218" i="12"/>
  <c r="W114" i="12"/>
  <c r="W215" i="12"/>
  <c r="W108" i="3"/>
  <c r="W221" i="12"/>
  <c r="W227" i="12" s="1"/>
  <c r="W174" i="12"/>
  <c r="W162" i="12"/>
  <c r="W217" i="12"/>
  <c r="W223" i="12"/>
  <c r="W229" i="12" s="1"/>
  <c r="W163" i="12"/>
  <c r="W119" i="12"/>
  <c r="W96" i="3"/>
  <c r="W99" i="12"/>
  <c r="W123" i="3"/>
  <c r="W216" i="12"/>
  <c r="W222" i="12"/>
  <c r="W228" i="12" s="1"/>
  <c r="W110" i="12"/>
  <c r="W91" i="12"/>
  <c r="W88" i="12"/>
  <c r="W123" i="12"/>
  <c r="W80" i="12"/>
  <c r="W120" i="12"/>
  <c r="W98" i="12"/>
  <c r="W164" i="12"/>
  <c r="W151" i="12"/>
  <c r="W113" i="12"/>
  <c r="W121" i="12"/>
  <c r="W107" i="12"/>
  <c r="AE36" i="2"/>
  <c r="W129" i="3" l="1"/>
  <c r="W97" i="3"/>
  <c r="W103" i="3"/>
  <c r="W110" i="3"/>
  <c r="W109" i="3"/>
  <c r="W133" i="3"/>
  <c r="AA135" i="3" s="1"/>
  <c r="W125" i="3"/>
  <c r="W124" i="3"/>
  <c r="W98" i="3"/>
  <c r="W131" i="3" l="1"/>
  <c r="AA131" i="3"/>
  <c r="W130" i="3"/>
  <c r="W135" i="3"/>
  <c r="W134" i="3"/>
  <c r="AA43" i="2" l="1"/>
  <c r="AA51" i="2" l="1"/>
  <c r="AA57" i="2" s="1"/>
  <c r="X4" i="12" l="1"/>
  <c r="AF6" i="2"/>
  <c r="AF7" i="2"/>
  <c r="AB43" i="2"/>
  <c r="AA58" i="2"/>
  <c r="AB6" i="12" l="1"/>
  <c r="T308" i="12"/>
  <c r="X128" i="12"/>
  <c r="AB143" i="12" s="1"/>
  <c r="X129" i="12"/>
  <c r="AB144" i="12" s="1"/>
  <c r="X130" i="12"/>
  <c r="AB145" i="12" s="1"/>
  <c r="X126" i="12"/>
  <c r="AB141" i="12" s="1"/>
  <c r="X127" i="12"/>
  <c r="AB142" i="12" s="1"/>
  <c r="X168" i="12"/>
  <c r="X204" i="12"/>
  <c r="X106" i="12"/>
  <c r="X123" i="12" s="1"/>
  <c r="X77" i="12"/>
  <c r="X102" i="12"/>
  <c r="X111" i="12" s="1"/>
  <c r="X205" i="12"/>
  <c r="X310" i="12"/>
  <c r="X101" i="12"/>
  <c r="X110" i="12" s="1"/>
  <c r="X309" i="12"/>
  <c r="X5" i="12"/>
  <c r="X73" i="12"/>
  <c r="X105" i="12"/>
  <c r="X122" i="12" s="1"/>
  <c r="X167" i="12"/>
  <c r="X75" i="12"/>
  <c r="X172" i="12"/>
  <c r="X300" i="12"/>
  <c r="X206" i="12"/>
  <c r="X74" i="12"/>
  <c r="AB92" i="12" s="1"/>
  <c r="X150" i="12"/>
  <c r="X104" i="12"/>
  <c r="X6" i="12"/>
  <c r="X149" i="12"/>
  <c r="X203" i="12"/>
  <c r="X3" i="12"/>
  <c r="X103" i="12"/>
  <c r="X112" i="12" s="1"/>
  <c r="X173" i="12"/>
  <c r="X148" i="12"/>
  <c r="X78" i="12"/>
  <c r="AF21" i="2"/>
  <c r="AA61" i="2"/>
  <c r="X224" i="12" l="1"/>
  <c r="X230" i="12" s="1"/>
  <c r="AB218" i="12"/>
  <c r="X217" i="12"/>
  <c r="AB217" i="12"/>
  <c r="X216" i="12"/>
  <c r="AB216" i="12"/>
  <c r="X162" i="12"/>
  <c r="AB162" i="12"/>
  <c r="X209" i="12"/>
  <c r="AB215" i="12"/>
  <c r="X164" i="12"/>
  <c r="AB164" i="12"/>
  <c r="X156" i="12"/>
  <c r="AB163" i="12"/>
  <c r="X85" i="12"/>
  <c r="X109" i="3" s="1"/>
  <c r="AB93" i="12"/>
  <c r="X91" i="12"/>
  <c r="X98" i="3" s="1"/>
  <c r="AB91" i="12"/>
  <c r="AB99" i="12"/>
  <c r="AB96" i="12"/>
  <c r="AB98" i="12"/>
  <c r="X118" i="3"/>
  <c r="AB120" i="3" s="1"/>
  <c r="AB95" i="12"/>
  <c r="X210" i="12"/>
  <c r="AE345" i="70"/>
  <c r="X169" i="12"/>
  <c r="X222" i="12"/>
  <c r="X228" i="12" s="1"/>
  <c r="X115" i="12"/>
  <c r="X131" i="12"/>
  <c r="X223" i="12"/>
  <c r="X229" i="12" s="1"/>
  <c r="X212" i="12"/>
  <c r="X211" i="12"/>
  <c r="X119" i="12"/>
  <c r="X118" i="12"/>
  <c r="X218" i="12"/>
  <c r="X96" i="3"/>
  <c r="AB98" i="3" s="1"/>
  <c r="X93" i="12"/>
  <c r="X83" i="12"/>
  <c r="X97" i="3" s="1"/>
  <c r="X114" i="12"/>
  <c r="X120" i="12"/>
  <c r="X102" i="3"/>
  <c r="AB104" i="3" s="1"/>
  <c r="X108" i="3"/>
  <c r="AB110" i="3" s="1"/>
  <c r="X123" i="3"/>
  <c r="X174" i="12"/>
  <c r="X96" i="12"/>
  <c r="X113" i="12"/>
  <c r="X88" i="12"/>
  <c r="X121" i="12"/>
  <c r="X107" i="12"/>
  <c r="X84" i="12"/>
  <c r="X98" i="12"/>
  <c r="X215" i="12"/>
  <c r="X155" i="12"/>
  <c r="X92" i="12"/>
  <c r="X221" i="12"/>
  <c r="X227" i="12" s="1"/>
  <c r="X80" i="12"/>
  <c r="X157" i="12"/>
  <c r="X151" i="12"/>
  <c r="X163" i="12"/>
  <c r="X99" i="12"/>
  <c r="AF36" i="2"/>
  <c r="AA66" i="2"/>
  <c r="AA62" i="2"/>
  <c r="AB125" i="3" l="1"/>
  <c r="X129" i="3"/>
  <c r="AB131" i="3" s="1"/>
  <c r="AA68" i="2"/>
  <c r="AA73" i="2"/>
  <c r="AA72" i="2"/>
  <c r="AE350" i="70"/>
  <c r="AE347" i="70"/>
  <c r="X133" i="3"/>
  <c r="X110" i="3"/>
  <c r="X104" i="3"/>
  <c r="X103" i="3"/>
  <c r="X124" i="3"/>
  <c r="X125" i="3"/>
  <c r="AA67" i="2"/>
  <c r="AA84" i="2" s="1"/>
  <c r="X131" i="3" l="1"/>
  <c r="X130" i="3"/>
  <c r="X134" i="3"/>
  <c r="X135" i="3"/>
  <c r="BE56" i="3" l="1"/>
  <c r="Y137" i="3" l="1"/>
  <c r="Y138" i="3" s="1"/>
  <c r="Y4" i="12" l="1"/>
  <c r="BE77" i="3"/>
  <c r="BL6" i="2"/>
  <c r="AG7" i="2"/>
  <c r="AG6" i="2"/>
  <c r="BE57" i="3"/>
  <c r="Y309" i="12" l="1"/>
  <c r="U308" i="12"/>
  <c r="X308" i="12"/>
  <c r="V308" i="12"/>
  <c r="W308" i="12"/>
  <c r="AC6" i="12"/>
  <c r="AX299" i="70"/>
  <c r="AY4" i="70"/>
  <c r="AQ4" i="12"/>
  <c r="AR5" i="12" s="1"/>
  <c r="AP308" i="12"/>
  <c r="Y127" i="12"/>
  <c r="AC142" i="12" s="1"/>
  <c r="Y130" i="12"/>
  <c r="AC145" i="12" s="1"/>
  <c r="Y126" i="12"/>
  <c r="AC141" i="12" s="1"/>
  <c r="Y129" i="12"/>
  <c r="AC144" i="12" s="1"/>
  <c r="Y128" i="12"/>
  <c r="AC143" i="12" s="1"/>
  <c r="Y77" i="12"/>
  <c r="Z3" i="12"/>
  <c r="Z5" i="12"/>
  <c r="BE78" i="3"/>
  <c r="BE155" i="3"/>
  <c r="Y300" i="12"/>
  <c r="Y168" i="12"/>
  <c r="Y103" i="12"/>
  <c r="Y74" i="12"/>
  <c r="Y104" i="12"/>
  <c r="Y173" i="12"/>
  <c r="Y167" i="12"/>
  <c r="Y150" i="12"/>
  <c r="Y106" i="12"/>
  <c r="Y102" i="12"/>
  <c r="Y73" i="12"/>
  <c r="Y3" i="12"/>
  <c r="Y310" i="12"/>
  <c r="Y148" i="12"/>
  <c r="Y75" i="12"/>
  <c r="AC93" i="12" s="1"/>
  <c r="Y5" i="12"/>
  <c r="Y172" i="12"/>
  <c r="Y149" i="12"/>
  <c r="Y105" i="12"/>
  <c r="Y101" i="12"/>
  <c r="Y78" i="12"/>
  <c r="AC96" i="12" s="1"/>
  <c r="Y6" i="12"/>
  <c r="Y206" i="12"/>
  <c r="AC218" i="12" s="1"/>
  <c r="Y204" i="12"/>
  <c r="AC216" i="12" s="1"/>
  <c r="Y205" i="12"/>
  <c r="AC217" i="12" s="1"/>
  <c r="Y203" i="12"/>
  <c r="AC215" i="12" s="1"/>
  <c r="BK6" i="2"/>
  <c r="L9" i="5"/>
  <c r="S157" i="3"/>
  <c r="AQ127" i="12" l="1"/>
  <c r="AR135" i="12" s="1"/>
  <c r="AQ129" i="12"/>
  <c r="AR137" i="12" s="1"/>
  <c r="AQ126" i="12"/>
  <c r="AR134" i="12" s="1"/>
  <c r="AQ128" i="12"/>
  <c r="AR136" i="12" s="1"/>
  <c r="AQ130" i="12"/>
  <c r="AR138" i="12" s="1"/>
  <c r="AR3" i="12"/>
  <c r="Z157" i="12"/>
  <c r="AC164" i="12"/>
  <c r="AC92" i="12"/>
  <c r="AC99" i="12"/>
  <c r="Y118" i="3"/>
  <c r="AC120" i="3" s="1"/>
  <c r="AC95" i="12"/>
  <c r="Z83" i="12"/>
  <c r="Z97" i="3" s="1"/>
  <c r="AC98" i="12"/>
  <c r="AC91" i="12"/>
  <c r="Z156" i="12"/>
  <c r="AC163" i="12"/>
  <c r="Z155" i="12"/>
  <c r="AC162" i="12"/>
  <c r="G130" i="7"/>
  <c r="BL13" i="2"/>
  <c r="BL138" i="2" s="1"/>
  <c r="AA221" i="12"/>
  <c r="AA227" i="12" s="1"/>
  <c r="AB221" i="12"/>
  <c r="AB227" i="12" s="1"/>
  <c r="AA223" i="12"/>
  <c r="AA229" i="12" s="1"/>
  <c r="AB223" i="12"/>
  <c r="AB229" i="12" s="1"/>
  <c r="AA224" i="12"/>
  <c r="AA230" i="12" s="1"/>
  <c r="AB224" i="12"/>
  <c r="AB230" i="12" s="1"/>
  <c r="AA222" i="12"/>
  <c r="AA228" i="12" s="1"/>
  <c r="AB222" i="12"/>
  <c r="AB228" i="12" s="1"/>
  <c r="AQ167" i="12"/>
  <c r="AQ103" i="12"/>
  <c r="AQ112" i="12" s="1"/>
  <c r="AQ77" i="12"/>
  <c r="AR87" i="12" s="1"/>
  <c r="AQ204" i="12"/>
  <c r="AQ149" i="12"/>
  <c r="AQ106" i="12"/>
  <c r="AQ115" i="12" s="1"/>
  <c r="AQ105" i="12"/>
  <c r="AQ114" i="12" s="1"/>
  <c r="AQ168" i="12"/>
  <c r="AQ309" i="12"/>
  <c r="AQ150" i="12"/>
  <c r="AQ205" i="12"/>
  <c r="AQ78" i="12"/>
  <c r="AQ75" i="12"/>
  <c r="AR85" i="12" s="1"/>
  <c r="AQ203" i="12"/>
  <c r="AQ74" i="12"/>
  <c r="AQ73" i="12"/>
  <c r="AR83" i="12" s="1"/>
  <c r="AQ172" i="12"/>
  <c r="AQ101" i="12"/>
  <c r="AQ102" i="12"/>
  <c r="AQ111" i="12" s="1"/>
  <c r="AQ104" i="12"/>
  <c r="AQ113" i="12" s="1"/>
  <c r="AQ148" i="12"/>
  <c r="AR155" i="12" s="1"/>
  <c r="AQ173" i="12"/>
  <c r="AQ206" i="12"/>
  <c r="AQ3" i="12"/>
  <c r="AQ5" i="12"/>
  <c r="AY122" i="70"/>
  <c r="AY146" i="70"/>
  <c r="AY153" i="70" s="1"/>
  <c r="AY73" i="70"/>
  <c r="AY82" i="70" s="1"/>
  <c r="AY74" i="70"/>
  <c r="AY83" i="70" s="1"/>
  <c r="AY199" i="70"/>
  <c r="AY205" i="70" s="1"/>
  <c r="AY3" i="70"/>
  <c r="AY145" i="70"/>
  <c r="AY152" i="70" s="1"/>
  <c r="AY164" i="70"/>
  <c r="AY200" i="70"/>
  <c r="AY206" i="70" s="1"/>
  <c r="AY144" i="70"/>
  <c r="AY123" i="70"/>
  <c r="AY131" i="70" s="1"/>
  <c r="AY100" i="70"/>
  <c r="AY109" i="70" s="1"/>
  <c r="AY72" i="70"/>
  <c r="AY124" i="70"/>
  <c r="AY132" i="70" s="1"/>
  <c r="AY5" i="70"/>
  <c r="AY76" i="70"/>
  <c r="AY85" i="70" s="1"/>
  <c r="AY102" i="70"/>
  <c r="AY111" i="70" s="1"/>
  <c r="AY99" i="70"/>
  <c r="AY108" i="70" s="1"/>
  <c r="AY101" i="70"/>
  <c r="AY110" i="70" s="1"/>
  <c r="AY163" i="70"/>
  <c r="AY300" i="70"/>
  <c r="AY98" i="70"/>
  <c r="AY107" i="70" s="1"/>
  <c r="AY168" i="70"/>
  <c r="AY201" i="70"/>
  <c r="AY207" i="70" s="1"/>
  <c r="AY75" i="70"/>
  <c r="AY169" i="70"/>
  <c r="AY97" i="70"/>
  <c r="AY202" i="70"/>
  <c r="AY208" i="70" s="1"/>
  <c r="Y131" i="12"/>
  <c r="Z87" i="12"/>
  <c r="Z119" i="3" s="1"/>
  <c r="Z137" i="12"/>
  <c r="Z138" i="12"/>
  <c r="Z136" i="12"/>
  <c r="Z135" i="12"/>
  <c r="Z134" i="12"/>
  <c r="Z210" i="12"/>
  <c r="Z222" i="12"/>
  <c r="Z228" i="12" s="1"/>
  <c r="Z84" i="12"/>
  <c r="Y102" i="3"/>
  <c r="AC104" i="3" s="1"/>
  <c r="Z88" i="12"/>
  <c r="Y123" i="3"/>
  <c r="Z212" i="12"/>
  <c r="Z224" i="12"/>
  <c r="Z230" i="12" s="1"/>
  <c r="Z85" i="12"/>
  <c r="Z109" i="3" s="1"/>
  <c r="Y108" i="3"/>
  <c r="AC110" i="3" s="1"/>
  <c r="Y96" i="3"/>
  <c r="AC98" i="3" s="1"/>
  <c r="Z223" i="12"/>
  <c r="Z229" i="12" s="1"/>
  <c r="Z211" i="12"/>
  <c r="Z221" i="12"/>
  <c r="Z227" i="12" s="1"/>
  <c r="Z209" i="12"/>
  <c r="Y221" i="12"/>
  <c r="Y215" i="12"/>
  <c r="Y209" i="12"/>
  <c r="Y163" i="12"/>
  <c r="Y156" i="12"/>
  <c r="Y162" i="12"/>
  <c r="Y151" i="12"/>
  <c r="Y155" i="12"/>
  <c r="Y119" i="12"/>
  <c r="Y111" i="12"/>
  <c r="Y223" i="12"/>
  <c r="Y217" i="12"/>
  <c r="Y211" i="12"/>
  <c r="Y96" i="12"/>
  <c r="Y88" i="12"/>
  <c r="Y174" i="12"/>
  <c r="Y123" i="12"/>
  <c r="Y115" i="12"/>
  <c r="Y113" i="12"/>
  <c r="Y121" i="12"/>
  <c r="Y222" i="12"/>
  <c r="Y216" i="12"/>
  <c r="Y210" i="12"/>
  <c r="Y107" i="12"/>
  <c r="Y118" i="12"/>
  <c r="Y110" i="12"/>
  <c r="Y157" i="12"/>
  <c r="Y164" i="12"/>
  <c r="Y92" i="12"/>
  <c r="Y99" i="12"/>
  <c r="Y84" i="12"/>
  <c r="Y224" i="12"/>
  <c r="Y218" i="12"/>
  <c r="Y212" i="12"/>
  <c r="Y122" i="12"/>
  <c r="Y114" i="12"/>
  <c r="Y93" i="12"/>
  <c r="Y85" i="12"/>
  <c r="Y109" i="3" s="1"/>
  <c r="Y98" i="12"/>
  <c r="Y91" i="12"/>
  <c r="Y83" i="12"/>
  <c r="Y97" i="3" s="1"/>
  <c r="Y80" i="12"/>
  <c r="Y169" i="12"/>
  <c r="Y120" i="12"/>
  <c r="Y112" i="12"/>
  <c r="AG36" i="2"/>
  <c r="L10" i="5"/>
  <c r="G5" i="4"/>
  <c r="L14" i="5"/>
  <c r="G142" i="7"/>
  <c r="G143" i="7" s="1"/>
  <c r="G38" i="4" s="1"/>
  <c r="G18" i="4"/>
  <c r="G74" i="7"/>
  <c r="BK13" i="2"/>
  <c r="BK138" i="2" s="1"/>
  <c r="S158" i="3"/>
  <c r="T158" i="3"/>
  <c r="AC125" i="3" l="1"/>
  <c r="Y129" i="3"/>
  <c r="AY165" i="70"/>
  <c r="AY126" i="70"/>
  <c r="AY134" i="70" s="1"/>
  <c r="AQ209" i="12"/>
  <c r="AR209" i="12"/>
  <c r="AQ156" i="12"/>
  <c r="AR156" i="12"/>
  <c r="BE118" i="3"/>
  <c r="BF119" i="3" s="1"/>
  <c r="AQ210" i="12"/>
  <c r="AR210" i="12"/>
  <c r="AQ157" i="12"/>
  <c r="AR157" i="12"/>
  <c r="AQ212" i="12"/>
  <c r="AR212" i="12"/>
  <c r="AQ84" i="12"/>
  <c r="AR84" i="12"/>
  <c r="AQ211" i="12"/>
  <c r="AR211" i="12"/>
  <c r="AQ88" i="12"/>
  <c r="AR88" i="12"/>
  <c r="Y230" i="12"/>
  <c r="AC230" i="12"/>
  <c r="Y229" i="12"/>
  <c r="AC229" i="12"/>
  <c r="Y228" i="12"/>
  <c r="AC228" i="12"/>
  <c r="Y227" i="12"/>
  <c r="AC227" i="12"/>
  <c r="AQ174" i="12"/>
  <c r="AQ169" i="12"/>
  <c r="AY125" i="70"/>
  <c r="AY133" i="70" s="1"/>
  <c r="AY81" i="70"/>
  <c r="AY78" i="70"/>
  <c r="AQ151" i="12"/>
  <c r="AQ155" i="12"/>
  <c r="AY103" i="70"/>
  <c r="AY106" i="70"/>
  <c r="AY147" i="70"/>
  <c r="AY151" i="70"/>
  <c r="AY130" i="70"/>
  <c r="AQ85" i="12"/>
  <c r="AQ107" i="12"/>
  <c r="AQ110" i="12"/>
  <c r="AY170" i="70"/>
  <c r="AQ80" i="12"/>
  <c r="AQ83" i="12"/>
  <c r="Z124" i="3"/>
  <c r="Z103" i="3"/>
  <c r="Y133" i="3"/>
  <c r="Z134" i="3" s="1"/>
  <c r="Y110" i="3"/>
  <c r="Y103" i="3"/>
  <c r="BE108" i="3"/>
  <c r="Y125" i="3"/>
  <c r="Y98" i="3"/>
  <c r="BE96" i="3"/>
  <c r="BE123" i="3"/>
  <c r="Y104" i="3"/>
  <c r="Y124" i="3"/>
  <c r="BE102" i="3"/>
  <c r="G6" i="4"/>
  <c r="T155" i="3"/>
  <c r="U155" i="3"/>
  <c r="BE119" i="3" l="1"/>
  <c r="AY127" i="70"/>
  <c r="AQ131" i="12"/>
  <c r="BE129" i="3"/>
  <c r="BE130" i="3" s="1"/>
  <c r="Y131" i="3"/>
  <c r="Y130" i="3"/>
  <c r="Z130" i="3"/>
  <c r="BE97" i="3"/>
  <c r="BE103" i="3"/>
  <c r="BE124" i="3"/>
  <c r="Y135" i="3"/>
  <c r="Y134" i="3"/>
  <c r="BE133" i="3"/>
  <c r="BE134" i="3" s="1"/>
  <c r="BE109" i="3"/>
  <c r="U301" i="12"/>
  <c r="T301" i="12"/>
  <c r="AB80" i="2"/>
  <c r="AB81" i="2"/>
  <c r="AB18" i="2"/>
  <c r="AB27" i="2"/>
  <c r="AB29" i="2" s="1"/>
  <c r="BJ15" i="2"/>
  <c r="V155" i="3"/>
  <c r="V301" i="12"/>
  <c r="AC81" i="2"/>
  <c r="AC80" i="2"/>
  <c r="AC18" i="2"/>
  <c r="AF344" i="70" l="1"/>
  <c r="BJ80" i="2"/>
  <c r="BJ18" i="2"/>
  <c r="BJ81" i="2"/>
  <c r="F16" i="4"/>
  <c r="AB30" i="2"/>
  <c r="T174" i="3" s="1"/>
  <c r="AB39" i="2"/>
  <c r="AD81" i="2"/>
  <c r="AD18" i="2"/>
  <c r="AD80" i="2"/>
  <c r="AD27" i="2"/>
  <c r="AD29" i="2" s="1"/>
  <c r="AH344" i="70" l="1"/>
  <c r="AF351" i="70"/>
  <c r="AF348" i="70"/>
  <c r="G36" i="4"/>
  <c r="AB82" i="2"/>
  <c r="AB31" i="2"/>
  <c r="F22" i="4"/>
  <c r="AD30" i="2"/>
  <c r="AD31" i="2" s="1"/>
  <c r="AD39" i="2"/>
  <c r="AD51" i="2" s="1"/>
  <c r="AB40" i="2"/>
  <c r="AB51" i="2"/>
  <c r="AB57" i="2" s="1"/>
  <c r="AH348" i="70" l="1"/>
  <c r="AH351" i="70"/>
  <c r="AB83" i="2"/>
  <c r="T176" i="3"/>
  <c r="AC116" i="3"/>
  <c r="BF108" i="3"/>
  <c r="BF96" i="3"/>
  <c r="BF123" i="3"/>
  <c r="BF102" i="3"/>
  <c r="AB135" i="3"/>
  <c r="AB134" i="3"/>
  <c r="AD82" i="2"/>
  <c r="V174" i="3"/>
  <c r="AD40" i="2"/>
  <c r="AC121" i="3" l="1"/>
  <c r="AC126" i="3"/>
  <c r="AC99" i="3"/>
  <c r="AC105" i="3"/>
  <c r="AC111" i="3"/>
  <c r="BF129" i="3"/>
  <c r="BF130" i="3" s="1"/>
  <c r="AD83" i="2"/>
  <c r="V176" i="3"/>
  <c r="AC131" i="3"/>
  <c r="AC130" i="3"/>
  <c r="BL123" i="3"/>
  <c r="BF124" i="3"/>
  <c r="BL96" i="3"/>
  <c r="BF97" i="3"/>
  <c r="AC135" i="3"/>
  <c r="AC134" i="3"/>
  <c r="BF133" i="3"/>
  <c r="BF134" i="3" s="1"/>
  <c r="BF109" i="3"/>
  <c r="BL108" i="3"/>
  <c r="BL102" i="3"/>
  <c r="BF103" i="3"/>
  <c r="AB58" i="2"/>
  <c r="AB61" i="2" s="1"/>
  <c r="BF56" i="3" l="1"/>
  <c r="BF75" i="3"/>
  <c r="BF76" i="3" s="1"/>
  <c r="AF345" i="70"/>
  <c r="AC137" i="3"/>
  <c r="AB66" i="2"/>
  <c r="AB62" i="2"/>
  <c r="AB73" i="2" l="1"/>
  <c r="AB72" i="2"/>
  <c r="AC138" i="3"/>
  <c r="AC139" i="3"/>
  <c r="AF347" i="70"/>
  <c r="AF350" i="70"/>
  <c r="BF77" i="3"/>
  <c r="BF78" i="3" s="1"/>
  <c r="BF57" i="3"/>
  <c r="AB68" i="2"/>
  <c r="AB67" i="2"/>
  <c r="AD4" i="12" l="1"/>
  <c r="AY299" i="70"/>
  <c r="AQ308" i="12"/>
  <c r="M9" i="5"/>
  <c r="AB84" i="2"/>
  <c r="AE3" i="12" l="1"/>
  <c r="AA308" i="12"/>
  <c r="AE5" i="12"/>
  <c r="Z308" i="12"/>
  <c r="AD75" i="12"/>
  <c r="AE85" i="12" s="1"/>
  <c r="AD6" i="12"/>
  <c r="AD205" i="12"/>
  <c r="AD150" i="12"/>
  <c r="AE157" i="12" s="1"/>
  <c r="AD74" i="12"/>
  <c r="AE84" i="12" s="1"/>
  <c r="AD168" i="12"/>
  <c r="AD5" i="12"/>
  <c r="AD310" i="12"/>
  <c r="AD167" i="12"/>
  <c r="AD149" i="12"/>
  <c r="AE156" i="12" s="1"/>
  <c r="AD73" i="12"/>
  <c r="AD173" i="12"/>
  <c r="AD78" i="12"/>
  <c r="AD172" i="12"/>
  <c r="AD148" i="12"/>
  <c r="AE155" i="12" s="1"/>
  <c r="AD130" i="12"/>
  <c r="AE138" i="12" s="1"/>
  <c r="AD3" i="12"/>
  <c r="AD126" i="12"/>
  <c r="AE134" i="12" s="1"/>
  <c r="AD309" i="12"/>
  <c r="AD300" i="12"/>
  <c r="AD129" i="12"/>
  <c r="AE137" i="12" s="1"/>
  <c r="AD77" i="12"/>
  <c r="AD128" i="12"/>
  <c r="AE136" i="12" s="1"/>
  <c r="AD127" i="12"/>
  <c r="AE135" i="12" s="1"/>
  <c r="AD152" i="12"/>
  <c r="AD203" i="12"/>
  <c r="AD204" i="12"/>
  <c r="AD206" i="12"/>
  <c r="H5" i="4"/>
  <c r="M10" i="5"/>
  <c r="H18" i="4"/>
  <c r="M14" i="5"/>
  <c r="AE221" i="12" l="1"/>
  <c r="AE227" i="12" s="1"/>
  <c r="AE209" i="12"/>
  <c r="AD123" i="3"/>
  <c r="AD124" i="3" s="1"/>
  <c r="AE88" i="12"/>
  <c r="AD118" i="3"/>
  <c r="AE119" i="3" s="1"/>
  <c r="AE87" i="12"/>
  <c r="AE212" i="12"/>
  <c r="AE224" i="12"/>
  <c r="AE230" i="12" s="1"/>
  <c r="AD159" i="12"/>
  <c r="AE159" i="12"/>
  <c r="AD96" i="3"/>
  <c r="AE97" i="3" s="1"/>
  <c r="AE83" i="12"/>
  <c r="AE210" i="12"/>
  <c r="AE222" i="12"/>
  <c r="AE228" i="12" s="1"/>
  <c r="AE211" i="12"/>
  <c r="AE223" i="12"/>
  <c r="AE229" i="12" s="1"/>
  <c r="AD102" i="3"/>
  <c r="AE103" i="3" s="1"/>
  <c r="AD108" i="3"/>
  <c r="AD169" i="12"/>
  <c r="AD137" i="12"/>
  <c r="AD144" i="12"/>
  <c r="AD135" i="12"/>
  <c r="AD142" i="12"/>
  <c r="AD163" i="12"/>
  <c r="AD156" i="12"/>
  <c r="AD134" i="12"/>
  <c r="AD141" i="12"/>
  <c r="AD131" i="12"/>
  <c r="AD136" i="12"/>
  <c r="AD143" i="12"/>
  <c r="AD92" i="12"/>
  <c r="AD84" i="12"/>
  <c r="AD99" i="12"/>
  <c r="AD164" i="12"/>
  <c r="AD157" i="12"/>
  <c r="AD223" i="12"/>
  <c r="AD229" i="12" s="1"/>
  <c r="AD211" i="12"/>
  <c r="AD217" i="12"/>
  <c r="AD80" i="12"/>
  <c r="AD91" i="12"/>
  <c r="AD83" i="12"/>
  <c r="AD98" i="12"/>
  <c r="AD95" i="12"/>
  <c r="AD87" i="12"/>
  <c r="AD224" i="12"/>
  <c r="AD230" i="12" s="1"/>
  <c r="AD218" i="12"/>
  <c r="AD212" i="12"/>
  <c r="AD138" i="12"/>
  <c r="AD145" i="12"/>
  <c r="AD222" i="12"/>
  <c r="AD228" i="12" s="1"/>
  <c r="AD216" i="12"/>
  <c r="AD210" i="12"/>
  <c r="AD151" i="12"/>
  <c r="AD155" i="12"/>
  <c r="AD162" i="12"/>
  <c r="AD221" i="12"/>
  <c r="AD227" i="12" s="1"/>
  <c r="AD215" i="12"/>
  <c r="AD209" i="12"/>
  <c r="AD174" i="12"/>
  <c r="AD88" i="12"/>
  <c r="AD96" i="12"/>
  <c r="AD93" i="12"/>
  <c r="AD85" i="12"/>
  <c r="BF169" i="3"/>
  <c r="H6" i="4"/>
  <c r="H19" i="4"/>
  <c r="AQ71" i="2"/>
  <c r="AD119" i="3" l="1"/>
  <c r="AD125" i="3"/>
  <c r="AE124" i="3"/>
  <c r="AD133" i="3"/>
  <c r="AE134" i="3" s="1"/>
  <c r="AD129" i="3"/>
  <c r="AD116" i="3" s="1"/>
  <c r="AD120" i="3"/>
  <c r="AD98" i="3"/>
  <c r="AE109" i="3"/>
  <c r="AE107" i="3"/>
  <c r="AD97" i="3"/>
  <c r="AD109" i="3"/>
  <c r="AD110" i="3"/>
  <c r="AD107" i="3"/>
  <c r="AD103" i="3"/>
  <c r="AD104" i="3"/>
  <c r="AR71" i="2"/>
  <c r="AS71" i="2" l="1"/>
  <c r="AT71" i="2" s="1"/>
  <c r="AU71" i="2" s="1"/>
  <c r="AV71" i="2" s="1"/>
  <c r="AW71" i="2" s="1"/>
  <c r="AX71" i="2" s="1"/>
  <c r="AY71" i="2" s="1"/>
  <c r="AZ71" i="2" s="1"/>
  <c r="BA71" i="2" s="1"/>
  <c r="AD111" i="3"/>
  <c r="AE130" i="3"/>
  <c r="AD126" i="3"/>
  <c r="AD131" i="3"/>
  <c r="AD130" i="3"/>
  <c r="AD121" i="3"/>
  <c r="AD99" i="3"/>
  <c r="AD135" i="3"/>
  <c r="AD134" i="3"/>
  <c r="AD105" i="3"/>
  <c r="BO71" i="2" l="1"/>
  <c r="BN71" i="2"/>
  <c r="BP71" i="2"/>
  <c r="H43" i="80"/>
  <c r="H36" i="4" l="1"/>
  <c r="AF4" i="12" l="1"/>
  <c r="AC308" i="12" l="1"/>
  <c r="AF76" i="12"/>
  <c r="AG3" i="12"/>
  <c r="AG5" i="12"/>
  <c r="AB308" i="12"/>
  <c r="AF130" i="12"/>
  <c r="AG138" i="12" s="1"/>
  <c r="AF310" i="12"/>
  <c r="AF78" i="12"/>
  <c r="AF173" i="12"/>
  <c r="AF309" i="12"/>
  <c r="AF172" i="12"/>
  <c r="AF152" i="12"/>
  <c r="AF77" i="12"/>
  <c r="AF75" i="12"/>
  <c r="AF6" i="12"/>
  <c r="AF168" i="12"/>
  <c r="AF150" i="12"/>
  <c r="AG157" i="12" s="1"/>
  <c r="AF74" i="12"/>
  <c r="AF5" i="12"/>
  <c r="AF167" i="12"/>
  <c r="AF149" i="12"/>
  <c r="AG156" i="12" s="1"/>
  <c r="AF73" i="12"/>
  <c r="AG83" i="12" s="1"/>
  <c r="AF148" i="12"/>
  <c r="AG155" i="12" s="1"/>
  <c r="AF3" i="12"/>
  <c r="AF300" i="12"/>
  <c r="AF129" i="12"/>
  <c r="AG137" i="12" s="1"/>
  <c r="AF128" i="12"/>
  <c r="AG136" i="12" s="1"/>
  <c r="AF127" i="12"/>
  <c r="AG135" i="12" s="1"/>
  <c r="AF126" i="12"/>
  <c r="AG134" i="12" s="1"/>
  <c r="AF203" i="12"/>
  <c r="AF204" i="12"/>
  <c r="AF205" i="12"/>
  <c r="AF206" i="12"/>
  <c r="AG222" i="12" l="1"/>
  <c r="AG228" i="12" s="1"/>
  <c r="AG210" i="12"/>
  <c r="AG87" i="12"/>
  <c r="AF118" i="3"/>
  <c r="AG119" i="3" s="1"/>
  <c r="AF159" i="12"/>
  <c r="AG159" i="12"/>
  <c r="AG85" i="12"/>
  <c r="AF108" i="3"/>
  <c r="AG109" i="3" s="1"/>
  <c r="AG211" i="12"/>
  <c r="AG223" i="12"/>
  <c r="AG229" i="12" s="1"/>
  <c r="AG84" i="12"/>
  <c r="AF102" i="3"/>
  <c r="AG103" i="3" s="1"/>
  <c r="AG88" i="12"/>
  <c r="AF123" i="3"/>
  <c r="AG124" i="3" s="1"/>
  <c r="AG221" i="12"/>
  <c r="AG227" i="12" s="1"/>
  <c r="AG209" i="12"/>
  <c r="AF96" i="3"/>
  <c r="AG224" i="12"/>
  <c r="AG230" i="12" s="1"/>
  <c r="AG212" i="12"/>
  <c r="AF86" i="12"/>
  <c r="AG86" i="12"/>
  <c r="AF113" i="3"/>
  <c r="AG114" i="3" s="1"/>
  <c r="AF94" i="12"/>
  <c r="AS4" i="12"/>
  <c r="N9" i="5"/>
  <c r="N10" i="5" s="1"/>
  <c r="AF169" i="12"/>
  <c r="AF217" i="12"/>
  <c r="AF223" i="12"/>
  <c r="AF229" i="12" s="1"/>
  <c r="AF211" i="12"/>
  <c r="AF209" i="12"/>
  <c r="AF221" i="12"/>
  <c r="AF227" i="12" s="1"/>
  <c r="AF215" i="12"/>
  <c r="AF137" i="12"/>
  <c r="AF144" i="12"/>
  <c r="AF91" i="12"/>
  <c r="AF83" i="12"/>
  <c r="AF80" i="12"/>
  <c r="AF98" i="12"/>
  <c r="AF141" i="12"/>
  <c r="AF134" i="12"/>
  <c r="AF131" i="12"/>
  <c r="AF212" i="12"/>
  <c r="AF224" i="12"/>
  <c r="AF230" i="12" s="1"/>
  <c r="AF218" i="12"/>
  <c r="AF216" i="12"/>
  <c r="AF210" i="12"/>
  <c r="AF222" i="12"/>
  <c r="AF228" i="12" s="1"/>
  <c r="AF164" i="12"/>
  <c r="AF157" i="12"/>
  <c r="AF99" i="12"/>
  <c r="AF92" i="12"/>
  <c r="AF84" i="12"/>
  <c r="AF145" i="12"/>
  <c r="AF138" i="12"/>
  <c r="AF135" i="12"/>
  <c r="AF142" i="12"/>
  <c r="AF136" i="12"/>
  <c r="AF143" i="12"/>
  <c r="I5" i="4"/>
  <c r="AF163" i="12"/>
  <c r="AF156" i="12"/>
  <c r="AF96" i="12"/>
  <c r="AF88" i="12"/>
  <c r="AF85" i="12"/>
  <c r="AF93" i="12"/>
  <c r="AF95" i="12"/>
  <c r="AF87" i="12"/>
  <c r="AR308" i="12"/>
  <c r="AF155" i="12"/>
  <c r="AF151" i="12"/>
  <c r="AF162" i="12"/>
  <c r="AF174" i="12"/>
  <c r="AS309" i="12" l="1"/>
  <c r="AH305" i="12"/>
  <c r="AS76" i="12"/>
  <c r="AS86" i="12" s="1"/>
  <c r="AS3" i="12"/>
  <c r="AF133" i="3"/>
  <c r="AF129" i="3"/>
  <c r="AF105" i="3" s="1"/>
  <c r="AF124" i="3"/>
  <c r="AF125" i="3"/>
  <c r="BG123" i="3"/>
  <c r="AF119" i="3"/>
  <c r="AF120" i="3"/>
  <c r="BG118" i="3"/>
  <c r="AF97" i="3"/>
  <c r="AF98" i="3"/>
  <c r="AG96" i="3"/>
  <c r="AG129" i="3" s="1"/>
  <c r="AF107" i="3"/>
  <c r="AF109" i="3"/>
  <c r="AF110" i="3"/>
  <c r="BG108" i="3"/>
  <c r="BG113" i="3"/>
  <c r="BG114" i="3" s="1"/>
  <c r="AF114" i="3"/>
  <c r="AF115" i="3"/>
  <c r="AF103" i="3"/>
  <c r="AF104" i="3"/>
  <c r="BG102" i="3"/>
  <c r="AS172" i="12"/>
  <c r="AS173" i="12"/>
  <c r="AS106" i="12"/>
  <c r="AS78" i="12"/>
  <c r="AS126" i="12"/>
  <c r="AS103" i="12"/>
  <c r="AS127" i="12"/>
  <c r="AS135" i="12" s="1"/>
  <c r="AS168" i="12"/>
  <c r="AS149" i="12"/>
  <c r="AS156" i="12" s="1"/>
  <c r="AS203" i="12"/>
  <c r="AS209" i="12" s="1"/>
  <c r="AS73" i="12"/>
  <c r="AT73" i="12" s="1"/>
  <c r="AS150" i="12"/>
  <c r="AS157" i="12" s="1"/>
  <c r="AS75" i="12"/>
  <c r="AS205" i="12"/>
  <c r="AS211" i="12" s="1"/>
  <c r="AS104" i="12"/>
  <c r="AS101" i="12"/>
  <c r="AS128" i="12"/>
  <c r="AS136" i="12" s="1"/>
  <c r="AS77" i="12"/>
  <c r="AS87" i="12" s="1"/>
  <c r="AS129" i="12"/>
  <c r="AS137" i="12" s="1"/>
  <c r="AS5" i="12"/>
  <c r="AS102" i="12"/>
  <c r="AS74" i="12"/>
  <c r="AS130" i="12"/>
  <c r="AS138" i="12" s="1"/>
  <c r="AS105" i="12"/>
  <c r="AS204" i="12"/>
  <c r="AS210" i="12" s="1"/>
  <c r="AS167" i="12"/>
  <c r="AS148" i="12"/>
  <c r="AS206" i="12"/>
  <c r="AS212" i="12" s="1"/>
  <c r="AU4" i="12"/>
  <c r="AA302" i="12" s="1"/>
  <c r="AB302" i="12" s="1"/>
  <c r="AC302" i="12" s="1"/>
  <c r="AD302" i="12" s="1"/>
  <c r="AE302" i="12" s="1"/>
  <c r="AF302" i="12" s="1"/>
  <c r="AG302" i="12" s="1"/>
  <c r="BG169" i="3"/>
  <c r="N14" i="5"/>
  <c r="I142" i="7"/>
  <c r="I18" i="4"/>
  <c r="I6" i="4"/>
  <c r="I74" i="7"/>
  <c r="I82" i="7"/>
  <c r="I81" i="7"/>
  <c r="I19" i="4"/>
  <c r="I17" i="4"/>
  <c r="AS84" i="12" l="1"/>
  <c r="AT74" i="12"/>
  <c r="AS85" i="12"/>
  <c r="AT75" i="12"/>
  <c r="AS88" i="12"/>
  <c r="AT78" i="12"/>
  <c r="AF121" i="3"/>
  <c r="I79" i="7"/>
  <c r="I77" i="7"/>
  <c r="I75" i="7"/>
  <c r="I143" i="7"/>
  <c r="I38" i="4" s="1"/>
  <c r="AG130" i="3"/>
  <c r="AG131" i="3"/>
  <c r="AG126" i="3"/>
  <c r="AF111" i="3"/>
  <c r="AF126" i="3"/>
  <c r="AF116" i="3"/>
  <c r="AH108" i="3"/>
  <c r="AG107" i="3"/>
  <c r="AG133" i="3"/>
  <c r="BG124" i="3"/>
  <c r="BG103" i="3"/>
  <c r="BG96" i="3"/>
  <c r="AG98" i="3"/>
  <c r="AH96" i="3"/>
  <c r="AH102" i="3"/>
  <c r="AH104" i="3" s="1"/>
  <c r="AF130" i="3"/>
  <c r="AF131" i="3"/>
  <c r="AF171" i="3"/>
  <c r="BG119" i="3"/>
  <c r="AH112" i="3"/>
  <c r="BG109" i="3"/>
  <c r="AF99" i="3"/>
  <c r="AF134" i="3"/>
  <c r="AF135" i="3"/>
  <c r="AS169" i="12"/>
  <c r="AS80" i="12"/>
  <c r="AS83" i="12"/>
  <c r="AS134" i="12"/>
  <c r="AS131" i="12"/>
  <c r="AS107" i="12"/>
  <c r="AS155" i="12"/>
  <c r="AS151" i="12"/>
  <c r="AS174" i="12"/>
  <c r="AH129" i="3" l="1"/>
  <c r="AH110" i="3"/>
  <c r="AH107" i="3"/>
  <c r="AG116" i="3"/>
  <c r="AG121" i="3"/>
  <c r="AG105" i="3"/>
  <c r="AG111" i="3"/>
  <c r="AI102" i="3"/>
  <c r="AG134" i="3"/>
  <c r="AG135" i="3"/>
  <c r="AG99" i="3"/>
  <c r="AH125" i="3"/>
  <c r="BG133" i="3"/>
  <c r="AI96" i="3"/>
  <c r="AH98" i="3"/>
  <c r="BG75" i="3"/>
  <c r="AF58" i="3"/>
  <c r="AF57" i="3"/>
  <c r="AG132" i="3"/>
  <c r="BG129" i="3"/>
  <c r="BG97" i="3"/>
  <c r="AI113" i="3"/>
  <c r="AI112" i="3" s="1"/>
  <c r="AH120" i="3"/>
  <c r="AI118" i="3"/>
  <c r="AI108" i="3"/>
  <c r="AB102" i="2"/>
  <c r="AB101" i="2"/>
  <c r="AH75" i="3" l="1"/>
  <c r="AH130" i="3"/>
  <c r="AH131" i="3"/>
  <c r="AG57" i="3"/>
  <c r="AG58" i="3"/>
  <c r="BG56" i="3"/>
  <c r="AI125" i="3"/>
  <c r="AJ123" i="3"/>
  <c r="AI129" i="3"/>
  <c r="AJ108" i="3"/>
  <c r="AI110" i="3"/>
  <c r="AG138" i="3"/>
  <c r="AI98" i="3"/>
  <c r="AJ96" i="3"/>
  <c r="AJ113" i="3"/>
  <c r="AJ112" i="3" s="1"/>
  <c r="AI115" i="3"/>
  <c r="BG130" i="3"/>
  <c r="AJ118" i="3"/>
  <c r="AI120" i="3"/>
  <c r="AJ102" i="3"/>
  <c r="AI104" i="3"/>
  <c r="AF155" i="3"/>
  <c r="AF166" i="3"/>
  <c r="BG134" i="3"/>
  <c r="BJ43" i="2"/>
  <c r="BG77" i="3" l="1"/>
  <c r="BG78" i="3" s="1"/>
  <c r="AJ125" i="3"/>
  <c r="AK123" i="3"/>
  <c r="AJ129" i="3"/>
  <c r="BG57" i="3"/>
  <c r="BG165" i="3"/>
  <c r="BG60" i="3"/>
  <c r="BG61" i="3" s="1"/>
  <c r="AK96" i="3"/>
  <c r="AJ98" i="3"/>
  <c r="AJ120" i="3"/>
  <c r="AK118" i="3"/>
  <c r="AJ110" i="3"/>
  <c r="AK108" i="3"/>
  <c r="BH108" i="3" s="1"/>
  <c r="AJ104" i="3"/>
  <c r="AK102" i="3"/>
  <c r="BH102" i="3" s="1"/>
  <c r="BH103" i="3" s="1"/>
  <c r="AK113" i="3"/>
  <c r="AK112" i="3" s="1"/>
  <c r="AJ115" i="3"/>
  <c r="AI75" i="3"/>
  <c r="AI130" i="3"/>
  <c r="AI131" i="3"/>
  <c r="BG166" i="3" l="1"/>
  <c r="BH109" i="3"/>
  <c r="AL102" i="3"/>
  <c r="AK104" i="3"/>
  <c r="AL108" i="3"/>
  <c r="AK110" i="3"/>
  <c r="AJ130" i="3"/>
  <c r="AJ131" i="3"/>
  <c r="AJ75" i="3"/>
  <c r="BH96" i="3"/>
  <c r="BH97" i="3" s="1"/>
  <c r="AL96" i="3"/>
  <c r="AK98" i="3"/>
  <c r="AL113" i="3"/>
  <c r="AL112" i="3" s="1"/>
  <c r="AK115" i="3"/>
  <c r="BH123" i="3"/>
  <c r="BH124" i="3" s="1"/>
  <c r="AL123" i="3"/>
  <c r="AK125" i="3"/>
  <c r="AK129" i="3"/>
  <c r="BH113" i="3"/>
  <c r="BH114" i="3" s="1"/>
  <c r="BH118" i="3"/>
  <c r="BH119" i="3" s="1"/>
  <c r="AK120" i="3"/>
  <c r="AL118" i="3"/>
  <c r="AD61" i="2"/>
  <c r="AD57" i="2"/>
  <c r="AL110" i="3" l="1"/>
  <c r="AM108" i="3"/>
  <c r="AM113" i="3"/>
  <c r="AM112" i="3" s="1"/>
  <c r="AL115" i="3"/>
  <c r="BH129" i="3"/>
  <c r="AK131" i="3"/>
  <c r="AK75" i="3"/>
  <c r="BH75" i="3" s="1"/>
  <c r="AK130" i="3"/>
  <c r="AM96" i="3"/>
  <c r="AL98" i="3"/>
  <c r="AL120" i="3"/>
  <c r="AM118" i="3"/>
  <c r="AM102" i="3"/>
  <c r="AL104" i="3"/>
  <c r="AL125" i="3"/>
  <c r="AM123" i="3"/>
  <c r="AL129" i="3"/>
  <c r="AL75" i="3" s="1"/>
  <c r="AD66" i="2"/>
  <c r="AH345" i="70"/>
  <c r="AH101" i="2"/>
  <c r="AD58" i="2"/>
  <c r="AN102" i="3" l="1"/>
  <c r="AM104" i="3"/>
  <c r="AM115" i="3"/>
  <c r="AN113" i="3"/>
  <c r="AN112" i="3" s="1"/>
  <c r="BL129" i="3"/>
  <c r="BH130" i="3"/>
  <c r="AM125" i="3"/>
  <c r="AN123" i="3"/>
  <c r="AM129" i="3"/>
  <c r="AN108" i="3"/>
  <c r="AM110" i="3"/>
  <c r="AL131" i="3"/>
  <c r="AL130" i="3"/>
  <c r="AN96" i="3"/>
  <c r="AM98" i="3"/>
  <c r="AM120" i="3"/>
  <c r="AN118" i="3"/>
  <c r="AD72" i="2"/>
  <c r="AD73" i="2"/>
  <c r="AH347" i="70"/>
  <c r="AH350" i="70"/>
  <c r="AO118" i="3" l="1"/>
  <c r="AP118" i="3" s="1"/>
  <c r="AN120" i="3"/>
  <c r="AM75" i="3"/>
  <c r="AM131" i="3"/>
  <c r="AM130" i="3"/>
  <c r="AO102" i="3"/>
  <c r="AN104" i="3"/>
  <c r="AO113" i="3"/>
  <c r="AN115" i="3"/>
  <c r="AN125" i="3"/>
  <c r="AO123" i="3"/>
  <c r="AN129" i="3"/>
  <c r="AN110" i="3"/>
  <c r="AO108" i="3"/>
  <c r="AO96" i="3"/>
  <c r="AP96" i="3" s="1"/>
  <c r="AN98" i="3"/>
  <c r="AP113" i="3" l="1"/>
  <c r="AQ113" i="3" s="1"/>
  <c r="AO112" i="3"/>
  <c r="BI108" i="3"/>
  <c r="AP108" i="3"/>
  <c r="BI96" i="3"/>
  <c r="BI97" i="3" s="1"/>
  <c r="AQ118" i="3"/>
  <c r="AP120" i="3"/>
  <c r="BI102" i="3"/>
  <c r="BI103" i="3" s="1"/>
  <c r="AP102" i="3"/>
  <c r="AQ96" i="3"/>
  <c r="AP98" i="3"/>
  <c r="BI123" i="3"/>
  <c r="BI124" i="3" s="1"/>
  <c r="AP123" i="3"/>
  <c r="AO104" i="3"/>
  <c r="AO98" i="3"/>
  <c r="AO120" i="3"/>
  <c r="BI113" i="3"/>
  <c r="BI114" i="3" s="1"/>
  <c r="AO115" i="3"/>
  <c r="AO125" i="3"/>
  <c r="AO129" i="3"/>
  <c r="BI129" i="3" s="1"/>
  <c r="BI130" i="3" s="1"/>
  <c r="AO110" i="3"/>
  <c r="AN131" i="3"/>
  <c r="AN130" i="3"/>
  <c r="AN75" i="3"/>
  <c r="BI118" i="3"/>
  <c r="BI119" i="3" s="1"/>
  <c r="AP115" i="3" l="1"/>
  <c r="BI109" i="3"/>
  <c r="AR96" i="3"/>
  <c r="AQ98" i="3"/>
  <c r="AQ123" i="3"/>
  <c r="AP129" i="3"/>
  <c r="AP125" i="3"/>
  <c r="AR113" i="3"/>
  <c r="AQ115" i="3"/>
  <c r="AQ102" i="3"/>
  <c r="AP104" i="3"/>
  <c r="AR118" i="3"/>
  <c r="AQ120" i="3"/>
  <c r="AQ108" i="3"/>
  <c r="AP110" i="3"/>
  <c r="AO131" i="3"/>
  <c r="AO130" i="3"/>
  <c r="AO75" i="3"/>
  <c r="BI75" i="3" s="1"/>
  <c r="AP132" i="3" l="1"/>
  <c r="AO139" i="3"/>
  <c r="AR102" i="3"/>
  <c r="AQ104" i="3"/>
  <c r="AR123" i="3"/>
  <c r="AQ129" i="3"/>
  <c r="AQ125" i="3"/>
  <c r="AP130" i="3"/>
  <c r="AP75" i="3"/>
  <c r="AP131" i="3"/>
  <c r="AR108" i="3"/>
  <c r="AQ110" i="3"/>
  <c r="AS118" i="3"/>
  <c r="BJ118" i="3" s="1"/>
  <c r="BJ119" i="3" s="1"/>
  <c r="AR120" i="3"/>
  <c r="AS113" i="3"/>
  <c r="BJ113" i="3" s="1"/>
  <c r="BJ114" i="3" s="1"/>
  <c r="AR115" i="3"/>
  <c r="AS96" i="3"/>
  <c r="BJ96" i="3" s="1"/>
  <c r="AR98" i="3"/>
  <c r="BJ97" i="3" l="1"/>
  <c r="BJ98" i="3"/>
  <c r="AS108" i="3"/>
  <c r="BJ108" i="3" s="1"/>
  <c r="AR110" i="3"/>
  <c r="AS98" i="3"/>
  <c r="AS123" i="3"/>
  <c r="AR129" i="3"/>
  <c r="AR125" i="3"/>
  <c r="AS120" i="3"/>
  <c r="AQ130" i="3"/>
  <c r="AQ75" i="3"/>
  <c r="AQ131" i="3"/>
  <c r="AS115" i="3"/>
  <c r="AS102" i="3"/>
  <c r="AR104" i="3"/>
  <c r="BJ102" i="3" l="1"/>
  <c r="BJ123" i="3"/>
  <c r="BJ109" i="3"/>
  <c r="AS104" i="3"/>
  <c r="AR130" i="3"/>
  <c r="AR75" i="3"/>
  <c r="AR131" i="3"/>
  <c r="AS129" i="3"/>
  <c r="BJ129" i="3" s="1"/>
  <c r="BJ130" i="3" s="1"/>
  <c r="AS125" i="3"/>
  <c r="AS110" i="3"/>
  <c r="BJ124" i="3" l="1"/>
  <c r="BJ125" i="3"/>
  <c r="BJ103" i="3"/>
  <c r="BJ104" i="3"/>
  <c r="AS130" i="3"/>
  <c r="AS131" i="3"/>
  <c r="AS75" i="3"/>
  <c r="BJ75" i="3" s="1"/>
  <c r="AP100" i="2"/>
  <c r="AP99" i="2" s="1"/>
  <c r="AP45" i="2" s="1"/>
  <c r="AP43" i="2" s="1"/>
  <c r="AQ100" i="2" l="1"/>
  <c r="AR100" i="2" l="1"/>
  <c r="AQ99" i="2"/>
  <c r="AQ45" i="2" s="1"/>
  <c r="AQ43" i="2" s="1"/>
  <c r="AS100" i="2" l="1"/>
  <c r="AR99" i="2"/>
  <c r="AR45" i="2" s="1"/>
  <c r="AR43" i="2" s="1"/>
  <c r="AT100" i="2" l="1"/>
  <c r="AT99" i="2" s="1"/>
  <c r="AT45" i="2" s="1"/>
  <c r="AT43" i="2" s="1"/>
  <c r="AS99" i="2"/>
  <c r="AS45" i="2" s="1"/>
  <c r="AS43" i="2" s="1"/>
  <c r="AU100" i="2" l="1"/>
  <c r="AU99" i="2" s="1"/>
  <c r="AU45" i="2" s="1"/>
  <c r="AU43" i="2" s="1"/>
  <c r="BN45" i="2"/>
  <c r="BN43" i="2" s="1"/>
  <c r="AV100" i="2" l="1"/>
  <c r="AV99" i="2" s="1"/>
  <c r="AV45" i="2" s="1"/>
  <c r="AV43" i="2" s="1"/>
  <c r="AW100" i="2" l="1"/>
  <c r="BJ60" i="2"/>
  <c r="AW99" i="2" l="1"/>
  <c r="AW45" i="2" s="1"/>
  <c r="AW43" i="2" s="1"/>
  <c r="AX100" i="2"/>
  <c r="AX99" i="2" s="1"/>
  <c r="AX45" i="2" s="1"/>
  <c r="AX43" i="2" l="1"/>
  <c r="BO45" i="2"/>
  <c r="BO43" i="2" s="1"/>
  <c r="AY100" i="2"/>
  <c r="AY99" i="2" s="1"/>
  <c r="AY45" i="2" s="1"/>
  <c r="AY43" i="2" s="1"/>
  <c r="BJ53" i="2"/>
  <c r="AZ100" i="2" l="1"/>
  <c r="AZ99" i="2"/>
  <c r="AZ45" i="2" s="1"/>
  <c r="AZ43" i="2" s="1"/>
  <c r="BA100" i="2" l="1"/>
  <c r="BA99" i="2" s="1"/>
  <c r="BA45" i="2" s="1"/>
  <c r="BA43" i="2" s="1"/>
  <c r="BP45" i="2" l="1"/>
  <c r="BP43" i="2" s="1"/>
  <c r="BJ22" i="2" l="1"/>
  <c r="AC23" i="2"/>
  <c r="AC29" i="2"/>
  <c r="AG344" i="70" s="1"/>
  <c r="AG348" i="70" l="1"/>
  <c r="AG351" i="70"/>
  <c r="AC39" i="2"/>
  <c r="BJ23" i="2"/>
  <c r="AC30" i="2"/>
  <c r="U174" i="3" s="1"/>
  <c r="BJ27" i="2"/>
  <c r="F132" i="7" s="1"/>
  <c r="AC51" i="2" l="1"/>
  <c r="F15" i="4"/>
  <c r="F136" i="7"/>
  <c r="F137" i="7" s="1"/>
  <c r="F40" i="4" s="1"/>
  <c r="F41" i="4" s="1"/>
  <c r="K23" i="5" s="1"/>
  <c r="BJ29" i="2"/>
  <c r="AC40" i="2"/>
  <c r="AC31" i="2"/>
  <c r="AC82" i="2"/>
  <c r="AC83" i="2" l="1"/>
  <c r="U176" i="3"/>
  <c r="F45" i="4"/>
  <c r="BJ32" i="2"/>
  <c r="F7" i="4" s="1"/>
  <c r="K25" i="5"/>
  <c r="F61" i="4"/>
  <c r="BJ30" i="2"/>
  <c r="BJ39" i="2"/>
  <c r="AC57" i="2"/>
  <c r="AC61" i="2"/>
  <c r="AC58" i="2"/>
  <c r="F33" i="7"/>
  <c r="L42" i="8"/>
  <c r="BJ42" i="2" l="1"/>
  <c r="AC66" i="2"/>
  <c r="AG345" i="70"/>
  <c r="BJ51" i="2"/>
  <c r="AC62" i="2"/>
  <c r="BJ40" i="2"/>
  <c r="BJ41" i="2"/>
  <c r="F8" i="4" s="1"/>
  <c r="BJ82" i="2"/>
  <c r="K26" i="5"/>
  <c r="U175" i="3"/>
  <c r="BJ31" i="2"/>
  <c r="AC68" i="2" l="1"/>
  <c r="AC73" i="2"/>
  <c r="AC72" i="2"/>
  <c r="U177" i="3"/>
  <c r="AG347" i="70"/>
  <c r="AG350" i="70"/>
  <c r="BJ57" i="2"/>
  <c r="F26" i="4" s="1"/>
  <c r="BJ58" i="2"/>
  <c r="BJ61" i="2" s="1"/>
  <c r="AD68" i="2"/>
  <c r="BJ83" i="2"/>
  <c r="AC67" i="2"/>
  <c r="F23" i="4"/>
  <c r="AD62" i="2"/>
  <c r="BJ66" i="2" l="1"/>
  <c r="L44" i="8"/>
  <c r="L47" i="8" s="1"/>
  <c r="F24" i="4"/>
  <c r="AD67" i="2"/>
  <c r="AC84" i="2"/>
  <c r="BJ62" i="2"/>
  <c r="F9" i="4" s="1"/>
  <c r="BJ68" i="2" l="1"/>
  <c r="F10" i="4" s="1"/>
  <c r="BJ67" i="2"/>
  <c r="BJ77" i="2"/>
  <c r="F11" i="4" s="1"/>
  <c r="K15" i="5"/>
  <c r="AD84" i="2"/>
  <c r="F37" i="4"/>
  <c r="L84" i="8"/>
  <c r="L89" i="8" s="1"/>
  <c r="L85" i="8"/>
  <c r="BJ84" i="2" l="1"/>
  <c r="L99" i="8"/>
  <c r="L100" i="8"/>
  <c r="L97" i="8"/>
  <c r="L96" i="8"/>
  <c r="F25" i="4" l="1"/>
  <c r="F48" i="4" s="1"/>
  <c r="F69" i="4"/>
  <c r="F81" i="4" l="1"/>
  <c r="F7" i="7" l="1"/>
  <c r="L75" i="8"/>
  <c r="L79" i="8" s="1"/>
  <c r="L81" i="8" s="1"/>
  <c r="M80" i="8" l="1"/>
  <c r="F54" i="4"/>
  <c r="K24" i="5" s="1"/>
  <c r="F35" i="7"/>
  <c r="L82" i="8" l="1"/>
  <c r="AC103" i="2"/>
  <c r="F55" i="4"/>
  <c r="F89" i="4"/>
  <c r="F91" i="4" s="1"/>
  <c r="F67" i="7"/>
  <c r="K21" i="5"/>
  <c r="F31" i="4"/>
  <c r="K22" i="5" s="1"/>
  <c r="F80" i="4"/>
  <c r="F147" i="7" l="1"/>
  <c r="F57" i="4" s="1"/>
  <c r="F69" i="7"/>
  <c r="F58" i="4" l="1"/>
  <c r="F43" i="4"/>
  <c r="F59" i="4"/>
  <c r="F50" i="4"/>
  <c r="F71" i="7"/>
  <c r="F34" i="4"/>
  <c r="F49" i="4" s="1"/>
  <c r="F33" i="4"/>
  <c r="F32" i="4"/>
  <c r="F51" i="4" l="1"/>
  <c r="F60" i="4"/>
  <c r="F44" i="4"/>
  <c r="F74" i="7" l="1"/>
  <c r="F102" i="7" l="1"/>
  <c r="F104" i="7" s="1"/>
  <c r="F110" i="7" s="1"/>
  <c r="F78" i="7" l="1"/>
  <c r="G54" i="7" l="1"/>
  <c r="V157" i="3" l="1"/>
  <c r="V158" i="3" l="1"/>
  <c r="W158" i="3"/>
  <c r="W301" i="12" l="1"/>
  <c r="X301" i="12"/>
  <c r="AE80" i="2"/>
  <c r="AE81" i="2"/>
  <c r="AE27" i="2"/>
  <c r="AE29" i="2" s="1"/>
  <c r="AE225" i="2" s="1"/>
  <c r="AE229" i="2" s="1"/>
  <c r="AE18" i="2"/>
  <c r="AI344" i="70" l="1"/>
  <c r="AE30" i="2"/>
  <c r="W174" i="3" s="1"/>
  <c r="AE39" i="2"/>
  <c r="AE51" i="2" s="1"/>
  <c r="AF81" i="2"/>
  <c r="AF80" i="2"/>
  <c r="AF18" i="2"/>
  <c r="AI351" i="70" l="1"/>
  <c r="AI348" i="70"/>
  <c r="AE40" i="2"/>
  <c r="AE57" i="2"/>
  <c r="AE31" i="2"/>
  <c r="AE82" i="2"/>
  <c r="AE83" i="2" l="1"/>
  <c r="W176" i="3"/>
  <c r="AE58" i="2" l="1"/>
  <c r="AE61" i="2"/>
  <c r="AI345" i="70" s="1"/>
  <c r="AI347" i="70" l="1"/>
  <c r="AI350" i="70"/>
  <c r="AE62" i="2"/>
  <c r="AE66" i="2"/>
  <c r="AE226" i="2" l="1"/>
  <c r="AE228" i="2" s="1"/>
  <c r="AE73" i="2"/>
  <c r="AE72" i="2"/>
  <c r="AE68" i="2"/>
  <c r="AE67" i="2"/>
  <c r="AE84" i="2" l="1"/>
  <c r="AQ70" i="2" l="1"/>
  <c r="AR70" i="2" l="1"/>
  <c r="AS70" i="2" l="1"/>
  <c r="AT70" i="2" s="1"/>
  <c r="AU70" i="2" s="1"/>
  <c r="AV70" i="2" s="1"/>
  <c r="AW70" i="2" s="1"/>
  <c r="AX70" i="2" s="1"/>
  <c r="AY70" i="2" s="1"/>
  <c r="AZ70" i="2" s="1"/>
  <c r="BA70" i="2" s="1"/>
  <c r="BP70" i="2"/>
  <c r="BN70" i="2"/>
  <c r="BO70" i="2"/>
  <c r="AE102" i="2" l="1"/>
  <c r="AF27" i="2" l="1"/>
  <c r="AF29" i="2" s="1"/>
  <c r="AJ344" i="70" l="1"/>
  <c r="AJ348" i="70" s="1"/>
  <c r="AF30" i="2"/>
  <c r="X174" i="3" s="1"/>
  <c r="AF39" i="2"/>
  <c r="AF51" i="2" s="1"/>
  <c r="BK23" i="2"/>
  <c r="AJ351" i="70" l="1"/>
  <c r="AF40" i="2"/>
  <c r="AF31" i="2"/>
  <c r="AF82" i="2"/>
  <c r="AF57" i="2" l="1"/>
  <c r="AF83" i="2"/>
  <c r="X176" i="3"/>
  <c r="AF61" i="2"/>
  <c r="AJ345" i="70" l="1"/>
  <c r="AJ350" i="70" s="1"/>
  <c r="AF66" i="2"/>
  <c r="AF58" i="2"/>
  <c r="AF62" i="2"/>
  <c r="AF73" i="2" l="1"/>
  <c r="AF72" i="2"/>
  <c r="AJ347" i="70"/>
  <c r="AF67" i="2"/>
  <c r="AF84" i="2" s="1"/>
  <c r="AF68" i="2"/>
  <c r="X157" i="3" l="1"/>
  <c r="X158" i="3" l="1"/>
  <c r="Y158" i="3"/>
  <c r="Y301" i="12" l="1"/>
  <c r="AG18" i="2"/>
  <c r="AG80" i="2"/>
  <c r="G16" i="4" l="1"/>
  <c r="BK18" i="2"/>
  <c r="BK80" i="2"/>
  <c r="G22" i="4" l="1"/>
  <c r="M42" i="8" l="1"/>
  <c r="G33" i="7"/>
  <c r="BK60" i="2" l="1"/>
  <c r="D67" i="4" l="1"/>
  <c r="C66" i="4"/>
  <c r="C74" i="4" s="1"/>
  <c r="H19" i="5" s="1"/>
  <c r="E68" i="4"/>
  <c r="E75" i="4" s="1"/>
  <c r="F68" i="4"/>
  <c r="F75" i="4" s="1"/>
  <c r="D66" i="4"/>
  <c r="D68" i="4"/>
  <c r="D75" i="4" s="1"/>
  <c r="C67" i="4"/>
  <c r="E67" i="4"/>
  <c r="C5" i="5"/>
  <c r="G68" i="4"/>
  <c r="G75" i="4" s="1"/>
  <c r="G19" i="5"/>
  <c r="C68" i="4"/>
  <c r="C75" i="4" s="1"/>
  <c r="F67" i="4"/>
  <c r="E66" i="4"/>
  <c r="F66" i="4"/>
  <c r="F74" i="4" l="1"/>
  <c r="I84" i="4"/>
  <c r="J86" i="4"/>
  <c r="E74" i="4"/>
  <c r="D74" i="4"/>
  <c r="K19" i="5" l="1"/>
  <c r="I19" i="5"/>
  <c r="J19" i="5"/>
  <c r="H84" i="4"/>
  <c r="I86" i="4"/>
  <c r="I79" i="4" s="1"/>
  <c r="G84" i="4" l="1"/>
  <c r="H86" i="4"/>
  <c r="H79" i="4" s="1"/>
  <c r="G86" i="4" l="1"/>
  <c r="G79" i="4" s="1"/>
  <c r="F84" i="4"/>
  <c r="F86" i="4" l="1"/>
  <c r="E84" i="4"/>
  <c r="G7" i="7"/>
  <c r="M75" i="8"/>
  <c r="D84" i="4" l="1"/>
  <c r="E86" i="4"/>
  <c r="F79" i="4"/>
  <c r="F92" i="4"/>
  <c r="G54" i="4"/>
  <c r="L24" i="5" s="1"/>
  <c r="G35" i="7"/>
  <c r="G66" i="4"/>
  <c r="D86" i="4" l="1"/>
  <c r="C84" i="4"/>
  <c r="F76" i="4"/>
  <c r="F78" i="4"/>
  <c r="F77" i="4"/>
  <c r="E79" i="4"/>
  <c r="E92" i="4"/>
  <c r="G80" i="4"/>
  <c r="AG103" i="2"/>
  <c r="G67" i="7"/>
  <c r="G55" i="4"/>
  <c r="G89" i="4"/>
  <c r="G91" i="4" s="1"/>
  <c r="G92" i="4" s="1"/>
  <c r="G74" i="4"/>
  <c r="K20" i="5" l="1"/>
  <c r="C86" i="4"/>
  <c r="D79" i="4"/>
  <c r="D92" i="4"/>
  <c r="E77" i="4"/>
  <c r="E78" i="4"/>
  <c r="E76" i="4"/>
  <c r="K18" i="5"/>
  <c r="G76" i="4"/>
  <c r="G147" i="7"/>
  <c r="G57" i="4" s="1"/>
  <c r="G69" i="7"/>
  <c r="L19" i="5"/>
  <c r="J20" i="5" l="1"/>
  <c r="L20" i="5"/>
  <c r="C92" i="4"/>
  <c r="C79" i="4"/>
  <c r="J18" i="5"/>
  <c r="D76" i="4"/>
  <c r="D77" i="4"/>
  <c r="D78" i="4"/>
  <c r="G34" i="4"/>
  <c r="G49" i="4" s="1"/>
  <c r="G50" i="4"/>
  <c r="G71" i="7"/>
  <c r="G43" i="4"/>
  <c r="G59" i="4"/>
  <c r="G58" i="4"/>
  <c r="I20" i="5" l="1"/>
  <c r="C76" i="4"/>
  <c r="H20" i="5" s="1"/>
  <c r="C78" i="4"/>
  <c r="C77" i="4"/>
  <c r="H18" i="5" s="1"/>
  <c r="I18" i="5"/>
  <c r="G60" i="4"/>
  <c r="G44" i="4"/>
  <c r="G20" i="5" l="1"/>
  <c r="G18" i="5"/>
  <c r="AF102" i="2" l="1"/>
  <c r="AG102" i="2"/>
  <c r="AA60" i="3" l="1"/>
  <c r="AE67" i="3" l="1"/>
  <c r="AE71" i="3" s="1"/>
  <c r="AE70" i="3" s="1"/>
  <c r="BF60" i="3"/>
  <c r="AA65" i="3"/>
  <c r="AA64" i="3" s="1"/>
  <c r="AC171" i="3" l="1"/>
  <c r="BF154" i="3" l="1"/>
  <c r="BF155" i="3" s="1"/>
  <c r="AD301" i="12" l="1"/>
  <c r="H16" i="4"/>
  <c r="H22" i="4"/>
  <c r="AI157" i="3" l="1"/>
  <c r="AH162" i="3"/>
  <c r="AH154" i="3" s="1"/>
  <c r="AF301" i="12" l="1"/>
  <c r="BG154" i="3"/>
  <c r="BG155" i="3" s="1"/>
  <c r="AJ157" i="3"/>
  <c r="AI162" i="3"/>
  <c r="AG301" i="12" l="1"/>
  <c r="AP15" i="2"/>
  <c r="I16" i="4"/>
  <c r="I22" i="4"/>
  <c r="BG174" i="3"/>
  <c r="BG171" i="3"/>
  <c r="BG172" i="3" s="1"/>
  <c r="AI154" i="3"/>
  <c r="AK157" i="3"/>
  <c r="AJ162" i="3"/>
  <c r="AK162" i="3" l="1"/>
  <c r="AK154" i="3" s="1"/>
  <c r="AL157" i="3"/>
  <c r="AQ15" i="2"/>
  <c r="AJ154" i="3"/>
  <c r="AM157" i="3" l="1"/>
  <c r="AL162" i="3"/>
  <c r="AL154" i="3" s="1"/>
  <c r="AT15" i="2" s="1"/>
  <c r="AS15" i="2"/>
  <c r="AR15" i="2"/>
  <c r="BH154" i="3"/>
  <c r="H67" i="4"/>
  <c r="BG176" i="3" l="1"/>
  <c r="AN157" i="3"/>
  <c r="AM162" i="3"/>
  <c r="AM154" i="3" s="1"/>
  <c r="BN15" i="2"/>
  <c r="S84" i="8"/>
  <c r="AU15" i="2" l="1"/>
  <c r="AO157" i="3"/>
  <c r="AN162" i="3"/>
  <c r="AN154" i="3" s="1"/>
  <c r="AV15" i="2" s="1"/>
  <c r="AO162" i="3" l="1"/>
  <c r="AO154" i="3" s="1"/>
  <c r="AP157" i="3"/>
  <c r="AW15" i="2" l="1"/>
  <c r="BO15" i="2" s="1"/>
  <c r="BI154" i="3"/>
  <c r="AQ157" i="3"/>
  <c r="AP162" i="3"/>
  <c r="AP154" i="3" s="1"/>
  <c r="AX15" i="2" l="1"/>
  <c r="AQ162" i="3"/>
  <c r="AQ154" i="3" s="1"/>
  <c r="AY15" i="2" s="1"/>
  <c r="AR157" i="3"/>
  <c r="AS157" i="3" l="1"/>
  <c r="AS162" i="3" s="1"/>
  <c r="AS154" i="3" s="1"/>
  <c r="BA15" i="2" s="1"/>
  <c r="AR162" i="3"/>
  <c r="AR154" i="3" s="1"/>
  <c r="AZ15" i="2" l="1"/>
  <c r="BJ154" i="3"/>
  <c r="BP15" i="2" l="1"/>
  <c r="H66" i="4" l="1"/>
  <c r="H54" i="4" l="1"/>
  <c r="H74" i="4"/>
  <c r="H55" i="4"/>
  <c r="H89" i="4"/>
  <c r="H91" i="4" s="1"/>
  <c r="H92" i="4" s="1"/>
  <c r="H80" i="4" l="1"/>
  <c r="M24" i="5"/>
  <c r="H76" i="4"/>
  <c r="H57" i="4"/>
  <c r="M19" i="5"/>
  <c r="M20" i="5" l="1"/>
  <c r="H58" i="4"/>
  <c r="H43" i="4"/>
  <c r="H59" i="4"/>
  <c r="H34" i="4"/>
  <c r="H49" i="4" s="1"/>
  <c r="H50" i="4"/>
  <c r="H44" i="4" l="1"/>
  <c r="H60" i="4"/>
  <c r="AB71" i="3" l="1"/>
  <c r="AB70" i="3" s="1"/>
  <c r="I68" i="4"/>
  <c r="I75" i="4" s="1"/>
  <c r="H73" i="7"/>
  <c r="H74" i="7" s="1"/>
  <c r="BL21" i="2" l="1"/>
  <c r="BL81" i="2"/>
  <c r="H17" i="4"/>
  <c r="AJ81" i="2"/>
  <c r="AJ21" i="2"/>
  <c r="AB165" i="3"/>
  <c r="AB166" i="3" s="1"/>
  <c r="AB171" i="3" l="1"/>
  <c r="AC167" i="3"/>
  <c r="BF165" i="3"/>
  <c r="BF166" i="3" s="1"/>
  <c r="H132" i="7"/>
  <c r="H136" i="7"/>
  <c r="H137" i="7" s="1"/>
  <c r="H40" i="4" s="1"/>
  <c r="H41" i="4" s="1"/>
  <c r="M23" i="5" s="1"/>
  <c r="H15" i="4"/>
  <c r="M25" i="5" l="1"/>
  <c r="H61" i="4"/>
  <c r="BL30" i="2"/>
  <c r="AC175" i="3" s="1"/>
  <c r="N93" i="8"/>
  <c r="N97" i="8" s="1"/>
  <c r="H77" i="4"/>
  <c r="H45" i="4"/>
  <c r="BF171" i="3"/>
  <c r="BF172" i="3" s="1"/>
  <c r="N100" i="8" l="1"/>
  <c r="M26" i="5"/>
  <c r="BL82" i="2"/>
  <c r="BL31" i="2"/>
  <c r="BL40" i="2"/>
  <c r="AC177" i="3" s="1"/>
  <c r="H78" i="4"/>
  <c r="H37" i="4"/>
  <c r="BL42" i="2"/>
  <c r="M18" i="5"/>
  <c r="BL57" i="2" l="1"/>
  <c r="H26" i="4" s="1"/>
  <c r="BL58" i="2"/>
  <c r="H23" i="4"/>
  <c r="BL83" i="2"/>
  <c r="BL61" i="2" l="1"/>
  <c r="H31" i="4"/>
  <c r="M22" i="5" s="1"/>
  <c r="H33" i="4"/>
  <c r="H24" i="4"/>
  <c r="BL66" i="2" l="1"/>
  <c r="BL71" i="2" l="1"/>
  <c r="BL70" i="2"/>
  <c r="N92" i="8"/>
  <c r="M15" i="5"/>
  <c r="H32" i="4"/>
  <c r="BL67" i="2"/>
  <c r="M21" i="5" l="1"/>
  <c r="BL84" i="2"/>
  <c r="N96" i="8"/>
  <c r="N99" i="8"/>
  <c r="H25" i="4" l="1"/>
  <c r="H48" i="4" s="1"/>
  <c r="H51" i="4" s="1"/>
  <c r="AG30" i="2" l="1"/>
  <c r="Y174" i="3" s="1"/>
  <c r="AK344" i="70"/>
  <c r="AK348" i="70" s="1"/>
  <c r="AG27" i="2"/>
  <c r="AG20" i="2" s="1"/>
  <c r="AG39" i="2"/>
  <c r="AG51" i="2" s="1"/>
  <c r="AG31" i="2" l="1"/>
  <c r="AG82" i="2"/>
  <c r="Y165" i="3"/>
  <c r="AG21" i="2"/>
  <c r="AG81" i="2"/>
  <c r="AG61" i="2"/>
  <c r="AG58" i="2"/>
  <c r="AG57" i="2"/>
  <c r="AK351" i="70"/>
  <c r="AG40" i="2"/>
  <c r="AG66" i="2" l="1"/>
  <c r="G17" i="4"/>
  <c r="BK21" i="2"/>
  <c r="BK81" i="2"/>
  <c r="Z167" i="3"/>
  <c r="Y166" i="3"/>
  <c r="Y167" i="3"/>
  <c r="BE165" i="3"/>
  <c r="BE166" i="3" s="1"/>
  <c r="AG83" i="2"/>
  <c r="Y176" i="3"/>
  <c r="AK345" i="70"/>
  <c r="AG62" i="2"/>
  <c r="AH62" i="2"/>
  <c r="AG73" i="2" l="1"/>
  <c r="AG72" i="2"/>
  <c r="G132" i="7"/>
  <c r="G15" i="4"/>
  <c r="G136" i="7"/>
  <c r="G137" i="7" s="1"/>
  <c r="G40" i="4" s="1"/>
  <c r="G41" i="4" s="1"/>
  <c r="L23" i="5" s="1"/>
  <c r="AG67" i="2"/>
  <c r="AG84" i="2" s="1"/>
  <c r="AG68" i="2"/>
  <c r="AH68" i="2"/>
  <c r="AK350" i="70"/>
  <c r="AK347" i="70"/>
  <c r="G45" i="4" l="1"/>
  <c r="M93" i="8"/>
  <c r="L25" i="5"/>
  <c r="BK32" i="2"/>
  <c r="G7" i="4" s="1"/>
  <c r="G61" i="4"/>
  <c r="BK30" i="2"/>
  <c r="G77" i="4"/>
  <c r="BL32" i="2"/>
  <c r="H7" i="4" s="1"/>
  <c r="L18" i="5" l="1"/>
  <c r="BK82" i="2"/>
  <c r="BK31" i="2"/>
  <c r="Y175" i="3"/>
  <c r="L26" i="5"/>
  <c r="BL94" i="2" l="1"/>
  <c r="G23" i="4"/>
  <c r="BL41" i="2"/>
  <c r="H8" i="4" s="1"/>
  <c r="BK41" i="2"/>
  <c r="G8" i="4" s="1"/>
  <c r="G78" i="4"/>
  <c r="BK40" i="2"/>
  <c r="BK83" i="2" l="1"/>
  <c r="BL88" i="2"/>
  <c r="G19" i="4"/>
  <c r="BK38" i="2"/>
  <c r="Y177" i="3"/>
  <c r="G24" i="4" l="1"/>
  <c r="BL89" i="2"/>
  <c r="BL93" i="2" s="1"/>
  <c r="M27" i="8"/>
  <c r="M44" i="8" s="1"/>
  <c r="M47" i="8" s="1"/>
  <c r="M85" i="8" l="1"/>
  <c r="G67" i="4"/>
  <c r="M84" i="8"/>
  <c r="M79" i="8"/>
  <c r="M81" i="8" s="1"/>
  <c r="G37" i="4"/>
  <c r="M82" i="8" l="1"/>
  <c r="N80" i="8"/>
  <c r="N81" i="8" s="1"/>
  <c r="O80" i="8" s="1"/>
  <c r="O81" i="8" s="1"/>
  <c r="O82" i="8" s="1"/>
  <c r="M100" i="8"/>
  <c r="H68" i="4"/>
  <c r="H75" i="4" s="1"/>
  <c r="M97" i="8"/>
  <c r="N82" i="8" l="1"/>
  <c r="BK42" i="2" l="1"/>
  <c r="BK58" i="2"/>
  <c r="BK65" i="2" s="1"/>
  <c r="BK61" i="2" l="1"/>
  <c r="BK66" i="2" s="1"/>
  <c r="BK57" i="2"/>
  <c r="G26" i="4" s="1"/>
  <c r="BK62" i="2" l="1"/>
  <c r="G9" i="4" s="1"/>
  <c r="BL62" i="2"/>
  <c r="H9" i="4" s="1"/>
  <c r="BK70" i="2"/>
  <c r="BK71" i="2"/>
  <c r="BK91" i="2" s="1"/>
  <c r="BK77" i="2"/>
  <c r="G11" i="4" s="1"/>
  <c r="L16" i="5"/>
  <c r="G64" i="4"/>
  <c r="G33" i="4"/>
  <c r="G31" i="4"/>
  <c r="L22" i="5" s="1"/>
  <c r="BL68" i="2" l="1"/>
  <c r="H10" i="4" s="1"/>
  <c r="L15" i="5"/>
  <c r="M92" i="8"/>
  <c r="BK67" i="2"/>
  <c r="G32" i="4"/>
  <c r="BK68" i="2"/>
  <c r="G10" i="4" s="1"/>
  <c r="G65" i="4"/>
  <c r="M86" i="8"/>
  <c r="M88" i="8" s="1"/>
  <c r="G72" i="4"/>
  <c r="BK84" i="2" l="1"/>
  <c r="L21" i="5"/>
  <c r="M99" i="8"/>
  <c r="M96" i="8"/>
  <c r="G73" i="4"/>
  <c r="L17" i="5"/>
  <c r="G25" i="4" l="1"/>
  <c r="G48" i="4" s="1"/>
  <c r="G51" i="4" s="1"/>
  <c r="BK88" i="2" l="1"/>
  <c r="G82" i="4"/>
  <c r="G69" i="4"/>
  <c r="BK89" i="2" l="1"/>
  <c r="BK93" i="2" s="1"/>
  <c r="G81" i="4"/>
  <c r="BJ78" i="2" l="1"/>
  <c r="F12" i="4" s="1"/>
  <c r="BK78" i="2"/>
  <c r="G12" i="4" s="1"/>
  <c r="F64" i="4"/>
  <c r="K16" i="5"/>
  <c r="F82" i="4"/>
  <c r="F72" i="4" l="1"/>
  <c r="L86" i="8"/>
  <c r="L88" i="8" s="1"/>
  <c r="BJ94" i="2"/>
  <c r="BJ88" i="2"/>
  <c r="F65" i="4"/>
  <c r="K17" i="5" l="1"/>
  <c r="F73" i="4"/>
  <c r="BJ89" i="2"/>
  <c r="BJ93" i="2" s="1"/>
  <c r="AK29" i="2" l="1"/>
  <c r="AK39" i="2" s="1"/>
  <c r="AK30" i="2" l="1"/>
  <c r="AK82" i="2" l="1"/>
  <c r="AK31" i="2"/>
  <c r="AC174" i="3"/>
  <c r="BF174" i="3" s="1"/>
  <c r="AK51" i="2"/>
  <c r="AL41" i="2"/>
  <c r="AK40" i="2"/>
  <c r="AK42" i="2"/>
  <c r="AK41" i="2"/>
  <c r="AC176" i="3" l="1"/>
  <c r="BF176" i="3" s="1"/>
  <c r="AK83" i="2"/>
  <c r="AK57" i="2"/>
  <c r="AK61" i="2"/>
  <c r="AK66" i="2" s="1"/>
  <c r="AK58" i="2"/>
  <c r="AK71" i="2" l="1"/>
  <c r="AK73" i="2" s="1"/>
  <c r="AK70" i="2"/>
  <c r="AK72" i="2" s="1"/>
  <c r="AK62" i="2"/>
  <c r="AL62" i="2"/>
  <c r="AK67" i="2" l="1"/>
  <c r="AK84" i="2" s="1"/>
  <c r="AK68" i="2"/>
  <c r="AL68" i="2"/>
  <c r="H106" i="7" l="1"/>
  <c r="G81" i="7"/>
  <c r="H108" i="7" l="1"/>
  <c r="I107" i="7"/>
  <c r="G82" i="7"/>
  <c r="I97" i="7"/>
  <c r="I122" i="7"/>
  <c r="I106" i="7" l="1"/>
  <c r="I108" i="7" l="1"/>
  <c r="I104" i="7" s="1"/>
  <c r="G92" i="7"/>
  <c r="F35" i="4"/>
  <c r="F93" i="7"/>
  <c r="G93" i="7"/>
  <c r="H92" i="7"/>
  <c r="G35" i="4"/>
  <c r="F100" i="7"/>
  <c r="G76" i="7" s="1"/>
  <c r="F97" i="7"/>
  <c r="G96" i="7"/>
  <c r="J106" i="7" l="1"/>
  <c r="G100" i="7"/>
  <c r="G97" i="7"/>
  <c r="H96" i="7"/>
  <c r="H97" i="7" s="1"/>
  <c r="I96" i="7" l="1"/>
  <c r="H76" i="7"/>
  <c r="I98" i="7" l="1"/>
  <c r="H35" i="4"/>
  <c r="I92" i="7"/>
  <c r="H93" i="7"/>
  <c r="I94" i="7" l="1"/>
  <c r="I93" i="7" s="1"/>
  <c r="J96" i="7"/>
  <c r="I35" i="4"/>
  <c r="J92" i="7" l="1"/>
  <c r="J94" i="7" s="1"/>
  <c r="K92" i="7"/>
  <c r="K94" i="7" s="1"/>
  <c r="L92" i="7" l="1"/>
  <c r="L94" i="7" s="1"/>
  <c r="I36" i="4"/>
  <c r="G102" i="7" l="1"/>
  <c r="G104" i="7" l="1"/>
  <c r="G110" i="7" s="1"/>
  <c r="G78" i="7"/>
  <c r="G113" i="7"/>
  <c r="F114" i="7"/>
  <c r="H102" i="7"/>
  <c r="H104" i="7" l="1"/>
  <c r="H78" i="7"/>
  <c r="H110" i="7" l="1"/>
  <c r="I102" i="7"/>
  <c r="I103" i="7" s="1"/>
  <c r="H113" i="7" l="1"/>
  <c r="G114" i="7"/>
  <c r="G80" i="7"/>
  <c r="F122" i="7"/>
  <c r="G121" i="7"/>
  <c r="H80" i="7"/>
  <c r="H121" i="7"/>
  <c r="H122" i="7" s="1"/>
  <c r="J102" i="7" l="1"/>
  <c r="J104" i="7" s="1"/>
  <c r="I121" i="7"/>
  <c r="G122" i="7"/>
  <c r="K102" i="7" l="1"/>
  <c r="K104" i="7" s="1"/>
  <c r="L102" i="7" s="1"/>
  <c r="L104" i="7" s="1"/>
  <c r="I123" i="7"/>
  <c r="H114" i="7"/>
  <c r="I113" i="7"/>
  <c r="J121" i="7" l="1"/>
  <c r="I127" i="7" l="1"/>
  <c r="K113" i="7"/>
  <c r="K115" i="7" s="1"/>
  <c r="L113" i="7" l="1"/>
  <c r="L115" i="7" s="1"/>
  <c r="I15" i="4" l="1"/>
  <c r="BM29" i="2"/>
  <c r="I136" i="7"/>
  <c r="I137" i="7" s="1"/>
  <c r="I40" i="4" s="1"/>
  <c r="I41" i="4" s="1"/>
  <c r="N23" i="5" s="1"/>
  <c r="I45" i="4" l="1"/>
  <c r="I61" i="4"/>
  <c r="O93" i="8"/>
  <c r="BM39" i="2"/>
  <c r="BM30" i="2"/>
  <c r="AG175" i="3" s="1"/>
  <c r="BM32" i="2"/>
  <c r="I7" i="4" s="1"/>
  <c r="N25" i="5"/>
  <c r="BM51" i="2" l="1"/>
  <c r="BM41" i="2"/>
  <c r="I8" i="4" s="1"/>
  <c r="BM40" i="2"/>
  <c r="BM42" i="2"/>
  <c r="O100" i="8"/>
  <c r="O97" i="8"/>
  <c r="BM31" i="2"/>
  <c r="N26" i="5"/>
  <c r="BM82" i="2"/>
  <c r="BM83" i="2" l="1"/>
  <c r="AG177" i="3"/>
  <c r="BM58" i="2"/>
  <c r="BM61" i="2" s="1"/>
  <c r="BM57" i="2"/>
  <c r="I26" i="4" s="1"/>
  <c r="I37" i="4"/>
  <c r="I67" i="4"/>
  <c r="I23" i="4"/>
  <c r="I24" i="4" l="1"/>
  <c r="BM66" i="2"/>
  <c r="BM62" i="2"/>
  <c r="I9" i="4" s="1"/>
  <c r="J68" i="4"/>
  <c r="J75" i="4" s="1"/>
  <c r="O92" i="8" l="1"/>
  <c r="O86" i="8"/>
  <c r="O88" i="8" s="1"/>
  <c r="BM67" i="2"/>
  <c r="N15" i="5"/>
  <c r="BM68" i="2"/>
  <c r="I10" i="4" s="1"/>
  <c r="BM84" i="2" l="1"/>
  <c r="O99" i="8"/>
  <c r="O96" i="8"/>
  <c r="BM72" i="2"/>
  <c r="I65" i="4"/>
  <c r="I73" i="4" s="1"/>
  <c r="BM73" i="2"/>
  <c r="I25" i="4" l="1"/>
  <c r="I48" i="4" s="1"/>
  <c r="I64" i="4"/>
  <c r="N16" i="5"/>
  <c r="I72" i="4" l="1"/>
  <c r="N17" i="5" l="1"/>
  <c r="BL72" i="2"/>
  <c r="BL77" i="2" s="1"/>
  <c r="H11" i="4" s="1"/>
  <c r="N86" i="8"/>
  <c r="N88" i="8" s="1"/>
  <c r="H65" i="4"/>
  <c r="BL91" i="2"/>
  <c r="BL73" i="2"/>
  <c r="M16" i="5" s="1"/>
  <c r="H82" i="4" l="1"/>
  <c r="H73" i="4"/>
  <c r="BM77" i="2"/>
  <c r="I11" i="4" s="1"/>
  <c r="H69" i="4"/>
  <c r="BM78" i="2"/>
  <c r="I12" i="4" s="1"/>
  <c r="BL78" i="2"/>
  <c r="H12" i="4" s="1"/>
  <c r="H64" i="4"/>
  <c r="H72" i="4" l="1"/>
  <c r="H81" i="4"/>
  <c r="M17" i="5" l="1"/>
  <c r="I31" i="4"/>
  <c r="I33" i="4"/>
  <c r="I89" i="4"/>
  <c r="I91" i="4" s="1"/>
  <c r="I92" i="4" s="1"/>
  <c r="I50" i="4"/>
  <c r="I71" i="7"/>
  <c r="I32" i="4"/>
  <c r="I66" i="4"/>
  <c r="I74" i="4" s="1"/>
  <c r="I147" i="7"/>
  <c r="I57" i="4" s="1"/>
  <c r="I59" i="4" s="1"/>
  <c r="I54" i="4"/>
  <c r="I34" i="4"/>
  <c r="I49" i="4" s="1"/>
  <c r="N21" i="5"/>
  <c r="I55" i="4"/>
  <c r="N22" i="5" l="1"/>
  <c r="N24" i="5"/>
  <c r="I51" i="4"/>
  <c r="I77" i="4"/>
  <c r="I78" i="4"/>
  <c r="I43" i="4"/>
  <c r="I58" i="4"/>
  <c r="I76" i="4"/>
  <c r="N19" i="5"/>
  <c r="I80" i="4"/>
  <c r="N20" i="5" l="1"/>
  <c r="N18" i="5"/>
  <c r="I44" i="4"/>
  <c r="I60" i="4"/>
  <c r="BM87" i="2" l="1"/>
  <c r="BM94" i="2" s="1"/>
  <c r="P80" i="8"/>
  <c r="BM88" i="2" l="1"/>
  <c r="I82" i="4" l="1"/>
  <c r="I69" i="4"/>
  <c r="BM89" i="2"/>
  <c r="BM93" i="2" s="1"/>
  <c r="I81" i="4" l="1"/>
  <c r="R10" i="8" l="1"/>
  <c r="R71" i="8"/>
  <c r="AX48" i="2"/>
  <c r="AK133" i="3"/>
  <c r="AK135" i="3" s="1"/>
  <c r="AO142" i="3"/>
  <c r="AS142" i="3" s="1"/>
  <c r="AH133" i="3"/>
  <c r="AO147" i="3"/>
  <c r="AH111" i="3" l="1"/>
  <c r="AH56" i="3"/>
  <c r="AH57" i="3" s="1"/>
  <c r="AH105" i="3"/>
  <c r="AS147" i="3"/>
  <c r="AL144" i="3"/>
  <c r="AM144" i="3" s="1"/>
  <c r="AN144" i="3" s="1"/>
  <c r="AO144" i="3" s="1"/>
  <c r="AO143" i="3" s="1"/>
  <c r="AO133" i="3" s="1"/>
  <c r="AJ133" i="3"/>
  <c r="AJ111" i="3" s="1"/>
  <c r="AM143" i="3"/>
  <c r="AM133" i="3" s="1"/>
  <c r="AM116" i="3" s="1"/>
  <c r="AH121" i="3"/>
  <c r="AH116" i="3"/>
  <c r="AH126" i="3"/>
  <c r="AI133" i="3"/>
  <c r="AI116" i="3" s="1"/>
  <c r="AH134" i="3"/>
  <c r="AL143" i="3"/>
  <c r="AL133" i="3" s="1"/>
  <c r="AL135" i="3" s="1"/>
  <c r="AH99" i="3"/>
  <c r="AN143" i="3"/>
  <c r="AN133" i="3" s="1"/>
  <c r="AT142" i="3"/>
  <c r="AP143" i="3"/>
  <c r="AJ105" i="3"/>
  <c r="AJ56" i="3"/>
  <c r="AK111" i="3"/>
  <c r="AJ99" i="3"/>
  <c r="AK105" i="3"/>
  <c r="AK121" i="3"/>
  <c r="AH58" i="3"/>
  <c r="AP5" i="2"/>
  <c r="AH65" i="3"/>
  <c r="AH60" i="3" s="1"/>
  <c r="AH61" i="3" s="1"/>
  <c r="AK99" i="3"/>
  <c r="AK56" i="3"/>
  <c r="AK126" i="3"/>
  <c r="AK134" i="3"/>
  <c r="AK116" i="3"/>
  <c r="AH135" i="3"/>
  <c r="AM126" i="3" l="1"/>
  <c r="AM121" i="3"/>
  <c r="AM111" i="3"/>
  <c r="AM99" i="3"/>
  <c r="AM105" i="3"/>
  <c r="AM134" i="3"/>
  <c r="AI99" i="3"/>
  <c r="AI135" i="3"/>
  <c r="AJ134" i="3"/>
  <c r="AM135" i="3"/>
  <c r="AJ116" i="3"/>
  <c r="AM56" i="3"/>
  <c r="AM77" i="3" s="1"/>
  <c r="AH71" i="3"/>
  <c r="AH67" i="3" s="1"/>
  <c r="AL116" i="3"/>
  <c r="AL126" i="3"/>
  <c r="AL99" i="3"/>
  <c r="AH77" i="3"/>
  <c r="AH155" i="3" s="1"/>
  <c r="AL105" i="3"/>
  <c r="AI134" i="3"/>
  <c r="BH133" i="3"/>
  <c r="AI111" i="3"/>
  <c r="AI105" i="3"/>
  <c r="AL111" i="3"/>
  <c r="AL56" i="3"/>
  <c r="AL77" i="3" s="1"/>
  <c r="AI126" i="3"/>
  <c r="AL134" i="3"/>
  <c r="AI56" i="3"/>
  <c r="BH56" i="3" s="1"/>
  <c r="BH57" i="3" s="1"/>
  <c r="AL121" i="3"/>
  <c r="AJ126" i="3"/>
  <c r="AJ135" i="3"/>
  <c r="AI121" i="3"/>
  <c r="AJ121" i="3"/>
  <c r="AP6" i="2"/>
  <c r="AP7" i="2"/>
  <c r="AP12" i="2"/>
  <c r="AJ58" i="3"/>
  <c r="AJ71" i="3"/>
  <c r="AJ77" i="3"/>
  <c r="AJ67" i="3"/>
  <c r="AR5" i="2"/>
  <c r="AJ65" i="3"/>
  <c r="AJ60" i="3" s="1"/>
  <c r="AJ61" i="3" s="1"/>
  <c r="AJ57" i="3"/>
  <c r="AQ143" i="3"/>
  <c r="AP133" i="3"/>
  <c r="AT5" i="2"/>
  <c r="AL57" i="3"/>
  <c r="AL58" i="3"/>
  <c r="AO121" i="3"/>
  <c r="AO105" i="3"/>
  <c r="AO126" i="3"/>
  <c r="AO56" i="3"/>
  <c r="AO99" i="3"/>
  <c r="AO116" i="3"/>
  <c r="AO134" i="3"/>
  <c r="AO135" i="3"/>
  <c r="AO111" i="3"/>
  <c r="AS5" i="2"/>
  <c r="AK57" i="3"/>
  <c r="AK77" i="3"/>
  <c r="AK71" i="3"/>
  <c r="AK65" i="3"/>
  <c r="AK60" i="3" s="1"/>
  <c r="AK61" i="3" s="1"/>
  <c r="AK58" i="3"/>
  <c r="AK67" i="3"/>
  <c r="AN116" i="3"/>
  <c r="AN56" i="3"/>
  <c r="AN111" i="3"/>
  <c r="AN105" i="3"/>
  <c r="AN99" i="3"/>
  <c r="AN135" i="3"/>
  <c r="AN121" i="3"/>
  <c r="AN134" i="3"/>
  <c r="AN126" i="3"/>
  <c r="BI133" i="3"/>
  <c r="BI56" i="3" l="1"/>
  <c r="BI57" i="3" s="1"/>
  <c r="AM71" i="3"/>
  <c r="AM67" i="3" s="1"/>
  <c r="AM57" i="3"/>
  <c r="AU5" i="2"/>
  <c r="AM65" i="3"/>
  <c r="AM60" i="3" s="1"/>
  <c r="AI77" i="3"/>
  <c r="BH77" i="3" s="1"/>
  <c r="AI65" i="3"/>
  <c r="AI60" i="3" s="1"/>
  <c r="AI61" i="3" s="1"/>
  <c r="AK137" i="3"/>
  <c r="AI58" i="3"/>
  <c r="AH165" i="3"/>
  <c r="AH167" i="3" s="1"/>
  <c r="AI71" i="3"/>
  <c r="AI67" i="3" s="1"/>
  <c r="AI57" i="3"/>
  <c r="AL71" i="3"/>
  <c r="AL67" i="3" s="1"/>
  <c r="AL65" i="3"/>
  <c r="AL60" i="3" s="1"/>
  <c r="AL61" i="3" s="1"/>
  <c r="AM58" i="3"/>
  <c r="BL133" i="3"/>
  <c r="BH134" i="3"/>
  <c r="AM61" i="3"/>
  <c r="AQ5" i="2"/>
  <c r="AU7" i="2" s="1"/>
  <c r="BI134" i="3"/>
  <c r="AM165" i="3"/>
  <c r="AM155" i="3"/>
  <c r="AU12" i="2"/>
  <c r="AU6" i="2"/>
  <c r="AO137" i="3"/>
  <c r="AK165" i="3"/>
  <c r="AK155" i="3"/>
  <c r="AS12" i="2"/>
  <c r="AS3" i="2"/>
  <c r="AS7" i="2"/>
  <c r="AS6" i="2"/>
  <c r="AP121" i="3"/>
  <c r="AP56" i="3"/>
  <c r="AP105" i="3"/>
  <c r="AP116" i="3"/>
  <c r="AP134" i="3"/>
  <c r="AP99" i="3"/>
  <c r="AP126" i="3"/>
  <c r="AP111" i="3"/>
  <c r="AP135" i="3"/>
  <c r="AN58" i="3"/>
  <c r="AN71" i="3"/>
  <c r="AN67" i="3" s="1"/>
  <c r="AN65" i="3"/>
  <c r="AN60" i="3" s="1"/>
  <c r="AN61" i="3" s="1"/>
  <c r="AV5" i="2"/>
  <c r="AN77" i="3"/>
  <c r="AN57" i="3"/>
  <c r="BH78" i="3"/>
  <c r="J91" i="7"/>
  <c r="BH155" i="3"/>
  <c r="AW5" i="2"/>
  <c r="AO71" i="3"/>
  <c r="AO67" i="3" s="1"/>
  <c r="AO58" i="3"/>
  <c r="AO65" i="3"/>
  <c r="AO60" i="3" s="1"/>
  <c r="AO61" i="3" s="1"/>
  <c r="AO57" i="3"/>
  <c r="AO77" i="3"/>
  <c r="AR7" i="2"/>
  <c r="AR12" i="2"/>
  <c r="AK138" i="3"/>
  <c r="AK139" i="3"/>
  <c r="AT7" i="2"/>
  <c r="AT12" i="2"/>
  <c r="AT6" i="2"/>
  <c r="AI165" i="3"/>
  <c r="AI155" i="3"/>
  <c r="AJ155" i="3"/>
  <c r="AJ165" i="3"/>
  <c r="AL155" i="3"/>
  <c r="AL165" i="3"/>
  <c r="AP18" i="2"/>
  <c r="AP80" i="2"/>
  <c r="AP22" i="2"/>
  <c r="AP34" i="2"/>
  <c r="AR143" i="3"/>
  <c r="AQ133" i="3"/>
  <c r="BI77" i="3" l="1"/>
  <c r="AO138" i="3"/>
  <c r="B12" i="84"/>
  <c r="AP20" i="2"/>
  <c r="AP81" i="2" s="1"/>
  <c r="AR6" i="2"/>
  <c r="BH165" i="3"/>
  <c r="BH166" i="3" s="1"/>
  <c r="BN5" i="2"/>
  <c r="AQ6" i="2"/>
  <c r="AQ7" i="2"/>
  <c r="BO5" i="2"/>
  <c r="P9" i="5" s="1"/>
  <c r="AQ12" i="2"/>
  <c r="AQ80" i="2"/>
  <c r="AQ22" i="2"/>
  <c r="AI169" i="3" s="1"/>
  <c r="AQ18" i="2"/>
  <c r="AQ34" i="2"/>
  <c r="AQ36" i="2" s="1"/>
  <c r="AS18" i="2"/>
  <c r="AS80" i="2"/>
  <c r="AS22" i="2"/>
  <c r="AK169" i="3" s="1"/>
  <c r="AK171" i="3" s="1"/>
  <c r="AK174" i="3" s="1"/>
  <c r="AS34" i="2"/>
  <c r="AR22" i="2"/>
  <c r="AJ169" i="3" s="1"/>
  <c r="AR18" i="2"/>
  <c r="AR34" i="2"/>
  <c r="AR80" i="2"/>
  <c r="BN12" i="2"/>
  <c r="AP27" i="2"/>
  <c r="AP29" i="2" s="1"/>
  <c r="AP21" i="2"/>
  <c r="BI155" i="3"/>
  <c r="BI78" i="3"/>
  <c r="K91" i="7"/>
  <c r="AN165" i="3"/>
  <c r="AN155" i="3"/>
  <c r="AP77" i="3"/>
  <c r="AP65" i="3"/>
  <c r="AP60" i="3" s="1"/>
  <c r="AP61" i="3" s="1"/>
  <c r="AP71" i="3"/>
  <c r="AP67" i="3" s="1"/>
  <c r="AP57" i="3"/>
  <c r="AP58" i="3"/>
  <c r="AX5" i="2"/>
  <c r="AW6" i="2"/>
  <c r="AW12" i="2"/>
  <c r="AW3" i="2"/>
  <c r="AW7" i="2"/>
  <c r="AQ111" i="3"/>
  <c r="AQ126" i="3"/>
  <c r="AQ134" i="3"/>
  <c r="AQ135" i="3"/>
  <c r="AQ121" i="3"/>
  <c r="AQ56" i="3"/>
  <c r="AQ116" i="3"/>
  <c r="AQ105" i="3"/>
  <c r="AQ99" i="3"/>
  <c r="AO165" i="3"/>
  <c r="AO155" i="3"/>
  <c r="AU18" i="2"/>
  <c r="AU22" i="2"/>
  <c r="AM169" i="3" s="1"/>
  <c r="AM171" i="3" s="1"/>
  <c r="AM174" i="3" s="1"/>
  <c r="AU80" i="2"/>
  <c r="AU34" i="2"/>
  <c r="AR20" i="2"/>
  <c r="AJ167" i="3"/>
  <c r="AV12" i="2"/>
  <c r="AV7" i="2"/>
  <c r="AV6" i="2"/>
  <c r="AR133" i="3"/>
  <c r="AS143" i="3"/>
  <c r="AS133" i="3" s="1"/>
  <c r="AS20" i="2"/>
  <c r="AS81" i="2" s="1"/>
  <c r="AK167" i="3"/>
  <c r="O9" i="5"/>
  <c r="H34" i="80"/>
  <c r="BN6" i="2"/>
  <c r="J5" i="4" s="1"/>
  <c r="AS308" i="12"/>
  <c r="AT18" i="2"/>
  <c r="AT22" i="2"/>
  <c r="AT80" i="2"/>
  <c r="AT34" i="2"/>
  <c r="AT20" i="2"/>
  <c r="AT81" i="2" s="1"/>
  <c r="AL167" i="3"/>
  <c r="AP36" i="2"/>
  <c r="AM167" i="3"/>
  <c r="AU20" i="2"/>
  <c r="AU81" i="2" s="1"/>
  <c r="AH169" i="3"/>
  <c r="AI167" i="3"/>
  <c r="AQ20" i="2"/>
  <c r="BO6" i="2" l="1"/>
  <c r="K5" i="4" s="1"/>
  <c r="F30" i="84"/>
  <c r="F29" i="84"/>
  <c r="F28" i="84"/>
  <c r="F27" i="84"/>
  <c r="F26" i="84"/>
  <c r="B20" i="84"/>
  <c r="BN22" i="2"/>
  <c r="BN23" i="2" s="1"/>
  <c r="BN20" i="2"/>
  <c r="BO12" i="2"/>
  <c r="BO18" i="2" s="1"/>
  <c r="AR105" i="3"/>
  <c r="AR126" i="3"/>
  <c r="AR56" i="3"/>
  <c r="AR135" i="3"/>
  <c r="AR99" i="3"/>
  <c r="AR134" i="3"/>
  <c r="AR121" i="3"/>
  <c r="AR116" i="3"/>
  <c r="AR111" i="3"/>
  <c r="BJ133" i="3"/>
  <c r="BJ134" i="3" s="1"/>
  <c r="AQ77" i="3"/>
  <c r="AQ65" i="3"/>
  <c r="AQ60" i="3"/>
  <c r="AQ61" i="3" s="1"/>
  <c r="AY5" i="2"/>
  <c r="AQ58" i="3"/>
  <c r="AQ71" i="3"/>
  <c r="AQ67" i="3" s="1"/>
  <c r="AQ57" i="3"/>
  <c r="AU36" i="2"/>
  <c r="AP165" i="3"/>
  <c r="AP155" i="3"/>
  <c r="BH169" i="3"/>
  <c r="AH171" i="3"/>
  <c r="AR36" i="2"/>
  <c r="AQ21" i="2"/>
  <c r="AQ27" i="2"/>
  <c r="AQ29" i="2" s="1"/>
  <c r="AV34" i="2"/>
  <c r="AV36" i="2" s="1"/>
  <c r="AV22" i="2"/>
  <c r="AN169" i="3" s="1"/>
  <c r="AN171" i="3" s="1"/>
  <c r="AN174" i="3" s="1"/>
  <c r="AV18" i="2"/>
  <c r="AV80" i="2"/>
  <c r="AL169" i="3"/>
  <c r="AL171" i="3" s="1"/>
  <c r="AL174" i="3" s="1"/>
  <c r="BN81" i="2"/>
  <c r="J116" i="7"/>
  <c r="O14" i="5"/>
  <c r="W35" i="5" s="1"/>
  <c r="Z35" i="5" s="1"/>
  <c r="J16" i="4"/>
  <c r="BN18" i="2"/>
  <c r="J35" i="4"/>
  <c r="BN80" i="2"/>
  <c r="J22" i="4" s="1"/>
  <c r="BN13" i="2"/>
  <c r="J6" i="4" s="1"/>
  <c r="J74" i="7"/>
  <c r="H35" i="80"/>
  <c r="J79" i="4"/>
  <c r="J142" i="7"/>
  <c r="J144" i="7" s="1"/>
  <c r="J59" i="7" s="1"/>
  <c r="J18" i="4"/>
  <c r="AU27" i="2"/>
  <c r="AU29" i="2" s="1"/>
  <c r="AU21" i="2"/>
  <c r="J34" i="80"/>
  <c r="J35" i="80" s="1"/>
  <c r="I34" i="80"/>
  <c r="I35" i="80" s="1"/>
  <c r="AO167" i="3"/>
  <c r="AW20" i="2"/>
  <c r="AW81" i="2" s="1"/>
  <c r="AX12" i="2"/>
  <c r="AX7" i="2"/>
  <c r="AX6" i="2"/>
  <c r="BI169" i="3"/>
  <c r="AI171" i="3"/>
  <c r="O10" i="5"/>
  <c r="W34" i="5"/>
  <c r="Z34" i="5" s="1"/>
  <c r="AP30" i="2"/>
  <c r="AP39" i="2"/>
  <c r="AQ81" i="2"/>
  <c r="AR21" i="2"/>
  <c r="AR27" i="2"/>
  <c r="AR29" i="2" s="1"/>
  <c r="AT36" i="2"/>
  <c r="AR81" i="2"/>
  <c r="J17" i="4"/>
  <c r="BN21" i="2"/>
  <c r="BN27" i="2"/>
  <c r="BN34" i="2"/>
  <c r="AJ171" i="3"/>
  <c r="BI165" i="3"/>
  <c r="BI166" i="3" s="1"/>
  <c r="AS27" i="2"/>
  <c r="AS29" i="2" s="1"/>
  <c r="AS21" i="2"/>
  <c r="AW34" i="2"/>
  <c r="AW18" i="2"/>
  <c r="AW22" i="2"/>
  <c r="AO169" i="3" s="1"/>
  <c r="AO171" i="3" s="1"/>
  <c r="AO174" i="3" s="1"/>
  <c r="AW80" i="2"/>
  <c r="AV20" i="2"/>
  <c r="AN167" i="3"/>
  <c r="AS36" i="2"/>
  <c r="AT27" i="2"/>
  <c r="AT29" i="2" s="1"/>
  <c r="AT21" i="2"/>
  <c r="AS99" i="3"/>
  <c r="AS116" i="3"/>
  <c r="AS126" i="3"/>
  <c r="AS121" i="3"/>
  <c r="AS111" i="3"/>
  <c r="AS135" i="3"/>
  <c r="AS56" i="3"/>
  <c r="AS134" i="3"/>
  <c r="AS105" i="3"/>
  <c r="P10" i="5"/>
  <c r="X34" i="5"/>
  <c r="AA34" i="5" s="1"/>
  <c r="BO34" i="2" l="1"/>
  <c r="Q7" i="8" s="1"/>
  <c r="BO20" i="2"/>
  <c r="K142" i="7"/>
  <c r="K144" i="7" s="1"/>
  <c r="K59" i="7" s="1"/>
  <c r="Q30" i="8" s="1"/>
  <c r="K74" i="7"/>
  <c r="K35" i="4"/>
  <c r="K116" i="7"/>
  <c r="K16" i="4"/>
  <c r="BO80" i="2"/>
  <c r="K22" i="4" s="1"/>
  <c r="BO13" i="2"/>
  <c r="K6" i="4" s="1"/>
  <c r="P14" i="5"/>
  <c r="X35" i="5" s="1"/>
  <c r="AA35" i="5" s="1"/>
  <c r="K79" i="4"/>
  <c r="K18" i="4"/>
  <c r="BO22" i="2"/>
  <c r="BO23" i="2" s="1"/>
  <c r="AW36" i="2"/>
  <c r="AY12" i="2"/>
  <c r="AY6" i="2"/>
  <c r="AY7" i="2"/>
  <c r="BJ171" i="3"/>
  <c r="BJ172" i="3" s="1"/>
  <c r="AJ174" i="3"/>
  <c r="BJ174" i="3" s="1"/>
  <c r="BO21" i="2"/>
  <c r="K17" i="4"/>
  <c r="AT30" i="2"/>
  <c r="AT39" i="2"/>
  <c r="J81" i="7"/>
  <c r="P7" i="8"/>
  <c r="N38" i="80"/>
  <c r="BN37" i="2"/>
  <c r="BN38" i="2" s="1"/>
  <c r="J82" i="7" s="1"/>
  <c r="J19" i="4"/>
  <c r="AP40" i="2"/>
  <c r="AP51" i="2"/>
  <c r="AH174" i="3"/>
  <c r="BH171" i="3"/>
  <c r="BH172" i="3" s="1"/>
  <c r="AQ155" i="3"/>
  <c r="AQ165" i="3"/>
  <c r="BO81" i="2"/>
  <c r="P30" i="8"/>
  <c r="AV21" i="2"/>
  <c r="AV27" i="2"/>
  <c r="AV29" i="2" s="1"/>
  <c r="AU30" i="2"/>
  <c r="AU39" i="2"/>
  <c r="AX20" i="2"/>
  <c r="AX81" i="2" s="1"/>
  <c r="AP167" i="3"/>
  <c r="BI171" i="3"/>
  <c r="BI172" i="3" s="1"/>
  <c r="AI174" i="3"/>
  <c r="AS57" i="3"/>
  <c r="AS77" i="3"/>
  <c r="AS71" i="3"/>
  <c r="AS67" i="3" s="1"/>
  <c r="AS65" i="3"/>
  <c r="AS60" i="3" s="1"/>
  <c r="AS61" i="3" s="1"/>
  <c r="AS58" i="3"/>
  <c r="BA5" i="2"/>
  <c r="AS137" i="3"/>
  <c r="AS138" i="3" s="1"/>
  <c r="AQ30" i="2"/>
  <c r="AQ39" i="2"/>
  <c r="J15" i="4"/>
  <c r="J136" i="7"/>
  <c r="J138" i="7" s="1"/>
  <c r="J25" i="7" s="1"/>
  <c r="AP31" i="2"/>
  <c r="AP82" i="2"/>
  <c r="BJ169" i="3"/>
  <c r="AZ5" i="2"/>
  <c r="AR65" i="3"/>
  <c r="AR60" i="3" s="1"/>
  <c r="AR61" i="3" s="1"/>
  <c r="AR57" i="3"/>
  <c r="AR58" i="3"/>
  <c r="AR77" i="3"/>
  <c r="AR71" i="3"/>
  <c r="AR67" i="3" s="1"/>
  <c r="BO37" i="2"/>
  <c r="BO38" i="2" s="1"/>
  <c r="K82" i="7" s="1"/>
  <c r="K81" i="7"/>
  <c r="K19" i="4"/>
  <c r="AX34" i="2"/>
  <c r="AX80" i="2"/>
  <c r="AX18" i="2"/>
  <c r="AX22" i="2"/>
  <c r="AW27" i="2"/>
  <c r="AW29" i="2" s="1"/>
  <c r="AW21" i="2"/>
  <c r="BN29" i="2"/>
  <c r="BJ56" i="3"/>
  <c r="AS39" i="2"/>
  <c r="AS30" i="2"/>
  <c r="AR30" i="2"/>
  <c r="AR39" i="2"/>
  <c r="AV81" i="2"/>
  <c r="BJ77" i="3" l="1"/>
  <c r="BO27" i="2"/>
  <c r="K136" i="7" s="1"/>
  <c r="K138" i="7" s="1"/>
  <c r="K25" i="7" s="1"/>
  <c r="BI174" i="3"/>
  <c r="BP5" i="2"/>
  <c r="BP6" i="2" s="1"/>
  <c r="L5" i="4" s="1"/>
  <c r="AT31" i="2"/>
  <c r="AT82" i="2"/>
  <c r="AT40" i="2"/>
  <c r="AT51" i="2"/>
  <c r="AV30" i="2"/>
  <c r="AV39" i="2"/>
  <c r="AR51" i="2"/>
  <c r="AR40" i="2"/>
  <c r="AY20" i="2"/>
  <c r="AY81" i="2" s="1"/>
  <c r="AQ167" i="3"/>
  <c r="AR31" i="2"/>
  <c r="AR82" i="2"/>
  <c r="AS165" i="3"/>
  <c r="AS155" i="3"/>
  <c r="AX36" i="2"/>
  <c r="BJ78" i="3"/>
  <c r="L91" i="7"/>
  <c r="BJ155" i="3"/>
  <c r="AZ7" i="2"/>
  <c r="AZ6" i="2"/>
  <c r="AZ12" i="2"/>
  <c r="J77" i="7"/>
  <c r="J107" i="7" s="1"/>
  <c r="J108" i="7" s="1"/>
  <c r="J75" i="7"/>
  <c r="J97" i="7" s="1"/>
  <c r="J98" i="7" s="1"/>
  <c r="J79" i="7"/>
  <c r="J122" i="7" s="1"/>
  <c r="J123" i="7" s="1"/>
  <c r="AS51" i="2"/>
  <c r="AS40" i="2"/>
  <c r="BL56" i="3"/>
  <c r="BJ57" i="3"/>
  <c r="BN32" i="2"/>
  <c r="J7" i="4" s="1"/>
  <c r="H36" i="80"/>
  <c r="J61" i="4"/>
  <c r="P93" i="8"/>
  <c r="O25" i="5"/>
  <c r="W36" i="5" s="1"/>
  <c r="BN30" i="2"/>
  <c r="BN39" i="2"/>
  <c r="AW39" i="2"/>
  <c r="AW30" i="2"/>
  <c r="AS31" i="2"/>
  <c r="AS82" i="2"/>
  <c r="K77" i="7"/>
  <c r="K107" i="7" s="1"/>
  <c r="K79" i="7"/>
  <c r="K122" i="7" s="1"/>
  <c r="K75" i="7"/>
  <c r="K97" i="7" s="1"/>
  <c r="J33" i="7"/>
  <c r="P35" i="8"/>
  <c r="P42" i="8" s="1"/>
  <c r="AQ40" i="2"/>
  <c r="AQ51" i="2"/>
  <c r="BH174" i="3"/>
  <c r="AQ82" i="2"/>
  <c r="AQ31" i="2"/>
  <c r="AX21" i="2"/>
  <c r="AX27" i="2"/>
  <c r="AX29" i="2" s="1"/>
  <c r="AP53" i="2"/>
  <c r="AP58" i="2"/>
  <c r="AP61" i="2"/>
  <c r="AP169" i="3"/>
  <c r="AP171" i="3" s="1"/>
  <c r="AP174" i="3" s="1"/>
  <c r="AR165" i="3"/>
  <c r="AR155" i="3"/>
  <c r="AU51" i="2"/>
  <c r="AU40" i="2"/>
  <c r="AH176" i="3"/>
  <c r="AP83" i="2"/>
  <c r="BA3" i="2"/>
  <c r="BA6" i="2"/>
  <c r="BA12" i="2"/>
  <c r="BA7" i="2"/>
  <c r="AU31" i="2"/>
  <c r="AU82" i="2"/>
  <c r="AY80" i="2"/>
  <c r="AY18" i="2"/>
  <c r="AY34" i="2"/>
  <c r="AY36" i="2" s="1"/>
  <c r="AY22" i="2"/>
  <c r="AQ169" i="3" s="1"/>
  <c r="AQ171" i="3" s="1"/>
  <c r="AQ174" i="3" s="1"/>
  <c r="BO29" i="2" l="1"/>
  <c r="BO30" i="2" s="1"/>
  <c r="K15" i="4"/>
  <c r="Q9" i="5"/>
  <c r="Q10" i="5" s="1"/>
  <c r="W43" i="5"/>
  <c r="Z36" i="5"/>
  <c r="AY21" i="2"/>
  <c r="AY27" i="2"/>
  <c r="AY29" i="2" s="1"/>
  <c r="BN31" i="2"/>
  <c r="AK175" i="3"/>
  <c r="O26" i="5"/>
  <c r="BN82" i="2"/>
  <c r="J23" i="4" s="1"/>
  <c r="AP66" i="2"/>
  <c r="AP62" i="2"/>
  <c r="J36" i="80"/>
  <c r="J37" i="80" s="1"/>
  <c r="I36" i="80"/>
  <c r="I37" i="80" s="1"/>
  <c r="H37" i="80"/>
  <c r="AV51" i="2"/>
  <c r="AV40" i="2"/>
  <c r="AX39" i="2"/>
  <c r="AX30" i="2"/>
  <c r="AT53" i="2"/>
  <c r="AT58" i="2"/>
  <c r="AT83" i="2"/>
  <c r="AL176" i="3"/>
  <c r="BN41" i="2"/>
  <c r="J8" i="4" s="1"/>
  <c r="W37" i="5"/>
  <c r="BN42" i="2"/>
  <c r="H38" i="80"/>
  <c r="BN51" i="2"/>
  <c r="BN40" i="2"/>
  <c r="AZ34" i="2"/>
  <c r="AZ80" i="2"/>
  <c r="AZ22" i="2"/>
  <c r="AZ18" i="2"/>
  <c r="BP12" i="2"/>
  <c r="AR83" i="2"/>
  <c r="AJ176" i="3"/>
  <c r="AV82" i="2"/>
  <c r="AV31" i="2"/>
  <c r="AQ53" i="2"/>
  <c r="AQ58" i="2" s="1"/>
  <c r="AQ60" i="2" s="1"/>
  <c r="AI176" i="3"/>
  <c r="AQ83" i="2"/>
  <c r="AR167" i="3"/>
  <c r="AZ20" i="2"/>
  <c r="BA22" i="2"/>
  <c r="AS169" i="3" s="1"/>
  <c r="AS171" i="3" s="1"/>
  <c r="AS174" i="3" s="1"/>
  <c r="BA18" i="2"/>
  <c r="BA34" i="2"/>
  <c r="BA80" i="2"/>
  <c r="Q35" i="8"/>
  <c r="Q42" i="8" s="1"/>
  <c r="K33" i="7"/>
  <c r="AR53" i="2"/>
  <c r="AR58" i="2" s="1"/>
  <c r="AK176" i="3"/>
  <c r="AS83" i="2"/>
  <c r="AS53" i="2"/>
  <c r="AS58" i="2"/>
  <c r="AU83" i="2"/>
  <c r="AM176" i="3"/>
  <c r="J126" i="7"/>
  <c r="K121" i="7"/>
  <c r="K123" i="7" s="1"/>
  <c r="BA20" i="2"/>
  <c r="AS167" i="3"/>
  <c r="AU53" i="2"/>
  <c r="AW82" i="2"/>
  <c r="AW31" i="2"/>
  <c r="K96" i="7"/>
  <c r="K98" i="7" s="1"/>
  <c r="J100" i="7"/>
  <c r="J40" i="7" s="1"/>
  <c r="BJ165" i="3"/>
  <c r="BJ166" i="3" s="1"/>
  <c r="AW51" i="2"/>
  <c r="AW40" i="2"/>
  <c r="K106" i="7"/>
  <c r="K108" i="7" s="1"/>
  <c r="J110" i="7"/>
  <c r="J41" i="7" s="1"/>
  <c r="Q93" i="8" l="1"/>
  <c r="P25" i="5"/>
  <c r="X36" i="5" s="1"/>
  <c r="BO39" i="2"/>
  <c r="BO41" i="2" s="1"/>
  <c r="K8" i="4" s="1"/>
  <c r="K61" i="4"/>
  <c r="BO32" i="2"/>
  <c r="K7" i="4" s="1"/>
  <c r="Y34" i="5"/>
  <c r="AB34" i="5" s="1"/>
  <c r="BN53" i="2"/>
  <c r="BH176" i="3"/>
  <c r="AQ61" i="2"/>
  <c r="AU58" i="2"/>
  <c r="BA21" i="2"/>
  <c r="BA27" i="2"/>
  <c r="BA29" i="2" s="1"/>
  <c r="AZ36" i="2"/>
  <c r="BP34" i="2"/>
  <c r="L121" i="7"/>
  <c r="K126" i="7"/>
  <c r="J127" i="7"/>
  <c r="J44" i="7"/>
  <c r="AV83" i="2"/>
  <c r="AN176" i="3"/>
  <c r="AY39" i="2"/>
  <c r="AY30" i="2"/>
  <c r="AW83" i="2"/>
  <c r="AO176" i="3"/>
  <c r="AO175" i="3"/>
  <c r="P26" i="5"/>
  <c r="BO31" i="2"/>
  <c r="BO82" i="2"/>
  <c r="K23" i="4" s="1"/>
  <c r="AZ21" i="2"/>
  <c r="AZ27" i="2"/>
  <c r="AZ29" i="2" s="1"/>
  <c r="P46" i="8"/>
  <c r="BN57" i="2"/>
  <c r="J26" i="4" s="1"/>
  <c r="AX82" i="2"/>
  <c r="AX31" i="2"/>
  <c r="BA81" i="2"/>
  <c r="L106" i="7"/>
  <c r="K110" i="7"/>
  <c r="K41" i="7" s="1"/>
  <c r="AX40" i="2"/>
  <c r="AX51" i="2"/>
  <c r="AW53" i="2"/>
  <c r="H39" i="80"/>
  <c r="M44" i="80"/>
  <c r="J38" i="80"/>
  <c r="J39" i="80" s="1"/>
  <c r="I38" i="80"/>
  <c r="I39" i="80" s="1"/>
  <c r="BO40" i="2"/>
  <c r="BO51" i="2"/>
  <c r="X37" i="5"/>
  <c r="AR169" i="3"/>
  <c r="AR171" i="3" s="1"/>
  <c r="AR174" i="3" s="1"/>
  <c r="BP22" i="2"/>
  <c r="BP23" i="2" s="1"/>
  <c r="BN83" i="2"/>
  <c r="J24" i="4" s="1"/>
  <c r="AK177" i="3"/>
  <c r="BP20" i="2"/>
  <c r="BP81" i="2" s="1"/>
  <c r="P5" i="8"/>
  <c r="BN58" i="2"/>
  <c r="W38" i="5"/>
  <c r="Z38" i="5" s="1"/>
  <c r="AV53" i="2"/>
  <c r="AV58" i="2" s="1"/>
  <c r="BA36" i="2"/>
  <c r="J54" i="7"/>
  <c r="J36" i="4"/>
  <c r="L96" i="7"/>
  <c r="K100" i="7"/>
  <c r="K40" i="7" s="1"/>
  <c r="K36" i="4" s="1"/>
  <c r="W44" i="5"/>
  <c r="Z44" i="5" s="1"/>
  <c r="Z37" i="5"/>
  <c r="T47" i="5"/>
  <c r="Q14" i="5"/>
  <c r="Y35" i="5" s="1"/>
  <c r="AB35" i="5" s="1"/>
  <c r="L16" i="4"/>
  <c r="BP18" i="2"/>
  <c r="L74" i="7"/>
  <c r="BP80" i="2"/>
  <c r="L22" i="4" s="1"/>
  <c r="L142" i="7"/>
  <c r="L144" i="7" s="1"/>
  <c r="L59" i="7" s="1"/>
  <c r="L116" i="7"/>
  <c r="L79" i="4"/>
  <c r="L35" i="4"/>
  <c r="L18" i="4"/>
  <c r="BP13" i="2"/>
  <c r="L6" i="4" s="1"/>
  <c r="AZ81" i="2"/>
  <c r="AP68" i="2"/>
  <c r="AP67" i="2"/>
  <c r="AP84" i="2" s="1"/>
  <c r="AP73" i="2"/>
  <c r="AP72" i="2"/>
  <c r="AA36" i="5"/>
  <c r="X43" i="5"/>
  <c r="BO42" i="2" l="1"/>
  <c r="B14" i="84"/>
  <c r="H26" i="84" s="1"/>
  <c r="B13" i="84"/>
  <c r="BI176" i="3"/>
  <c r="K44" i="7"/>
  <c r="K127" i="7"/>
  <c r="R30" i="8"/>
  <c r="BA30" i="2"/>
  <c r="BA39" i="2"/>
  <c r="AX83" i="2"/>
  <c r="AP176" i="3"/>
  <c r="BJ176" i="3" s="1"/>
  <c r="BO53" i="2"/>
  <c r="R7" i="8"/>
  <c r="L81" i="7"/>
  <c r="BP37" i="2"/>
  <c r="BP38" i="2" s="1"/>
  <c r="L82" i="7" s="1"/>
  <c r="L19" i="4"/>
  <c r="AX53" i="2"/>
  <c r="AX58" i="2" s="1"/>
  <c r="AY82" i="2"/>
  <c r="AY31" i="2"/>
  <c r="AY51" i="2"/>
  <c r="AY40" i="2"/>
  <c r="AQ62" i="2"/>
  <c r="AQ66" i="2"/>
  <c r="AW58" i="2"/>
  <c r="AA37" i="5"/>
  <c r="X44" i="5"/>
  <c r="AA44" i="5" s="1"/>
  <c r="U47" i="5"/>
  <c r="AR60" i="2"/>
  <c r="L17" i="4"/>
  <c r="BP21" i="2"/>
  <c r="BP27" i="2"/>
  <c r="AZ39" i="2"/>
  <c r="AZ30" i="2"/>
  <c r="K54" i="7"/>
  <c r="X38" i="5"/>
  <c r="AA38" i="5" s="1"/>
  <c r="Q5" i="8"/>
  <c r="BO83" i="2"/>
  <c r="K24" i="4" s="1"/>
  <c r="AO177" i="3"/>
  <c r="G27" i="84" l="1"/>
  <c r="H27" i="84" s="1"/>
  <c r="G26" i="84"/>
  <c r="B21" i="84"/>
  <c r="B22" i="84" s="1"/>
  <c r="G30" i="84"/>
  <c r="H30" i="84" s="1"/>
  <c r="G29" i="84"/>
  <c r="H29" i="84" s="1"/>
  <c r="G28" i="84"/>
  <c r="H28" i="84" s="1"/>
  <c r="L77" i="7"/>
  <c r="L107" i="7" s="1"/>
  <c r="L108" i="7" s="1"/>
  <c r="L110" i="7" s="1"/>
  <c r="L41" i="7" s="1"/>
  <c r="L79" i="7"/>
  <c r="L122" i="7" s="1"/>
  <c r="L123" i="7" s="1"/>
  <c r="L126" i="7" s="1"/>
  <c r="L75" i="7"/>
  <c r="L97" i="7" s="1"/>
  <c r="L98" i="7" s="1"/>
  <c r="L100" i="7" s="1"/>
  <c r="L40" i="7" s="1"/>
  <c r="BA51" i="2"/>
  <c r="BA40" i="2"/>
  <c r="AZ31" i="2"/>
  <c r="AZ82" i="2"/>
  <c r="AQ176" i="3"/>
  <c r="AY83" i="2"/>
  <c r="AQ72" i="2"/>
  <c r="AQ67" i="2"/>
  <c r="AQ84" i="2" s="1"/>
  <c r="AQ68" i="2"/>
  <c r="AQ73" i="2"/>
  <c r="Q46" i="8"/>
  <c r="BO57" i="2"/>
  <c r="K26" i="4" s="1"/>
  <c r="BO58" i="2"/>
  <c r="AY53" i="2"/>
  <c r="AZ40" i="2"/>
  <c r="AZ51" i="2"/>
  <c r="L136" i="7"/>
  <c r="L138" i="7" s="1"/>
  <c r="L25" i="7" s="1"/>
  <c r="L15" i="4"/>
  <c r="BP29" i="2"/>
  <c r="BA31" i="2"/>
  <c r="BA82" i="2"/>
  <c r="AR61" i="2"/>
  <c r="AZ53" i="2" l="1"/>
  <c r="AZ58" i="2" s="1"/>
  <c r="BP30" i="2"/>
  <c r="BP32" i="2"/>
  <c r="L7" i="4" s="1"/>
  <c r="L61" i="4"/>
  <c r="Q25" i="5"/>
  <c r="Y36" i="5" s="1"/>
  <c r="R93" i="8"/>
  <c r="BP39" i="2"/>
  <c r="R35" i="8"/>
  <c r="R42" i="8" s="1"/>
  <c r="L33" i="7"/>
  <c r="AZ83" i="2"/>
  <c r="AR176" i="3"/>
  <c r="AY58" i="2"/>
  <c r="BA83" i="2"/>
  <c r="AS176" i="3"/>
  <c r="BA53" i="2"/>
  <c r="BA58" i="2" s="1"/>
  <c r="AR62" i="2"/>
  <c r="AR66" i="2"/>
  <c r="L36" i="4"/>
  <c r="AS60" i="2"/>
  <c r="L44" i="7"/>
  <c r="L54" i="7" s="1"/>
  <c r="L127" i="7"/>
  <c r="AR67" i="2" l="1"/>
  <c r="AR84" i="2" s="1"/>
  <c r="AR72" i="2"/>
  <c r="AR68" i="2"/>
  <c r="AR73" i="2"/>
  <c r="BP40" i="2"/>
  <c r="Y37" i="5"/>
  <c r="BP41" i="2"/>
  <c r="L8" i="4" s="1"/>
  <c r="BP42" i="2"/>
  <c r="BP51" i="2"/>
  <c r="Y43" i="5"/>
  <c r="AB36" i="5"/>
  <c r="BP31" i="2"/>
  <c r="Q26" i="5"/>
  <c r="AS175" i="3"/>
  <c r="BP82" i="2"/>
  <c r="L23" i="4" s="1"/>
  <c r="BP53" i="2"/>
  <c r="AS61" i="2"/>
  <c r="BN60" i="2"/>
  <c r="R5" i="8" l="1"/>
  <c r="Y38" i="5"/>
  <c r="AB38" i="5" s="1"/>
  <c r="BP58" i="2"/>
  <c r="P26" i="8"/>
  <c r="P27" i="8" s="1"/>
  <c r="P44" i="8" s="1"/>
  <c r="P47" i="8" s="1"/>
  <c r="BN61" i="2"/>
  <c r="AS62" i="2"/>
  <c r="AS66" i="2"/>
  <c r="AT60" i="2"/>
  <c r="V47" i="5"/>
  <c r="Y44" i="5"/>
  <c r="AB44" i="5" s="1"/>
  <c r="AB37" i="5"/>
  <c r="R46" i="8"/>
  <c r="BP57" i="2"/>
  <c r="L26" i="4" s="1"/>
  <c r="BP83" i="2"/>
  <c r="L24" i="4" s="1"/>
  <c r="AS177" i="3"/>
  <c r="AT61" i="2" l="1"/>
  <c r="AS67" i="2"/>
  <c r="AS84" i="2" s="1"/>
  <c r="AS72" i="2"/>
  <c r="AS68" i="2"/>
  <c r="AS73" i="2"/>
  <c r="BN66" i="2"/>
  <c r="BN62" i="2"/>
  <c r="J9" i="4" s="1"/>
  <c r="J67" i="4"/>
  <c r="J37" i="4"/>
  <c r="P85" i="8"/>
  <c r="P84" i="8"/>
  <c r="P100" i="8" l="1"/>
  <c r="K68" i="4"/>
  <c r="K75" i="4" s="1"/>
  <c r="P86" i="8"/>
  <c r="P88" i="8" s="1"/>
  <c r="H40" i="80"/>
  <c r="BN68" i="2"/>
  <c r="J10" i="4" s="1"/>
  <c r="P92" i="8"/>
  <c r="P99" i="8" s="1"/>
  <c r="O15" i="5"/>
  <c r="W39" i="5" s="1"/>
  <c r="Z39" i="5" s="1"/>
  <c r="BN73" i="2"/>
  <c r="BN67" i="2"/>
  <c r="BN84" i="2" s="1"/>
  <c r="J25" i="4" s="1"/>
  <c r="J48" i="4" s="1"/>
  <c r="J65" i="4"/>
  <c r="J73" i="4" s="1"/>
  <c r="BN72" i="2"/>
  <c r="BN77" i="2" s="1"/>
  <c r="J11" i="4" s="1"/>
  <c r="AT66" i="2"/>
  <c r="AT62" i="2"/>
  <c r="AU60" i="2"/>
  <c r="P97" i="8"/>
  <c r="J64" i="4" l="1"/>
  <c r="J72" i="4" s="1"/>
  <c r="O17" i="5" s="1"/>
  <c r="BN91" i="2"/>
  <c r="BN78" i="2"/>
  <c r="J12" i="4" s="1"/>
  <c r="O16" i="5"/>
  <c r="W40" i="5" s="1"/>
  <c r="Z40" i="5" s="1"/>
  <c r="P96" i="8"/>
  <c r="H41" i="80"/>
  <c r="I40" i="80"/>
  <c r="J40" i="80"/>
  <c r="H42" i="80"/>
  <c r="AU61" i="2"/>
  <c r="AT73" i="2"/>
  <c r="AT68" i="2"/>
  <c r="AT67" i="2"/>
  <c r="AT84" i="2" s="1"/>
  <c r="AT72" i="2"/>
  <c r="J42" i="80" l="1"/>
  <c r="J41" i="80"/>
  <c r="AU66" i="2"/>
  <c r="AU62" i="2"/>
  <c r="AV60" i="2"/>
  <c r="I41" i="80"/>
  <c r="I42" i="80"/>
  <c r="J69" i="4"/>
  <c r="J81" i="4" s="1"/>
  <c r="J82" i="4"/>
  <c r="BN87" i="2"/>
  <c r="BN88" i="2" l="1"/>
  <c r="BN89" i="2"/>
  <c r="BN93" i="2" s="1"/>
  <c r="AV61" i="2"/>
  <c r="AU68" i="2"/>
  <c r="AU73" i="2"/>
  <c r="AU72" i="2"/>
  <c r="AU67" i="2"/>
  <c r="AU84" i="2" s="1"/>
  <c r="AV62" i="2" l="1"/>
  <c r="AV66" i="2"/>
  <c r="AW60" i="2"/>
  <c r="P72" i="8"/>
  <c r="P75" i="8" s="1"/>
  <c r="P79" i="8" s="1"/>
  <c r="P81" i="8" s="1"/>
  <c r="J6" i="7"/>
  <c r="J7" i="7" l="1"/>
  <c r="Q80" i="8"/>
  <c r="J60" i="7"/>
  <c r="AW61" i="2"/>
  <c r="BO60" i="2"/>
  <c r="AV72" i="2"/>
  <c r="AV68" i="2"/>
  <c r="AV73" i="2"/>
  <c r="AV67" i="2"/>
  <c r="AV84" i="2" s="1"/>
  <c r="Q26" i="8" l="1"/>
  <c r="Q27" i="8" s="1"/>
  <c r="Q44" i="8" s="1"/>
  <c r="Q47" i="8" s="1"/>
  <c r="BO61" i="2"/>
  <c r="AW62" i="2"/>
  <c r="AW66" i="2"/>
  <c r="AX60" i="2"/>
  <c r="J89" i="4"/>
  <c r="J91" i="4" s="1"/>
  <c r="J92" i="4" s="1"/>
  <c r="AS103" i="2"/>
  <c r="J55" i="4"/>
  <c r="P82" i="8"/>
  <c r="J67" i="7"/>
  <c r="J66" i="4"/>
  <c r="J74" i="4" s="1"/>
  <c r="O19" i="5" s="1"/>
  <c r="J35" i="7"/>
  <c r="J54" i="4"/>
  <c r="O21" i="5"/>
  <c r="J31" i="4" l="1"/>
  <c r="O22" i="5" s="1"/>
  <c r="O24" i="5"/>
  <c r="J80" i="4"/>
  <c r="J147" i="7"/>
  <c r="J57" i="4" s="1"/>
  <c r="J69" i="7"/>
  <c r="J77" i="4"/>
  <c r="O18" i="5" s="1"/>
  <c r="J76" i="4"/>
  <c r="O20" i="5" s="1"/>
  <c r="J78" i="4"/>
  <c r="AX61" i="2"/>
  <c r="AW73" i="2"/>
  <c r="AW72" i="2"/>
  <c r="AW67" i="2"/>
  <c r="AW84" i="2" s="1"/>
  <c r="AW68" i="2"/>
  <c r="BO62" i="2"/>
  <c r="K9" i="4" s="1"/>
  <c r="BO66" i="2"/>
  <c r="B36" i="84" s="1"/>
  <c r="Q84" i="8"/>
  <c r="K37" i="4"/>
  <c r="K67" i="4"/>
  <c r="Q85" i="8"/>
  <c r="L68" i="4" l="1"/>
  <c r="L75" i="4" s="1"/>
  <c r="Q86" i="8"/>
  <c r="Q88" i="8" s="1"/>
  <c r="Q100" i="8"/>
  <c r="J50" i="4"/>
  <c r="J71" i="7"/>
  <c r="J34" i="4"/>
  <c r="J49" i="4" s="1"/>
  <c r="J51" i="4" s="1"/>
  <c r="J33" i="4"/>
  <c r="J32" i="4"/>
  <c r="AX66" i="2"/>
  <c r="AX62" i="2"/>
  <c r="AY60" i="2"/>
  <c r="Q97" i="8"/>
  <c r="J43" i="4"/>
  <c r="J59" i="4"/>
  <c r="J58" i="4"/>
  <c r="BO68" i="2"/>
  <c r="K10" i="4" s="1"/>
  <c r="BO73" i="2"/>
  <c r="Q92" i="8"/>
  <c r="Q99" i="8" s="1"/>
  <c r="P15" i="5"/>
  <c r="X39" i="5" s="1"/>
  <c r="AA39" i="5" s="1"/>
  <c r="BO67" i="2"/>
  <c r="BO84" i="2" s="1"/>
  <c r="K25" i="4" s="1"/>
  <c r="K48" i="4" s="1"/>
  <c r="K65" i="4"/>
  <c r="K73" i="4" s="1"/>
  <c r="BO72" i="2"/>
  <c r="BO77" i="2" s="1"/>
  <c r="K11" i="4" s="1"/>
  <c r="J30" i="84" l="1"/>
  <c r="K30" i="84" s="1"/>
  <c r="L30" i="84" s="1"/>
  <c r="J28" i="84"/>
  <c r="K28" i="84" s="1"/>
  <c r="L28" i="84" s="1"/>
  <c r="J27" i="84"/>
  <c r="K27" i="84" s="1"/>
  <c r="L27" i="84" s="1"/>
  <c r="J29" i="84"/>
  <c r="K29" i="84" s="1"/>
  <c r="L29" i="84" s="1"/>
  <c r="J26" i="84"/>
  <c r="K26" i="84" s="1"/>
  <c r="L26" i="84" s="1"/>
  <c r="B37" i="84"/>
  <c r="B38" i="84" s="1"/>
  <c r="B39" i="84" s="1"/>
  <c r="AX68" i="2"/>
  <c r="AX67" i="2"/>
  <c r="AX84" i="2" s="1"/>
  <c r="AX73" i="2"/>
  <c r="AX72" i="2"/>
  <c r="P16" i="5"/>
  <c r="BO78" i="2"/>
  <c r="K12" i="4" s="1"/>
  <c r="BO91" i="2"/>
  <c r="K64" i="4"/>
  <c r="K72" i="4" s="1"/>
  <c r="P17" i="5" s="1"/>
  <c r="J60" i="4"/>
  <c r="J44" i="4"/>
  <c r="Q96" i="8"/>
  <c r="AY61" i="2"/>
  <c r="AY62" i="2" l="1"/>
  <c r="AY66" i="2"/>
  <c r="AZ60" i="2"/>
  <c r="K82" i="4"/>
  <c r="BO87" i="2"/>
  <c r="K69" i="4"/>
  <c r="K81" i="4" s="1"/>
  <c r="X40" i="5"/>
  <c r="AA40" i="5" s="1"/>
  <c r="D10" i="5"/>
  <c r="D11" i="5" s="1"/>
  <c r="D13" i="5" s="1"/>
  <c r="D14" i="5" s="1"/>
  <c r="BO88" i="2" l="1"/>
  <c r="BO89" i="2" s="1"/>
  <c r="BO93" i="2" s="1"/>
  <c r="AZ61" i="2"/>
  <c r="AY67" i="2"/>
  <c r="AY84" i="2" s="1"/>
  <c r="AY72" i="2"/>
  <c r="AY68" i="2"/>
  <c r="AY73" i="2"/>
  <c r="AZ66" i="2" l="1"/>
  <c r="AZ62" i="2"/>
  <c r="BA60" i="2"/>
  <c r="Q72" i="8"/>
  <c r="Q75" i="8" s="1"/>
  <c r="Q79" i="8" s="1"/>
  <c r="Q81" i="8" s="1"/>
  <c r="K6" i="7"/>
  <c r="K7" i="7" l="1"/>
  <c r="K60" i="7"/>
  <c r="R80" i="8"/>
  <c r="BA61" i="2"/>
  <c r="BP60" i="2"/>
  <c r="AZ73" i="2"/>
  <c r="AZ67" i="2"/>
  <c r="AZ84" i="2" s="1"/>
  <c r="AZ68" i="2"/>
  <c r="AZ72" i="2"/>
  <c r="R26" i="8" l="1"/>
  <c r="R27" i="8" s="1"/>
  <c r="R44" i="8" s="1"/>
  <c r="R47" i="8" s="1"/>
  <c r="BP61" i="2"/>
  <c r="BA62" i="2"/>
  <c r="BA66" i="2"/>
  <c r="K55" i="4"/>
  <c r="Q82" i="8"/>
  <c r="K89" i="4"/>
  <c r="K91" i="4" s="1"/>
  <c r="K92" i="4" s="1"/>
  <c r="K67" i="7"/>
  <c r="K66" i="4"/>
  <c r="K74" i="4" s="1"/>
  <c r="P19" i="5" s="1"/>
  <c r="K54" i="4"/>
  <c r="K35" i="7"/>
  <c r="P21" i="5"/>
  <c r="K31" i="4" l="1"/>
  <c r="P22" i="5" s="1"/>
  <c r="P24" i="5"/>
  <c r="K80" i="4"/>
  <c r="K147" i="7"/>
  <c r="K57" i="4" s="1"/>
  <c r="K69" i="7"/>
  <c r="K78" i="4"/>
  <c r="K77" i="4"/>
  <c r="P18" i="5" s="1"/>
  <c r="K76" i="4"/>
  <c r="P20" i="5" s="1"/>
  <c r="BA73" i="2"/>
  <c r="BA72" i="2"/>
  <c r="BA67" i="2"/>
  <c r="BA84" i="2" s="1"/>
  <c r="BA68" i="2"/>
  <c r="BP66" i="2"/>
  <c r="BP62" i="2"/>
  <c r="L9" i="4" s="1"/>
  <c r="L67" i="4"/>
  <c r="R85" i="8"/>
  <c r="L37" i="4"/>
  <c r="R84" i="8"/>
  <c r="R97" i="8" l="1"/>
  <c r="BP73" i="2"/>
  <c r="R92" i="8"/>
  <c r="R96" i="8" s="1"/>
  <c r="Q15" i="5"/>
  <c r="Y39" i="5" s="1"/>
  <c r="AB39" i="5" s="1"/>
  <c r="BP72" i="2"/>
  <c r="BP77" i="2" s="1"/>
  <c r="L11" i="4" s="1"/>
  <c r="L65" i="4"/>
  <c r="L73" i="4" s="1"/>
  <c r="BP67" i="2"/>
  <c r="BP84" i="2" s="1"/>
  <c r="L25" i="4" s="1"/>
  <c r="L48" i="4" s="1"/>
  <c r="BP68" i="2"/>
  <c r="L10" i="4" s="1"/>
  <c r="K71" i="7"/>
  <c r="K32" i="4"/>
  <c r="K50" i="4"/>
  <c r="K34" i="4"/>
  <c r="K49" i="4" s="1"/>
  <c r="K33" i="4"/>
  <c r="K59" i="4"/>
  <c r="K58" i="4"/>
  <c r="K43" i="4"/>
  <c r="R100" i="8"/>
  <c r="R86" i="8"/>
  <c r="R88" i="8" s="1"/>
  <c r="R99" i="8" l="1"/>
  <c r="K51" i="4"/>
  <c r="K44" i="4"/>
  <c r="K60" i="4"/>
  <c r="L64" i="4"/>
  <c r="L72" i="4" s="1"/>
  <c r="Q17" i="5" s="1"/>
  <c r="BP91" i="2"/>
  <c r="Q16" i="5"/>
  <c r="BP78" i="2"/>
  <c r="L12" i="4" s="1"/>
  <c r="Y40" i="5" l="1"/>
  <c r="AB40" i="5" s="1"/>
  <c r="B14" i="85"/>
  <c r="B17" i="85" s="1"/>
  <c r="L69" i="4"/>
  <c r="L81" i="4" s="1"/>
  <c r="L82" i="4"/>
  <c r="BP87" i="2"/>
  <c r="BP88" i="2" l="1"/>
  <c r="BP89" i="2" s="1"/>
  <c r="BP93" i="2" s="1"/>
  <c r="R72" i="8" l="1"/>
  <c r="R75" i="8" s="1"/>
  <c r="R79" i="8" s="1"/>
  <c r="R81" i="8" s="1"/>
  <c r="L60" i="7" s="1"/>
  <c r="L6" i="7"/>
  <c r="L7" i="7" s="1"/>
  <c r="L54" i="4" l="1"/>
  <c r="L66" i="4"/>
  <c r="L74" i="4" s="1"/>
  <c r="Q19" i="5" s="1"/>
  <c r="L35" i="7"/>
  <c r="L31" i="4" s="1"/>
  <c r="Q22" i="5" s="1"/>
  <c r="Q21" i="5"/>
  <c r="L55" i="4"/>
  <c r="R82" i="8"/>
  <c r="L89" i="4"/>
  <c r="L91" i="4" s="1"/>
  <c r="L92" i="4" s="1"/>
  <c r="L67" i="7"/>
  <c r="L147" i="7" l="1"/>
  <c r="L57" i="4" s="1"/>
  <c r="L69" i="7"/>
  <c r="L77" i="4"/>
  <c r="Q18" i="5" s="1"/>
  <c r="L78" i="4"/>
  <c r="L76" i="4"/>
  <c r="Q20" i="5" s="1"/>
  <c r="Q24" i="5"/>
  <c r="L80" i="4"/>
  <c r="L71" i="7" l="1"/>
  <c r="L34" i="4"/>
  <c r="L49" i="4" s="1"/>
  <c r="L33" i="4"/>
  <c r="L32" i="4"/>
  <c r="L50" i="4"/>
  <c r="L58" i="4"/>
  <c r="L43" i="4"/>
  <c r="L59" i="4"/>
  <c r="L60" i="4" l="1"/>
  <c r="L44" i="4"/>
  <c r="L5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K5" authorId="0" shapeId="0" xr:uid="{F6AD50E4-718E-4558-BA5A-C117B0039404}">
      <text>
        <r>
          <rPr>
            <b/>
            <sz val="9"/>
            <color indexed="81"/>
            <rFont val="Tahoma"/>
            <family val="2"/>
          </rPr>
          <t>Author:</t>
        </r>
        <r>
          <rPr>
            <sz val="9"/>
            <color indexed="81"/>
            <rFont val="Tahoma"/>
            <family val="2"/>
          </rPr>
          <t xml:space="preserve">
restated</t>
        </r>
      </text>
    </comment>
    <comment ref="BL5" authorId="0" shapeId="0" xr:uid="{784C2442-BBBB-4ABD-A60C-16E6D04EA8BB}">
      <text>
        <r>
          <rPr>
            <b/>
            <sz val="9"/>
            <color indexed="81"/>
            <rFont val="Tahoma"/>
            <family val="2"/>
          </rPr>
          <t>Author:</t>
        </r>
        <r>
          <rPr>
            <sz val="9"/>
            <color indexed="81"/>
            <rFont val="Tahoma"/>
            <family val="2"/>
          </rPr>
          <t xml:space="preserve">
restated</t>
        </r>
      </text>
    </comment>
    <comment ref="BM5" authorId="0" shapeId="0" xr:uid="{6DC1976E-DD19-4E51-B2B7-DD0921230C4B}">
      <text>
        <r>
          <rPr>
            <b/>
            <sz val="9"/>
            <color indexed="81"/>
            <rFont val="Tahoma"/>
            <family val="2"/>
          </rPr>
          <t>Author:</t>
        </r>
        <r>
          <rPr>
            <sz val="9"/>
            <color indexed="81"/>
            <rFont val="Tahoma"/>
            <family val="2"/>
          </rPr>
          <t xml:space="preserve">
restated</t>
        </r>
      </text>
    </comment>
    <comment ref="BH6" authorId="0" shapeId="0" xr:uid="{00000000-0006-0000-0A00-000001000000}">
      <text>
        <r>
          <rPr>
            <b/>
            <sz val="9"/>
            <color indexed="81"/>
            <rFont val="Tahoma"/>
            <family val="2"/>
          </rPr>
          <t>Author:</t>
        </r>
        <r>
          <rPr>
            <sz val="9"/>
            <color indexed="81"/>
            <rFont val="Tahoma"/>
            <family val="2"/>
          </rPr>
          <t xml:space="preserve">
USD growth presentation</t>
        </r>
      </text>
    </comment>
    <comment ref="BH7" authorId="0" shapeId="0" xr:uid="{00000000-0006-0000-0A00-000002000000}">
      <text>
        <r>
          <rPr>
            <b/>
            <sz val="9"/>
            <color indexed="81"/>
            <rFont val="Tahoma"/>
            <family val="2"/>
          </rPr>
          <t>Author:</t>
        </r>
        <r>
          <rPr>
            <sz val="9"/>
            <color indexed="81"/>
            <rFont val="Tahoma"/>
            <family val="2"/>
          </rPr>
          <t xml:space="preserve">
CC growth presentation</t>
        </r>
      </text>
    </comment>
    <comment ref="AI15" authorId="0" shapeId="0" xr:uid="{B1B48096-4A8E-4AF3-B2C7-96D3F87D5244}">
      <text>
        <r>
          <rPr>
            <b/>
            <sz val="9"/>
            <color indexed="81"/>
            <rFont val="Tahoma"/>
            <family val="2"/>
          </rPr>
          <t xml:space="preserve">Author:
</t>
        </r>
      </text>
    </comment>
    <comment ref="AJ15" authorId="0" shapeId="0" xr:uid="{063E7EE4-4C88-4C63-853E-D9BB06AFBEF8}">
      <text>
        <r>
          <rPr>
            <b/>
            <sz val="9"/>
            <color indexed="81"/>
            <rFont val="Tahoma"/>
            <family val="2"/>
          </rPr>
          <t xml:space="preserve">Author:
</t>
        </r>
      </text>
    </comment>
    <comment ref="AK15" authorId="0" shapeId="0" xr:uid="{45F178A5-0B91-4AFE-A18F-FA951DD1D50D}">
      <text>
        <r>
          <rPr>
            <b/>
            <sz val="9"/>
            <color indexed="81"/>
            <rFont val="Tahoma"/>
            <family val="2"/>
          </rPr>
          <t xml:space="preserve">Author:
</t>
        </r>
      </text>
    </comment>
    <comment ref="AL15" authorId="0" shapeId="0" xr:uid="{33B95812-16C9-422E-AD23-313C900BB07D}">
      <text>
        <r>
          <rPr>
            <b/>
            <sz val="9"/>
            <color indexed="81"/>
            <rFont val="Tahoma"/>
            <family val="2"/>
          </rPr>
          <t xml:space="preserve">Author:
</t>
        </r>
      </text>
    </comment>
    <comment ref="AM15" authorId="0" shapeId="0" xr:uid="{5E6B2CBD-9179-4480-9D27-B0FDDED2660F}">
      <text>
        <r>
          <rPr>
            <b/>
            <sz val="9"/>
            <color indexed="81"/>
            <rFont val="Tahoma"/>
            <family val="2"/>
          </rPr>
          <t xml:space="preserve">Author:
</t>
        </r>
      </text>
    </comment>
    <comment ref="AN15" authorId="0" shapeId="0" xr:uid="{1694408A-0B01-44DD-9B74-CA6FBE4EFBA0}">
      <text>
        <r>
          <rPr>
            <b/>
            <sz val="9"/>
            <color indexed="81"/>
            <rFont val="Tahoma"/>
            <family val="2"/>
          </rPr>
          <t xml:space="preserve">Author:
</t>
        </r>
      </text>
    </comment>
    <comment ref="AO15" authorId="0" shapeId="0" xr:uid="{410FE8CC-0038-42B4-A369-07B986947F45}">
      <text>
        <r>
          <rPr>
            <b/>
            <sz val="9"/>
            <color indexed="81"/>
            <rFont val="Tahoma"/>
            <family val="2"/>
          </rPr>
          <t xml:space="preserve">Author:
</t>
        </r>
      </text>
    </comment>
    <comment ref="BB15" authorId="0" shapeId="0" xr:uid="{F72CA6F4-C7C0-42E9-9339-11A437C12C78}">
      <text>
        <r>
          <rPr>
            <b/>
            <sz val="9"/>
            <color indexed="81"/>
            <rFont val="Tahoma"/>
            <family val="2"/>
          </rPr>
          <t xml:space="preserve">Author:
</t>
        </r>
      </text>
    </comment>
    <comment ref="BI15" authorId="0" shapeId="0" xr:uid="{00000000-0006-0000-0A00-000003000000}">
      <text>
        <r>
          <rPr>
            <b/>
            <sz val="9"/>
            <color indexed="81"/>
            <rFont val="Tahoma"/>
            <family val="2"/>
          </rPr>
          <t>Author:</t>
        </r>
        <r>
          <rPr>
            <sz val="9"/>
            <color indexed="81"/>
            <rFont val="Tahoma"/>
            <family val="2"/>
          </rPr>
          <t xml:space="preserve">
adjusted</t>
        </r>
      </text>
    </comment>
    <comment ref="AI18" authorId="0" shapeId="0" xr:uid="{0BF3985F-0571-4A6B-904F-C8B81DC78718}">
      <text>
        <r>
          <rPr>
            <b/>
            <sz val="9"/>
            <color indexed="81"/>
            <rFont val="Tahoma"/>
            <family val="2"/>
          </rPr>
          <t>Author:</t>
        </r>
        <r>
          <rPr>
            <sz val="9"/>
            <color indexed="81"/>
            <rFont val="Tahoma"/>
            <family val="2"/>
          </rPr>
          <t xml:space="preserve">
GPM 32.4%</t>
        </r>
      </text>
    </comment>
    <comment ref="AJ18" authorId="0" shapeId="0" xr:uid="{274A3A25-3046-4783-B8EB-0AE6C6E2DF3B}">
      <text>
        <r>
          <rPr>
            <b/>
            <sz val="9"/>
            <color indexed="81"/>
            <rFont val="Tahoma"/>
            <family val="2"/>
          </rPr>
          <t>Author:</t>
        </r>
        <r>
          <rPr>
            <sz val="9"/>
            <color indexed="81"/>
            <rFont val="Tahoma"/>
            <family val="2"/>
          </rPr>
          <t xml:space="preserve">
GPM 32.4%</t>
        </r>
      </text>
    </comment>
    <comment ref="AK18" authorId="0" shapeId="0" xr:uid="{20700C90-B2EF-4819-B4A5-29BC2E393A44}">
      <text>
        <r>
          <rPr>
            <b/>
            <sz val="9"/>
            <color indexed="81"/>
            <rFont val="Tahoma"/>
            <family val="2"/>
          </rPr>
          <t>Author:</t>
        </r>
        <r>
          <rPr>
            <sz val="9"/>
            <color indexed="81"/>
            <rFont val="Tahoma"/>
            <family val="2"/>
          </rPr>
          <t xml:space="preserve">
GPM 32.4%</t>
        </r>
      </text>
    </comment>
    <comment ref="AL18" authorId="0" shapeId="0" xr:uid="{B5BB7399-D9F0-4062-89C8-6BD77A25519B}">
      <text>
        <r>
          <rPr>
            <b/>
            <sz val="9"/>
            <color indexed="81"/>
            <rFont val="Tahoma"/>
            <family val="2"/>
          </rPr>
          <t>Author:</t>
        </r>
        <r>
          <rPr>
            <sz val="9"/>
            <color indexed="81"/>
            <rFont val="Tahoma"/>
            <family val="2"/>
          </rPr>
          <t xml:space="preserve">
GPM 32.4%</t>
        </r>
      </text>
    </comment>
    <comment ref="AM18" authorId="0" shapeId="0" xr:uid="{9B74D428-4EBB-444D-9FA0-64A14080A618}">
      <text>
        <r>
          <rPr>
            <b/>
            <sz val="9"/>
            <color indexed="81"/>
            <rFont val="Tahoma"/>
            <family val="2"/>
          </rPr>
          <t>Author:</t>
        </r>
        <r>
          <rPr>
            <sz val="9"/>
            <color indexed="81"/>
            <rFont val="Tahoma"/>
            <family val="2"/>
          </rPr>
          <t xml:space="preserve">
GPM 32.4%</t>
        </r>
      </text>
    </comment>
    <comment ref="AN18" authorId="0" shapeId="0" xr:uid="{EFC3D450-4DF7-4821-BC32-EE81C6077A7F}">
      <text>
        <r>
          <rPr>
            <b/>
            <sz val="9"/>
            <color indexed="81"/>
            <rFont val="Tahoma"/>
            <family val="2"/>
          </rPr>
          <t>Author:</t>
        </r>
        <r>
          <rPr>
            <sz val="9"/>
            <color indexed="81"/>
            <rFont val="Tahoma"/>
            <family val="2"/>
          </rPr>
          <t xml:space="preserve">
GPM 32.4%</t>
        </r>
      </text>
    </comment>
    <comment ref="AO18" authorId="0" shapeId="0" xr:uid="{9B09692C-EEBE-4C75-B0D1-22867F2FB617}">
      <text>
        <r>
          <rPr>
            <b/>
            <sz val="9"/>
            <color indexed="81"/>
            <rFont val="Tahoma"/>
            <family val="2"/>
          </rPr>
          <t>Author:</t>
        </r>
        <r>
          <rPr>
            <sz val="9"/>
            <color indexed="81"/>
            <rFont val="Tahoma"/>
            <family val="2"/>
          </rPr>
          <t xml:space="preserve">
GPM 32.4%</t>
        </r>
      </text>
    </comment>
    <comment ref="BB18" authorId="0" shapeId="0" xr:uid="{AA85B624-B5E7-4EE8-BAF0-36AE2C48FEE5}">
      <text>
        <r>
          <rPr>
            <b/>
            <sz val="9"/>
            <color indexed="81"/>
            <rFont val="Tahoma"/>
            <family val="2"/>
          </rPr>
          <t>Author:</t>
        </r>
        <r>
          <rPr>
            <sz val="9"/>
            <color indexed="81"/>
            <rFont val="Tahoma"/>
            <family val="2"/>
          </rPr>
          <t xml:space="preserve">
GPM 32.4%</t>
        </r>
      </text>
    </comment>
    <comment ref="Z22" authorId="0" shapeId="0" xr:uid="{00000000-0006-0000-0A00-000004000000}">
      <text>
        <r>
          <rPr>
            <b/>
            <sz val="9"/>
            <color indexed="81"/>
            <rFont val="Tahoma"/>
            <family val="2"/>
          </rPr>
          <t>Author:</t>
        </r>
        <r>
          <rPr>
            <sz val="9"/>
            <color indexed="81"/>
            <rFont val="Tahoma"/>
            <family val="2"/>
          </rPr>
          <t xml:space="preserve">
missing number</t>
        </r>
      </text>
    </comment>
    <comment ref="AI34" authorId="0" shapeId="0" xr:uid="{FD11C044-B315-4B67-AA93-85EDA6ACD1A7}">
      <text>
        <r>
          <rPr>
            <b/>
            <sz val="9"/>
            <color indexed="81"/>
            <rFont val="Tahoma"/>
            <family val="2"/>
          </rPr>
          <t>Author:</t>
        </r>
        <r>
          <rPr>
            <sz val="9"/>
            <color indexed="81"/>
            <rFont val="Tahoma"/>
            <family val="2"/>
          </rPr>
          <t xml:space="preserve">
10.7 mn impact per year due to acquisition</t>
        </r>
      </text>
    </comment>
    <comment ref="AJ34" authorId="0" shapeId="0" xr:uid="{5A83BC41-5491-42A9-9E0B-BE35FC5FE8B6}">
      <text>
        <r>
          <rPr>
            <b/>
            <sz val="9"/>
            <color indexed="81"/>
            <rFont val="Tahoma"/>
            <family val="2"/>
          </rPr>
          <t>Author:</t>
        </r>
        <r>
          <rPr>
            <sz val="9"/>
            <color indexed="81"/>
            <rFont val="Tahoma"/>
            <family val="2"/>
          </rPr>
          <t xml:space="preserve">
10.7 mn impact per year due to acquisition</t>
        </r>
      </text>
    </comment>
    <comment ref="AK34" authorId="0" shapeId="0" xr:uid="{86850D86-3153-4A8B-AF9F-4C3B11602B58}">
      <text>
        <r>
          <rPr>
            <b/>
            <sz val="9"/>
            <color indexed="81"/>
            <rFont val="Tahoma"/>
            <family val="2"/>
          </rPr>
          <t>Author:</t>
        </r>
        <r>
          <rPr>
            <sz val="9"/>
            <color indexed="81"/>
            <rFont val="Tahoma"/>
            <family val="2"/>
          </rPr>
          <t xml:space="preserve">
10.7 mn impact per year due to acquisition</t>
        </r>
      </text>
    </comment>
    <comment ref="AL34" authorId="0" shapeId="0" xr:uid="{D01E7486-0459-4CB8-B2AD-B53B31332F64}">
      <text>
        <r>
          <rPr>
            <b/>
            <sz val="9"/>
            <color indexed="81"/>
            <rFont val="Tahoma"/>
            <family val="2"/>
          </rPr>
          <t>Author:</t>
        </r>
        <r>
          <rPr>
            <sz val="9"/>
            <color indexed="81"/>
            <rFont val="Tahoma"/>
            <family val="2"/>
          </rPr>
          <t xml:space="preserve">
10.7 mn impact per year due to acquisition</t>
        </r>
      </text>
    </comment>
    <comment ref="AM34" authorId="0" shapeId="0" xr:uid="{1868C2FB-8540-4191-BA2A-BF6CE8ECD28C}">
      <text>
        <r>
          <rPr>
            <b/>
            <sz val="9"/>
            <color indexed="81"/>
            <rFont val="Tahoma"/>
            <family val="2"/>
          </rPr>
          <t>Author:</t>
        </r>
        <r>
          <rPr>
            <sz val="9"/>
            <color indexed="81"/>
            <rFont val="Tahoma"/>
            <family val="2"/>
          </rPr>
          <t xml:space="preserve">
10.7 mn impact per year due to acquisition</t>
        </r>
      </text>
    </comment>
    <comment ref="AN34" authorId="0" shapeId="0" xr:uid="{5FC0E1B0-1EC5-4D64-8413-8A7B3DACC8DF}">
      <text>
        <r>
          <rPr>
            <b/>
            <sz val="9"/>
            <color indexed="81"/>
            <rFont val="Tahoma"/>
            <family val="2"/>
          </rPr>
          <t>Author:</t>
        </r>
        <r>
          <rPr>
            <sz val="9"/>
            <color indexed="81"/>
            <rFont val="Tahoma"/>
            <family val="2"/>
          </rPr>
          <t xml:space="preserve">
10.7 mn impact per year due to acquisition</t>
        </r>
      </text>
    </comment>
    <comment ref="AO34" authorId="0" shapeId="0" xr:uid="{33A16BCC-2BA7-4019-A473-E22A3867ABFA}">
      <text>
        <r>
          <rPr>
            <b/>
            <sz val="9"/>
            <color indexed="81"/>
            <rFont val="Tahoma"/>
            <family val="2"/>
          </rPr>
          <t>Author:</t>
        </r>
        <r>
          <rPr>
            <sz val="9"/>
            <color indexed="81"/>
            <rFont val="Tahoma"/>
            <family val="2"/>
          </rPr>
          <t xml:space="preserve">
10.7 mn impact per year due to acquisition</t>
        </r>
      </text>
    </comment>
    <comment ref="AI43" authorId="0" shapeId="0" xr:uid="{EE7779A7-512A-45E2-A8AB-649A8633858D}">
      <text>
        <r>
          <rPr>
            <b/>
            <sz val="9"/>
            <color indexed="81"/>
            <rFont val="Tahoma"/>
            <family val="2"/>
          </rPr>
          <t>Author:</t>
        </r>
        <r>
          <rPr>
            <sz val="9"/>
            <color indexed="81"/>
            <rFont val="Tahoma"/>
            <family val="2"/>
          </rPr>
          <t xml:space="preserve">
Plug value
(PBT reported- PBT calculated exclusing other income) :3135 - 3308 (3598-290)</t>
        </r>
      </text>
    </comment>
    <comment ref="AJ43" authorId="0" shapeId="0" xr:uid="{1C25379A-8E20-4AEB-A0CD-EAB7F9EE5104}">
      <text>
        <r>
          <rPr>
            <b/>
            <sz val="9"/>
            <color indexed="81"/>
            <rFont val="Tahoma"/>
            <family val="2"/>
          </rPr>
          <t>Author:</t>
        </r>
        <r>
          <rPr>
            <sz val="9"/>
            <color indexed="81"/>
            <rFont val="Tahoma"/>
            <family val="2"/>
          </rPr>
          <t xml:space="preserve">
Plug value
(PBT reported- PBT calculated exclusing other income) :3135 - 3308 (3598-290)</t>
        </r>
      </text>
    </comment>
    <comment ref="AK43" authorId="0" shapeId="0" xr:uid="{FE60F3E6-0FD0-4AA0-93D0-F4DB9446203B}">
      <text>
        <r>
          <rPr>
            <b/>
            <sz val="9"/>
            <color indexed="81"/>
            <rFont val="Tahoma"/>
            <family val="2"/>
          </rPr>
          <t>Author:</t>
        </r>
        <r>
          <rPr>
            <sz val="9"/>
            <color indexed="81"/>
            <rFont val="Tahoma"/>
            <family val="2"/>
          </rPr>
          <t xml:space="preserve">
Plug value
(PBT reported- PBT calculated exclusing other income) :3135 - 3308 (3598-290)</t>
        </r>
      </text>
    </comment>
    <comment ref="AL43" authorId="0" shapeId="0" xr:uid="{EF3D3175-C871-47DE-9C89-9876D3AD0324}">
      <text>
        <r>
          <rPr>
            <b/>
            <sz val="9"/>
            <color indexed="81"/>
            <rFont val="Tahoma"/>
            <family val="2"/>
          </rPr>
          <t>Author:</t>
        </r>
        <r>
          <rPr>
            <sz val="9"/>
            <color indexed="81"/>
            <rFont val="Tahoma"/>
            <family val="2"/>
          </rPr>
          <t xml:space="preserve">
Plug value
(PBT reported- PBT calculated exclusing other income) :3135 - 3308 (3598-290)</t>
        </r>
      </text>
    </comment>
    <comment ref="AM43" authorId="0" shapeId="0" xr:uid="{8B45A732-9E74-49C9-86AB-0D781B8C24AD}">
      <text>
        <r>
          <rPr>
            <b/>
            <sz val="9"/>
            <color indexed="81"/>
            <rFont val="Tahoma"/>
            <family val="2"/>
          </rPr>
          <t>Author:</t>
        </r>
        <r>
          <rPr>
            <sz val="9"/>
            <color indexed="81"/>
            <rFont val="Tahoma"/>
            <family val="2"/>
          </rPr>
          <t xml:space="preserve">
Plug value
(PBT reported- PBT calculated exclusing other income) :3135 - 3308 (3598-290)</t>
        </r>
      </text>
    </comment>
    <comment ref="AN43" authorId="0" shapeId="0" xr:uid="{17BD79A5-0E81-4D1E-9429-CEE9A8047B38}">
      <text>
        <r>
          <rPr>
            <b/>
            <sz val="9"/>
            <color indexed="81"/>
            <rFont val="Tahoma"/>
            <family val="2"/>
          </rPr>
          <t>Author:</t>
        </r>
        <r>
          <rPr>
            <sz val="9"/>
            <color indexed="81"/>
            <rFont val="Tahoma"/>
            <family val="2"/>
          </rPr>
          <t xml:space="preserve">
Plug value
(PBT reported- PBT calculated exclusing other income) :3135 - 3308 (3598-290)</t>
        </r>
      </text>
    </comment>
    <comment ref="AO43" authorId="0" shapeId="0" xr:uid="{95FD91E7-33D2-4393-8C8C-176DF52C09B5}">
      <text>
        <r>
          <rPr>
            <b/>
            <sz val="9"/>
            <color indexed="81"/>
            <rFont val="Tahoma"/>
            <family val="2"/>
          </rPr>
          <t>Author:</t>
        </r>
        <r>
          <rPr>
            <sz val="9"/>
            <color indexed="81"/>
            <rFont val="Tahoma"/>
            <family val="2"/>
          </rPr>
          <t xml:space="preserve">
Plug value
(PBT reported- PBT calculated exclusing other income) :3135 - 3308 (3598-290)</t>
        </r>
      </text>
    </comment>
    <comment ref="BB43" authorId="0" shapeId="0" xr:uid="{73E21ED2-62C0-4AB4-ADBF-0CA8476F6E36}">
      <text>
        <r>
          <rPr>
            <b/>
            <sz val="9"/>
            <color indexed="81"/>
            <rFont val="Tahoma"/>
            <family val="2"/>
          </rPr>
          <t>Author:</t>
        </r>
        <r>
          <rPr>
            <sz val="9"/>
            <color indexed="81"/>
            <rFont val="Tahoma"/>
            <family val="2"/>
          </rPr>
          <t xml:space="preserve">
Plug value
(PBT reported- PBT calculated exclusing other income) :3135 - 3308 (3598-290)</t>
        </r>
      </text>
    </comment>
    <comment ref="Y44" authorId="0" shapeId="0" xr:uid="{00000000-0006-0000-0A00-000005000000}">
      <text>
        <r>
          <rPr>
            <b/>
            <sz val="9"/>
            <color indexed="81"/>
            <rFont val="Tahoma"/>
            <family val="2"/>
          </rPr>
          <t>Author:</t>
        </r>
        <r>
          <rPr>
            <sz val="9"/>
            <color indexed="81"/>
            <rFont val="Tahoma"/>
            <family val="2"/>
          </rPr>
          <t xml:space="preserve">
Fact sheet</t>
        </r>
      </text>
    </comment>
    <comment ref="AC50" authorId="0" shapeId="0" xr:uid="{98DF5E07-D134-40C9-975C-7832DA338094}">
      <text>
        <r>
          <rPr>
            <b/>
            <sz val="9"/>
            <color indexed="81"/>
            <rFont val="Tahoma"/>
            <family val="2"/>
          </rPr>
          <t>Author:</t>
        </r>
        <r>
          <rPr>
            <sz val="9"/>
            <color indexed="81"/>
            <rFont val="Tahoma"/>
            <family val="2"/>
          </rPr>
          <t xml:space="preserve">
ADR listing 523 and Celebration cost 803
</t>
        </r>
      </text>
    </comment>
    <comment ref="AL64" authorId="0" shapeId="0" xr:uid="{CF254876-6879-44CC-B0F7-CEA577BC3466}">
      <text>
        <r>
          <rPr>
            <b/>
            <sz val="9"/>
            <color indexed="81"/>
            <rFont val="Tahoma"/>
            <family val="2"/>
          </rPr>
          <t>Author:</t>
        </r>
        <r>
          <rPr>
            <sz val="9"/>
            <color indexed="81"/>
            <rFont val="Tahoma"/>
            <family val="2"/>
          </rPr>
          <t xml:space="preserve">
Gain on account on AdGo Sale</t>
        </r>
      </text>
    </comment>
    <comment ref="AM64" authorId="0" shapeId="0" xr:uid="{EA4289E8-A1AD-4D41-B11D-9FBEC16D96CD}">
      <text>
        <r>
          <rPr>
            <b/>
            <sz val="9"/>
            <color indexed="81"/>
            <rFont val="Tahoma"/>
            <family val="2"/>
          </rPr>
          <t>Author:</t>
        </r>
        <r>
          <rPr>
            <sz val="9"/>
            <color indexed="81"/>
            <rFont val="Tahoma"/>
            <family val="2"/>
          </rPr>
          <t xml:space="preserve">
Gain on account on AdGo Sale</t>
        </r>
      </text>
    </comment>
    <comment ref="AN64" authorId="0" shapeId="0" xr:uid="{5328E9FD-BB2E-4B09-9638-BDAAAB7F923D}">
      <text>
        <r>
          <rPr>
            <b/>
            <sz val="9"/>
            <color indexed="81"/>
            <rFont val="Tahoma"/>
            <family val="2"/>
          </rPr>
          <t>Author:</t>
        </r>
        <r>
          <rPr>
            <sz val="9"/>
            <color indexed="81"/>
            <rFont val="Tahoma"/>
            <family val="2"/>
          </rPr>
          <t xml:space="preserve">
Gain on account on AdGo Sale</t>
        </r>
      </text>
    </comment>
    <comment ref="AO64" authorId="0" shapeId="0" xr:uid="{C72047F4-2F2D-4E8C-B35D-D3240990D337}">
      <text>
        <r>
          <rPr>
            <b/>
            <sz val="9"/>
            <color indexed="81"/>
            <rFont val="Tahoma"/>
            <family val="2"/>
          </rPr>
          <t>Author:</t>
        </r>
        <r>
          <rPr>
            <sz val="9"/>
            <color indexed="81"/>
            <rFont val="Tahoma"/>
            <family val="2"/>
          </rPr>
          <t xml:space="preserve">
Gain on account on AdGo Sale</t>
        </r>
      </text>
    </comment>
    <comment ref="AC65" authorId="0" shapeId="0" xr:uid="{F6DE86C9-BC92-4770-A110-6E8DFE0B9A2C}">
      <text>
        <r>
          <rPr>
            <b/>
            <sz val="9"/>
            <color indexed="81"/>
            <rFont val="Tahoma"/>
            <family val="2"/>
          </rPr>
          <t>Author:</t>
        </r>
        <r>
          <rPr>
            <sz val="9"/>
            <color indexed="81"/>
            <rFont val="Tahoma"/>
            <family val="2"/>
          </rPr>
          <t xml:space="preserve">
Difference in Provision for Tax
ADR listing 523 and Celebration cost 803</t>
        </r>
      </text>
    </comment>
    <comment ref="BL65" authorId="0" shapeId="0" xr:uid="{8F2BBD03-9DD1-4263-A836-12B403203BFB}">
      <text>
        <r>
          <rPr>
            <b/>
            <sz val="9"/>
            <color indexed="81"/>
            <rFont val="Tahoma"/>
            <family val="2"/>
          </rPr>
          <t>Author:</t>
        </r>
        <r>
          <rPr>
            <sz val="9"/>
            <color indexed="81"/>
            <rFont val="Tahoma"/>
            <family val="2"/>
          </rPr>
          <t xml:space="preserve">
exceptional items - presentation</t>
        </r>
      </text>
    </comment>
    <comment ref="BM65" authorId="0" shapeId="0" xr:uid="{D0B4F411-5A50-454D-940F-A39FB872F153}">
      <text>
        <r>
          <rPr>
            <b/>
            <sz val="9"/>
            <color indexed="81"/>
            <rFont val="Tahoma"/>
            <family val="2"/>
          </rPr>
          <t>Author:</t>
        </r>
        <r>
          <rPr>
            <sz val="9"/>
            <color indexed="81"/>
            <rFont val="Tahoma"/>
            <family val="2"/>
          </rPr>
          <t xml:space="preserve">
exceptional items - presentation</t>
        </r>
      </text>
    </comment>
    <comment ref="AH66" authorId="0" shapeId="0" xr:uid="{EB354098-6091-4132-A3C5-E99B6322C361}">
      <text>
        <r>
          <rPr>
            <b/>
            <sz val="9"/>
            <color indexed="81"/>
            <rFont val="Tahoma"/>
            <family val="2"/>
          </rPr>
          <t>Author:</t>
        </r>
        <r>
          <rPr>
            <sz val="9"/>
            <color indexed="81"/>
            <rFont val="Tahoma"/>
            <family val="2"/>
          </rPr>
          <t xml:space="preserve">
Reported value in 2QFY25</t>
        </r>
      </text>
    </comment>
    <comment ref="AG72" authorId="0" shapeId="0" xr:uid="{9E7B0483-BA75-4EE6-A798-94D57E71B504}">
      <text>
        <r>
          <rPr>
            <b/>
            <sz val="9"/>
            <color indexed="81"/>
            <rFont val="Tahoma"/>
            <family val="2"/>
          </rPr>
          <t>Author:</t>
        </r>
        <r>
          <rPr>
            <sz val="9"/>
            <color indexed="81"/>
            <rFont val="Tahoma"/>
            <family val="2"/>
          </rPr>
          <t xml:space="preserve">
Continuing operations</t>
        </r>
      </text>
    </comment>
    <comment ref="AJ72" authorId="0" shapeId="0" xr:uid="{789205EC-66DC-4019-83A2-169415CDAC77}">
      <text>
        <r>
          <rPr>
            <b/>
            <sz val="9"/>
            <color indexed="81"/>
            <rFont val="Tahoma"/>
            <family val="2"/>
          </rPr>
          <t>Author:</t>
        </r>
        <r>
          <rPr>
            <sz val="9"/>
            <color indexed="81"/>
            <rFont val="Tahoma"/>
            <family val="2"/>
          </rPr>
          <t xml:space="preserve">
Continuing operations</t>
        </r>
      </text>
    </comment>
    <comment ref="AK72" authorId="0" shapeId="0" xr:uid="{4A5CF579-0655-44B8-96CA-E3434581956F}">
      <text>
        <r>
          <rPr>
            <b/>
            <sz val="9"/>
            <color indexed="81"/>
            <rFont val="Tahoma"/>
            <family val="2"/>
          </rPr>
          <t>Author:</t>
        </r>
        <r>
          <rPr>
            <sz val="9"/>
            <color indexed="81"/>
            <rFont val="Tahoma"/>
            <family val="2"/>
          </rPr>
          <t xml:space="preserve">
Continuing operations</t>
        </r>
      </text>
    </comment>
    <comment ref="AL72" authorId="0" shapeId="0" xr:uid="{F0998092-E467-471C-AC59-4FC8DE7DEBF2}">
      <text>
        <r>
          <rPr>
            <b/>
            <sz val="9"/>
            <color indexed="81"/>
            <rFont val="Tahoma"/>
            <family val="2"/>
          </rPr>
          <t>Author:</t>
        </r>
        <r>
          <rPr>
            <sz val="9"/>
            <color indexed="81"/>
            <rFont val="Tahoma"/>
            <family val="2"/>
          </rPr>
          <t xml:space="preserve">
Continuing operations</t>
        </r>
      </text>
    </comment>
    <comment ref="AM72" authorId="0" shapeId="0" xr:uid="{40FCB4C6-D663-440E-B9FE-2EDE8B2107D2}">
      <text>
        <r>
          <rPr>
            <b/>
            <sz val="9"/>
            <color indexed="81"/>
            <rFont val="Tahoma"/>
            <family val="2"/>
          </rPr>
          <t>Author:</t>
        </r>
        <r>
          <rPr>
            <sz val="9"/>
            <color indexed="81"/>
            <rFont val="Tahoma"/>
            <family val="2"/>
          </rPr>
          <t xml:space="preserve">
Continuing operations</t>
        </r>
      </text>
    </comment>
    <comment ref="AN72" authorId="0" shapeId="0" xr:uid="{A227EB53-2B57-439A-8CF7-DA178327D5F1}">
      <text>
        <r>
          <rPr>
            <b/>
            <sz val="9"/>
            <color indexed="81"/>
            <rFont val="Tahoma"/>
            <family val="2"/>
          </rPr>
          <t>Author:</t>
        </r>
        <r>
          <rPr>
            <sz val="9"/>
            <color indexed="81"/>
            <rFont val="Tahoma"/>
            <family val="2"/>
          </rPr>
          <t xml:space="preserve">
Continuing operations</t>
        </r>
      </text>
    </comment>
    <comment ref="AO72" authorId="0" shapeId="0" xr:uid="{C27485E3-27BD-4708-904D-D78096F9EC97}">
      <text>
        <r>
          <rPr>
            <b/>
            <sz val="9"/>
            <color indexed="81"/>
            <rFont val="Tahoma"/>
            <family val="2"/>
          </rPr>
          <t>Author:</t>
        </r>
        <r>
          <rPr>
            <sz val="9"/>
            <color indexed="81"/>
            <rFont val="Tahoma"/>
            <family val="2"/>
          </rPr>
          <t xml:space="preserve">
Continuing operations</t>
        </r>
      </text>
    </comment>
    <comment ref="AG73" authorId="0" shapeId="0" xr:uid="{58430043-3E0A-4B30-AD17-64C22F29624D}">
      <text>
        <r>
          <rPr>
            <b/>
            <sz val="9"/>
            <color indexed="81"/>
            <rFont val="Tahoma"/>
            <family val="2"/>
          </rPr>
          <t>Author:</t>
        </r>
        <r>
          <rPr>
            <sz val="9"/>
            <color indexed="81"/>
            <rFont val="Tahoma"/>
            <family val="2"/>
          </rPr>
          <t xml:space="preserve">
Continuing operations</t>
        </r>
      </text>
    </comment>
    <comment ref="AJ73" authorId="0" shapeId="0" xr:uid="{6E13035B-FC9D-4BE2-817F-C306EC961485}">
      <text>
        <r>
          <rPr>
            <b/>
            <sz val="9"/>
            <color indexed="81"/>
            <rFont val="Tahoma"/>
            <family val="2"/>
          </rPr>
          <t>Author:</t>
        </r>
        <r>
          <rPr>
            <sz val="9"/>
            <color indexed="81"/>
            <rFont val="Tahoma"/>
            <family val="2"/>
          </rPr>
          <t xml:space="preserve">
Continuing operations</t>
        </r>
      </text>
    </comment>
    <comment ref="AK73" authorId="0" shapeId="0" xr:uid="{EDBE5A66-450A-4FC6-9D74-ABA1798EBBC7}">
      <text>
        <r>
          <rPr>
            <b/>
            <sz val="9"/>
            <color indexed="81"/>
            <rFont val="Tahoma"/>
            <family val="2"/>
          </rPr>
          <t>Author:</t>
        </r>
        <r>
          <rPr>
            <sz val="9"/>
            <color indexed="81"/>
            <rFont val="Tahoma"/>
            <family val="2"/>
          </rPr>
          <t xml:space="preserve">
Continuing operations</t>
        </r>
      </text>
    </comment>
    <comment ref="AL73" authorId="0" shapeId="0" xr:uid="{7CBBF400-7B4F-404A-A513-137DE4ABCE7B}">
      <text>
        <r>
          <rPr>
            <b/>
            <sz val="9"/>
            <color indexed="81"/>
            <rFont val="Tahoma"/>
            <family val="2"/>
          </rPr>
          <t>Author:</t>
        </r>
        <r>
          <rPr>
            <sz val="9"/>
            <color indexed="81"/>
            <rFont val="Tahoma"/>
            <family val="2"/>
          </rPr>
          <t xml:space="preserve">
Continuing operations</t>
        </r>
      </text>
    </comment>
    <comment ref="AM73" authorId="0" shapeId="0" xr:uid="{68F1740E-0CAE-483B-9CAF-1C3692FBA591}">
      <text>
        <r>
          <rPr>
            <b/>
            <sz val="9"/>
            <color indexed="81"/>
            <rFont val="Tahoma"/>
            <family val="2"/>
          </rPr>
          <t>Author:</t>
        </r>
        <r>
          <rPr>
            <sz val="9"/>
            <color indexed="81"/>
            <rFont val="Tahoma"/>
            <family val="2"/>
          </rPr>
          <t xml:space="preserve">
Continuing operations</t>
        </r>
      </text>
    </comment>
    <comment ref="AN73" authorId="0" shapeId="0" xr:uid="{81D747C6-13DD-4ED5-BCAC-E8141D29293C}">
      <text>
        <r>
          <rPr>
            <b/>
            <sz val="9"/>
            <color indexed="81"/>
            <rFont val="Tahoma"/>
            <family val="2"/>
          </rPr>
          <t>Author:</t>
        </r>
        <r>
          <rPr>
            <sz val="9"/>
            <color indexed="81"/>
            <rFont val="Tahoma"/>
            <family val="2"/>
          </rPr>
          <t xml:space="preserve">
Continuing operations</t>
        </r>
      </text>
    </comment>
    <comment ref="AO73" authorId="0" shapeId="0" xr:uid="{68C7E4C9-4F55-46D0-9463-D5D25B546D70}">
      <text>
        <r>
          <rPr>
            <b/>
            <sz val="9"/>
            <color indexed="81"/>
            <rFont val="Tahoma"/>
            <family val="2"/>
          </rPr>
          <t>Author:</t>
        </r>
        <r>
          <rPr>
            <sz val="9"/>
            <color indexed="81"/>
            <rFont val="Tahoma"/>
            <family val="2"/>
          </rPr>
          <t xml:space="preserve">
Continuing operations</t>
        </r>
      </text>
    </comment>
    <comment ref="AG75" authorId="0" shapeId="0" xr:uid="{65DB3107-05F9-4F46-B372-9666CD04909E}">
      <text>
        <r>
          <rPr>
            <b/>
            <sz val="9"/>
            <color indexed="81"/>
            <rFont val="Tahoma"/>
            <family val="2"/>
          </rPr>
          <t>Author:</t>
        </r>
        <r>
          <rPr>
            <sz val="9"/>
            <color indexed="81"/>
            <rFont val="Tahoma"/>
            <family val="2"/>
          </rPr>
          <t xml:space="preserve">
Continuing operations</t>
        </r>
      </text>
    </comment>
    <comment ref="AJ75" authorId="0" shapeId="0" xr:uid="{9CED8678-D289-4EB5-9CA6-1567AB365AB1}">
      <text>
        <r>
          <rPr>
            <b/>
            <sz val="9"/>
            <color indexed="81"/>
            <rFont val="Tahoma"/>
            <family val="2"/>
          </rPr>
          <t>Author:</t>
        </r>
        <r>
          <rPr>
            <sz val="9"/>
            <color indexed="81"/>
            <rFont val="Tahoma"/>
            <family val="2"/>
          </rPr>
          <t xml:space="preserve">
Continuing operations</t>
        </r>
      </text>
    </comment>
    <comment ref="AK75" authorId="0" shapeId="0" xr:uid="{E6AA384A-CDFC-4F6F-8F72-B2F639B13B24}">
      <text>
        <r>
          <rPr>
            <b/>
            <sz val="9"/>
            <color indexed="81"/>
            <rFont val="Tahoma"/>
            <family val="2"/>
          </rPr>
          <t>Author:</t>
        </r>
        <r>
          <rPr>
            <sz val="9"/>
            <color indexed="81"/>
            <rFont val="Tahoma"/>
            <family val="2"/>
          </rPr>
          <t xml:space="preserve">
Continuing operations</t>
        </r>
      </text>
    </comment>
    <comment ref="AL75" authorId="0" shapeId="0" xr:uid="{96117D70-FBC0-46CE-BA8D-1A96466EE798}">
      <text>
        <r>
          <rPr>
            <b/>
            <sz val="9"/>
            <color indexed="81"/>
            <rFont val="Tahoma"/>
            <family val="2"/>
          </rPr>
          <t>Author:</t>
        </r>
        <r>
          <rPr>
            <sz val="9"/>
            <color indexed="81"/>
            <rFont val="Tahoma"/>
            <family val="2"/>
          </rPr>
          <t xml:space="preserve">
Continuing operations</t>
        </r>
      </text>
    </comment>
    <comment ref="AM75" authorId="0" shapeId="0" xr:uid="{E714E5D0-91B9-4277-99C2-53D67116A647}">
      <text>
        <r>
          <rPr>
            <b/>
            <sz val="9"/>
            <color indexed="81"/>
            <rFont val="Tahoma"/>
            <family val="2"/>
          </rPr>
          <t>Author:</t>
        </r>
        <r>
          <rPr>
            <sz val="9"/>
            <color indexed="81"/>
            <rFont val="Tahoma"/>
            <family val="2"/>
          </rPr>
          <t xml:space="preserve">
Continuing operations</t>
        </r>
      </text>
    </comment>
    <comment ref="AN75" authorId="0" shapeId="0" xr:uid="{76013FA3-A8C7-4C23-B928-B1C9CE20B614}">
      <text>
        <r>
          <rPr>
            <b/>
            <sz val="9"/>
            <color indexed="81"/>
            <rFont val="Tahoma"/>
            <family val="2"/>
          </rPr>
          <t>Author:</t>
        </r>
        <r>
          <rPr>
            <sz val="9"/>
            <color indexed="81"/>
            <rFont val="Tahoma"/>
            <family val="2"/>
          </rPr>
          <t xml:space="preserve">
Continuing operations</t>
        </r>
      </text>
    </comment>
    <comment ref="AO75" authorId="0" shapeId="0" xr:uid="{65D6D4F0-57C5-4C7F-8539-A3650843ABAE}">
      <text>
        <r>
          <rPr>
            <b/>
            <sz val="9"/>
            <color indexed="81"/>
            <rFont val="Tahoma"/>
            <family val="2"/>
          </rPr>
          <t>Author:</t>
        </r>
        <r>
          <rPr>
            <sz val="9"/>
            <color indexed="81"/>
            <rFont val="Tahoma"/>
            <family val="2"/>
          </rPr>
          <t xml:space="preserve">
Continuing operations</t>
        </r>
      </text>
    </comment>
    <comment ref="AG76" authorId="0" shapeId="0" xr:uid="{EC25ACC8-BC31-41D5-92E8-D2D68E2DDFD0}">
      <text>
        <r>
          <rPr>
            <b/>
            <sz val="9"/>
            <color indexed="81"/>
            <rFont val="Tahoma"/>
            <family val="2"/>
          </rPr>
          <t>Author:</t>
        </r>
        <r>
          <rPr>
            <sz val="9"/>
            <color indexed="81"/>
            <rFont val="Tahoma"/>
            <family val="2"/>
          </rPr>
          <t xml:space="preserve">
Continuing operations</t>
        </r>
      </text>
    </comment>
    <comment ref="AJ76" authorId="0" shapeId="0" xr:uid="{F4009A59-EAB8-4191-90BC-D97D9F606F83}">
      <text>
        <r>
          <rPr>
            <b/>
            <sz val="9"/>
            <color indexed="81"/>
            <rFont val="Tahoma"/>
            <family val="2"/>
          </rPr>
          <t>Author:</t>
        </r>
        <r>
          <rPr>
            <sz val="9"/>
            <color indexed="81"/>
            <rFont val="Tahoma"/>
            <family val="2"/>
          </rPr>
          <t xml:space="preserve">
Continuing operations</t>
        </r>
      </text>
    </comment>
    <comment ref="AK76" authorId="0" shapeId="0" xr:uid="{3827AFF4-E800-4B61-80C3-37C9CAF74F71}">
      <text>
        <r>
          <rPr>
            <b/>
            <sz val="9"/>
            <color indexed="81"/>
            <rFont val="Tahoma"/>
            <family val="2"/>
          </rPr>
          <t>Author:</t>
        </r>
        <r>
          <rPr>
            <sz val="9"/>
            <color indexed="81"/>
            <rFont val="Tahoma"/>
            <family val="2"/>
          </rPr>
          <t xml:space="preserve">
Continuing operations</t>
        </r>
      </text>
    </comment>
    <comment ref="AL76" authorId="0" shapeId="0" xr:uid="{F07FF7C2-04A2-4D43-8789-7685D14C1303}">
      <text>
        <r>
          <rPr>
            <b/>
            <sz val="9"/>
            <color indexed="81"/>
            <rFont val="Tahoma"/>
            <family val="2"/>
          </rPr>
          <t>Author:</t>
        </r>
        <r>
          <rPr>
            <sz val="9"/>
            <color indexed="81"/>
            <rFont val="Tahoma"/>
            <family val="2"/>
          </rPr>
          <t xml:space="preserve">
Continuing operations</t>
        </r>
      </text>
    </comment>
    <comment ref="AM76" authorId="0" shapeId="0" xr:uid="{C7D61A2C-7C06-451B-8A76-F5E2F64FD750}">
      <text>
        <r>
          <rPr>
            <b/>
            <sz val="9"/>
            <color indexed="81"/>
            <rFont val="Tahoma"/>
            <family val="2"/>
          </rPr>
          <t>Author:</t>
        </r>
        <r>
          <rPr>
            <sz val="9"/>
            <color indexed="81"/>
            <rFont val="Tahoma"/>
            <family val="2"/>
          </rPr>
          <t xml:space="preserve">
Continuing operations</t>
        </r>
      </text>
    </comment>
    <comment ref="AN76" authorId="0" shapeId="0" xr:uid="{8AF9E73F-0D32-4EC9-AE44-75BB03D9A0FB}">
      <text>
        <r>
          <rPr>
            <b/>
            <sz val="9"/>
            <color indexed="81"/>
            <rFont val="Tahoma"/>
            <family val="2"/>
          </rPr>
          <t>Author:</t>
        </r>
        <r>
          <rPr>
            <sz val="9"/>
            <color indexed="81"/>
            <rFont val="Tahoma"/>
            <family val="2"/>
          </rPr>
          <t xml:space="preserve">
Continuing operations</t>
        </r>
      </text>
    </comment>
    <comment ref="AO76" authorId="0" shapeId="0" xr:uid="{9AF78D78-B833-40BE-82C1-38B234D8CD71}">
      <text>
        <r>
          <rPr>
            <b/>
            <sz val="9"/>
            <color indexed="81"/>
            <rFont val="Tahoma"/>
            <family val="2"/>
          </rPr>
          <t>Author:</t>
        </r>
        <r>
          <rPr>
            <sz val="9"/>
            <color indexed="81"/>
            <rFont val="Tahoma"/>
            <family val="2"/>
          </rPr>
          <t xml:space="preserve">
Continuing operations</t>
        </r>
      </text>
    </comment>
    <comment ref="BK80" authorId="0" shapeId="0" xr:uid="{2D6BE9C2-0903-42A9-B59B-55591363A605}">
      <text>
        <r>
          <rPr>
            <b/>
            <sz val="9"/>
            <color indexed="81"/>
            <rFont val="Tahoma"/>
            <family val="2"/>
          </rPr>
          <t>Author:</t>
        </r>
        <r>
          <rPr>
            <sz val="9"/>
            <color indexed="81"/>
            <rFont val="Tahoma"/>
            <family val="2"/>
          </rPr>
          <t xml:space="preserve">
Gross margin can improve by 100-150 bps in next 1-1.5 years.</t>
        </r>
      </text>
    </comment>
    <comment ref="BL80" authorId="0" shapeId="0" xr:uid="{36D64817-4161-4066-9159-77B2D183F45E}">
      <text>
        <r>
          <rPr>
            <b/>
            <sz val="9"/>
            <color indexed="81"/>
            <rFont val="Tahoma"/>
            <family val="2"/>
          </rPr>
          <t>Author:</t>
        </r>
        <r>
          <rPr>
            <sz val="9"/>
            <color indexed="81"/>
            <rFont val="Tahoma"/>
            <family val="2"/>
          </rPr>
          <t xml:space="preserve">
Gross margin can improve by 100-150 bps in next 1-1.5 years.</t>
        </r>
      </text>
    </comment>
    <comment ref="BM80" authorId="0" shapeId="0" xr:uid="{83798AD5-ACED-4169-93FB-599793C76FE7}">
      <text>
        <r>
          <rPr>
            <b/>
            <sz val="9"/>
            <color indexed="81"/>
            <rFont val="Tahoma"/>
            <family val="2"/>
          </rPr>
          <t>Author:</t>
        </r>
        <r>
          <rPr>
            <sz val="9"/>
            <color indexed="81"/>
            <rFont val="Tahoma"/>
            <family val="2"/>
          </rPr>
          <t xml:space="preserve">
Gross margin can improve by 100-150 bps in next 1-1.5 years.</t>
        </r>
      </text>
    </comment>
    <comment ref="AC81" authorId="0" shapeId="0" xr:uid="{EFEFE16F-5C05-4255-93D2-0888533AF179}">
      <text>
        <r>
          <rPr>
            <b/>
            <sz val="9"/>
            <color indexed="81"/>
            <rFont val="Tahoma"/>
            <family val="2"/>
          </rPr>
          <t>Author:</t>
        </r>
        <r>
          <rPr>
            <sz val="9"/>
            <color indexed="81"/>
            <rFont val="Tahoma"/>
            <family val="2"/>
          </rPr>
          <t xml:space="preserve">
Higher working days, better billability of trainees, lower impact of furloughs, lesser SG&amp;A and better growth will aid margins by 200+ bps in 4QFY23.</t>
        </r>
      </text>
    </comment>
    <comment ref="AF82" authorId="0" shapeId="0" xr:uid="{AC9F3454-C9EB-4269-9F0D-9DD0B26F9609}">
      <text>
        <r>
          <rPr>
            <b/>
            <sz val="9"/>
            <color indexed="81"/>
            <rFont val="Tahoma"/>
            <family val="2"/>
          </rPr>
          <t>Author:</t>
        </r>
        <r>
          <rPr>
            <sz val="9"/>
            <color indexed="81"/>
            <rFont val="Tahoma"/>
            <family val="2"/>
          </rPr>
          <t xml:space="preserve">
150 bps improvement in Q3 based on discussion with management</t>
        </r>
      </text>
    </comment>
    <comment ref="BK82" authorId="0" shapeId="0" xr:uid="{39C035FC-57C8-469E-9DE6-A8F895650BB4}">
      <text>
        <r>
          <rPr>
            <b/>
            <sz val="9"/>
            <color indexed="81"/>
            <rFont val="Tahoma"/>
            <family val="2"/>
          </rPr>
          <t>Author:</t>
        </r>
        <r>
          <rPr>
            <sz val="9"/>
            <color indexed="81"/>
            <rFont val="Tahoma"/>
            <family val="2"/>
          </rPr>
          <t xml:space="preserve">
Margins will improve in FY2024. Wage hikes will be ~80% of pre-Covid levels.</t>
        </r>
      </text>
    </comment>
    <comment ref="BL82" authorId="0" shapeId="0" xr:uid="{C926E290-BCEC-4E37-862D-B2C58089B4AC}">
      <text>
        <r>
          <rPr>
            <b/>
            <sz val="9"/>
            <color indexed="81"/>
            <rFont val="Tahoma"/>
            <family val="2"/>
          </rPr>
          <t>Author:</t>
        </r>
        <r>
          <rPr>
            <sz val="9"/>
            <color indexed="81"/>
            <rFont val="Tahoma"/>
            <family val="2"/>
          </rPr>
          <t xml:space="preserve">
Margins will improve in FY2024. Wage hikes will be ~80% of pre-Covid levels.</t>
        </r>
      </text>
    </comment>
    <comment ref="BM82" authorId="0" shapeId="0" xr:uid="{D961AADC-8112-4F07-8EED-B3286FA46107}">
      <text>
        <r>
          <rPr>
            <b/>
            <sz val="9"/>
            <color indexed="81"/>
            <rFont val="Tahoma"/>
            <family val="2"/>
          </rPr>
          <t>Author:</t>
        </r>
        <r>
          <rPr>
            <sz val="9"/>
            <color indexed="81"/>
            <rFont val="Tahoma"/>
            <family val="2"/>
          </rPr>
          <t xml:space="preserve">
Margins will improve in FY2024. Wage hikes will be ~80% of pre-Covid levels.</t>
        </r>
      </text>
    </comment>
    <comment ref="AC87" authorId="0" shapeId="0" xr:uid="{61F53827-E7D5-4069-AF40-0C6E086C6503}">
      <text>
        <r>
          <rPr>
            <b/>
            <sz val="9"/>
            <color indexed="81"/>
            <rFont val="Tahoma"/>
            <family val="2"/>
          </rPr>
          <t>Author:</t>
        </r>
        <r>
          <rPr>
            <sz val="9"/>
            <color indexed="81"/>
            <rFont val="Tahoma"/>
            <family val="2"/>
          </rPr>
          <t xml:space="preserve">
interim dividend of INR 19 per share, and the record date for this payout will be 9th May 2023.</t>
        </r>
      </text>
    </comment>
    <comment ref="AD87" authorId="0" shapeId="0" xr:uid="{67F67E03-DBB6-41D0-B808-9462203969B2}">
      <text>
        <r>
          <rPr>
            <b/>
            <sz val="9"/>
            <color indexed="81"/>
            <rFont val="Tahoma"/>
            <family val="2"/>
          </rPr>
          <t>Author:</t>
        </r>
        <r>
          <rPr>
            <sz val="9"/>
            <color indexed="81"/>
            <rFont val="Tahoma"/>
            <family val="2"/>
          </rPr>
          <t xml:space="preserve">
d interim dividend of Rs. 19/-
(Rupees Nineteen only) per Equity Share of the Company the face value of Rs. 10/- each fully paid-up, for
the financial year 2023-24 and August 03, 2023 has been fixed as Record date</t>
        </r>
      </text>
    </comment>
    <comment ref="AH87" authorId="0" shapeId="0" xr:uid="{751FC671-4871-4B30-8D49-F1B963B3BEF5}">
      <text>
        <r>
          <rPr>
            <b/>
            <sz val="9"/>
            <color indexed="81"/>
            <rFont val="Tahoma"/>
            <family val="2"/>
          </rPr>
          <t>Author:</t>
        </r>
        <r>
          <rPr>
            <sz val="9"/>
            <color indexed="81"/>
            <rFont val="Tahoma"/>
            <family val="2"/>
          </rPr>
          <t xml:space="preserve">
d interim dividend of Rs. 19/-
(Rupees Nineteen only) per Equity Share of the Company the face value of Rs. 10/- each fully paid-up, for
the financial year 2023-24 and August 03, 2023 has been fixed as Record date</t>
        </r>
      </text>
    </comment>
    <comment ref="BF91" authorId="0" shapeId="0" xr:uid="{51DF523E-8ECF-427F-B9BB-8EBF8B15FC2A}">
      <text>
        <r>
          <rPr>
            <b/>
            <sz val="9"/>
            <color indexed="81"/>
            <rFont val="Tahoma"/>
            <family val="2"/>
          </rPr>
          <t>Author:</t>
        </r>
        <r>
          <rPr>
            <sz val="9"/>
            <color indexed="81"/>
            <rFont val="Tahoma"/>
            <family val="2"/>
          </rPr>
          <t xml:space="preserve">
The Board has not recommended any dividend for the FY19.</t>
        </r>
      </text>
    </comment>
    <comment ref="BG92" authorId="0" shapeId="0" xr:uid="{D56496A8-6214-4455-8010-7FF6535AE395}">
      <text>
        <r>
          <rPr>
            <b/>
            <sz val="9"/>
            <color indexed="81"/>
            <rFont val="Tahoma"/>
            <family val="2"/>
          </rPr>
          <t>Author:</t>
        </r>
        <r>
          <rPr>
            <sz val="9"/>
            <color indexed="81"/>
            <rFont val="Tahoma"/>
            <family val="2"/>
          </rPr>
          <t xml:space="preserve">
February 13, 2020
has approved buy-back of up to 19,56,290 at a price of up to INR 1,725 per share aggregating up to INR 337,46,00,250</t>
        </r>
      </text>
    </comment>
    <comment ref="BF119" authorId="0" shapeId="0" xr:uid="{8B47EC9D-9673-4553-ABE4-F1650F4A0792}">
      <text>
        <r>
          <rPr>
            <b/>
            <sz val="9"/>
            <color indexed="81"/>
            <rFont val="Tahoma"/>
            <family val="2"/>
          </rPr>
          <t>Author:</t>
        </r>
        <r>
          <rPr>
            <sz val="9"/>
            <color indexed="81"/>
            <rFont val="Tahoma"/>
            <family val="2"/>
          </rPr>
          <t xml:space="preserve">
The Board has not recommended any dividend for the FY19.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8" authorId="0" shapeId="0" xr:uid="{00000000-0006-0000-0F00-000001000000}">
      <text>
        <r>
          <rPr>
            <b/>
            <sz val="9"/>
            <color indexed="81"/>
            <rFont val="Tahoma"/>
            <family val="2"/>
          </rPr>
          <t>Author:</t>
        </r>
        <r>
          <rPr>
            <sz val="9"/>
            <color indexed="81"/>
            <rFont val="Tahoma"/>
            <family val="2"/>
          </rPr>
          <t xml:space="preserve">
stopped providing data</t>
        </r>
      </text>
    </comment>
    <comment ref="Q9" authorId="0" shapeId="0" xr:uid="{00000000-0006-0000-0F00-000002000000}">
      <text>
        <r>
          <rPr>
            <b/>
            <sz val="9"/>
            <color indexed="81"/>
            <rFont val="Tahoma"/>
            <family val="2"/>
          </rPr>
          <t>Author:</t>
        </r>
        <r>
          <rPr>
            <sz val="9"/>
            <color indexed="81"/>
            <rFont val="Tahoma"/>
            <family val="2"/>
          </rPr>
          <t xml:space="preserve">
stopped providing data</t>
        </r>
      </text>
    </comment>
    <comment ref="U22" authorId="0" shapeId="0" xr:uid="{B6516070-EB61-42AE-B513-93F9846A5A65}">
      <text>
        <r>
          <rPr>
            <b/>
            <sz val="9"/>
            <color indexed="81"/>
            <rFont val="Tahoma"/>
            <family val="2"/>
          </rPr>
          <t>Author:</t>
        </r>
        <r>
          <rPr>
            <sz val="9"/>
            <color indexed="81"/>
            <rFont val="Tahoma"/>
            <family val="2"/>
          </rPr>
          <t xml:space="preserve">
Offshore increasing</t>
        </r>
      </text>
    </comment>
    <comment ref="AB25" authorId="0" shapeId="0" xr:uid="{95F55D03-7145-45B0-93E7-195A853483F3}">
      <text>
        <r>
          <rPr>
            <b/>
            <sz val="9"/>
            <color indexed="81"/>
            <rFont val="Tahoma"/>
            <family val="2"/>
          </rPr>
          <t>Author:</t>
        </r>
        <r>
          <rPr>
            <sz val="9"/>
            <color indexed="81"/>
            <rFont val="Tahoma"/>
            <family val="2"/>
          </rPr>
          <t xml:space="preserve">
acquisition of Cigniti</t>
        </r>
      </text>
    </comment>
    <comment ref="BE83" authorId="0" shapeId="0" xr:uid="{D7C2C2F8-FEC9-4F98-9AAA-D78080E325BD}">
      <text>
        <r>
          <rPr>
            <b/>
            <sz val="9"/>
            <color indexed="81"/>
            <rFont val="Tahoma"/>
            <family val="2"/>
          </rPr>
          <t>Author:</t>
        </r>
        <r>
          <rPr>
            <sz val="9"/>
            <color indexed="81"/>
            <rFont val="Tahoma"/>
            <family val="2"/>
          </rPr>
          <t xml:space="preserve">
CY23</t>
        </r>
      </text>
    </comment>
    <comment ref="S96" authorId="0" shapeId="0" xr:uid="{F3F735B8-24CF-4B76-AA4C-44C61596A03E}">
      <text>
        <r>
          <rPr>
            <b/>
            <sz val="9"/>
            <color indexed="81"/>
            <rFont val="Tahoma"/>
            <family val="2"/>
          </rPr>
          <t>Author:</t>
        </r>
        <r>
          <rPr>
            <sz val="9"/>
            <color indexed="81"/>
            <rFont val="Tahoma"/>
            <family val="2"/>
          </rPr>
          <t xml:space="preserve">
verge of signing another industry insurance industry vertical contract as well.</t>
        </r>
      </text>
    </comment>
    <comment ref="T96" authorId="0" shapeId="0" xr:uid="{A06D4911-966D-4303-9D4A-E21CBB7C0BC7}">
      <text>
        <r>
          <rPr>
            <b/>
            <sz val="9"/>
            <color indexed="81"/>
            <rFont val="Tahoma"/>
            <family val="2"/>
          </rPr>
          <t>Author:</t>
        </r>
        <r>
          <rPr>
            <sz val="9"/>
            <color indexed="81"/>
            <rFont val="Tahoma"/>
            <family val="2"/>
          </rPr>
          <t xml:space="preserve">
$50 million plus TCV deal was structured with a insurance carrier - to bounce back in Q4</t>
        </r>
      </text>
    </comment>
    <comment ref="AB96" authorId="0" shapeId="0" xr:uid="{964ACA64-0C77-4217-B9C1-FA3FC94CC65F}">
      <text>
        <r>
          <rPr>
            <b/>
            <sz val="9"/>
            <color indexed="81"/>
            <rFont val="Tahoma"/>
            <family val="2"/>
          </rPr>
          <t>Author:</t>
        </r>
        <r>
          <rPr>
            <sz val="9"/>
            <color indexed="81"/>
            <rFont val="Tahoma"/>
            <family val="2"/>
          </rPr>
          <t xml:space="preserve">
Difference standalone</t>
        </r>
      </text>
    </comment>
    <comment ref="S97" authorId="0" shapeId="0" xr:uid="{9047035C-EC88-43E6-902F-DF60C766F64B}">
      <text>
        <r>
          <rPr>
            <b/>
            <sz val="9"/>
            <color indexed="81"/>
            <rFont val="Tahoma"/>
            <family val="2"/>
          </rPr>
          <t>Author:</t>
        </r>
        <r>
          <rPr>
            <sz val="9"/>
            <color indexed="81"/>
            <rFont val="Tahoma"/>
            <family val="2"/>
          </rPr>
          <t xml:space="preserve">
Insurance vertical is expected to recover from Q2FY23 led by demand across commercial, specialty, personal lines and broker busines</t>
        </r>
      </text>
    </comment>
    <comment ref="T97" authorId="0" shapeId="0" xr:uid="{3434BF55-DD03-4709-949C-A9FE484B407A}">
      <text>
        <r>
          <rPr>
            <b/>
            <sz val="9"/>
            <color indexed="81"/>
            <rFont val="Tahoma"/>
            <family val="2"/>
          </rPr>
          <t>Author:</t>
        </r>
        <r>
          <rPr>
            <sz val="9"/>
            <color indexed="81"/>
            <rFont val="Tahoma"/>
            <family val="2"/>
          </rPr>
          <t xml:space="preserve">
Recruited We on-boarded Ian Summers else who is the CEO of our biggest competitor, our principal competitor in that same London Lloyd's reinsurance market. </t>
        </r>
      </text>
    </comment>
    <comment ref="U97" authorId="0" shapeId="0" xr:uid="{D0DFF602-09B3-4B46-9C12-F62851946EE6}">
      <text>
        <r>
          <rPr>
            <b/>
            <sz val="9"/>
            <color indexed="81"/>
            <rFont val="Tahoma"/>
            <family val="2"/>
          </rPr>
          <t>Author:</t>
        </r>
        <r>
          <rPr>
            <sz val="9"/>
            <color indexed="81"/>
            <rFont val="Tahoma"/>
            <family val="2"/>
          </rPr>
          <t xml:space="preserve">
We should see the clear turnaround</t>
        </r>
      </text>
    </comment>
    <comment ref="V97" authorId="0" shapeId="0" xr:uid="{DAE81AC0-D772-4824-BC4D-4F13CF6F6C70}">
      <text>
        <r>
          <rPr>
            <b/>
            <sz val="9"/>
            <color indexed="81"/>
            <rFont val="Tahoma"/>
            <family val="2"/>
          </rPr>
          <t>Author:</t>
        </r>
        <r>
          <rPr>
            <sz val="9"/>
            <color indexed="81"/>
            <rFont val="Tahoma"/>
            <family val="2"/>
          </rPr>
          <t xml:space="preserve">
Advantage GO to see in percentage terms, it's a small business in percentage terms, growth from that business that should be materially higher than</t>
        </r>
      </text>
    </comment>
    <comment ref="W97" authorId="0" shapeId="0" xr:uid="{040809DC-C325-4718-A43A-1F8224FDD07F}">
      <text>
        <r>
          <rPr>
            <b/>
            <sz val="9"/>
            <color indexed="81"/>
            <rFont val="Tahoma"/>
            <family val="2"/>
          </rPr>
          <t>Author:</t>
        </r>
        <r>
          <rPr>
            <sz val="9"/>
            <color indexed="81"/>
            <rFont val="Tahoma"/>
            <family val="2"/>
          </rPr>
          <t xml:space="preserve">
Our InsurTech AdvantageGo closed a major deal with a global speciality reinsurer
to implement their new product, the underwriting workbench.</t>
        </r>
      </text>
    </comment>
    <comment ref="X97" authorId="0" shapeId="0" xr:uid="{1FBBF1B7-508E-4BFF-80AD-23CA44C92400}">
      <text>
        <r>
          <rPr>
            <b/>
            <sz val="9"/>
            <color indexed="81"/>
            <rFont val="Tahoma"/>
            <family val="2"/>
          </rPr>
          <t>Author:</t>
        </r>
        <r>
          <rPr>
            <sz val="9"/>
            <color indexed="81"/>
            <rFont val="Tahoma"/>
            <family val="2"/>
          </rPr>
          <t xml:space="preserve">
won a large deal</t>
        </r>
      </text>
    </comment>
    <comment ref="Y97" authorId="0" shapeId="0" xr:uid="{120CAE82-D049-405C-B354-1A3423001229}">
      <text>
        <r>
          <rPr>
            <b/>
            <sz val="9"/>
            <color indexed="81"/>
            <rFont val="Tahoma"/>
            <family val="2"/>
          </rPr>
          <t>Author:</t>
        </r>
        <r>
          <rPr>
            <sz val="9"/>
            <color indexed="81"/>
            <rFont val="Tahoma"/>
            <family val="2"/>
          </rPr>
          <t xml:space="preserve">
won a large deal</t>
        </r>
      </text>
    </comment>
    <comment ref="Z97" authorId="0" shapeId="0" xr:uid="{C370F8F0-EFAD-446C-B966-A4A1D5D0003B}">
      <text>
        <r>
          <rPr>
            <b/>
            <sz val="9"/>
            <color indexed="81"/>
            <rFont val="Tahoma"/>
            <family val="2"/>
          </rPr>
          <t>Author:</t>
        </r>
        <r>
          <rPr>
            <sz val="9"/>
            <color indexed="81"/>
            <rFont val="Tahoma"/>
            <family val="2"/>
          </rPr>
          <t xml:space="preserve">
securing a 20 million
project to transform the core platform of a major insurance company</t>
        </r>
      </text>
    </comment>
    <comment ref="AG97" authorId="0" shapeId="0" xr:uid="{61621B13-269B-47CC-8C21-4203615D91A6}">
      <text>
        <r>
          <rPr>
            <b/>
            <sz val="9"/>
            <color indexed="81"/>
            <rFont val="Tahoma"/>
            <family val="2"/>
          </rPr>
          <t>Author:</t>
        </r>
        <r>
          <rPr>
            <sz val="9"/>
            <color indexed="81"/>
            <rFont val="Tahoma"/>
            <family val="2"/>
          </rPr>
          <t xml:space="preserve">
One out of the six large deals signed in Q3 came from the insurance sector</t>
        </r>
      </text>
    </comment>
    <comment ref="AH97" authorId="0" shapeId="0" xr:uid="{90CF61FE-D37F-48CA-B901-97684B9CC91C}">
      <text>
        <r>
          <rPr>
            <b/>
            <sz val="9"/>
            <color indexed="81"/>
            <rFont val="Tahoma"/>
            <family val="2"/>
          </rPr>
          <t>Author:</t>
        </r>
        <r>
          <rPr>
            <sz val="9"/>
            <color indexed="81"/>
            <rFont val="Tahoma"/>
            <family val="2"/>
          </rPr>
          <t xml:space="preserve">
higher growth in insurance than what was registered in FY26. </t>
        </r>
      </text>
    </comment>
    <comment ref="V98" authorId="0" shapeId="0" xr:uid="{1C27158E-EB19-49CB-90C6-FDF1D8F5AC0B}">
      <text>
        <r>
          <rPr>
            <b/>
            <sz val="9"/>
            <color indexed="81"/>
            <rFont val="Tahoma"/>
            <family val="2"/>
          </rPr>
          <t>Author:</t>
        </r>
        <r>
          <rPr>
            <sz val="9"/>
            <color indexed="81"/>
            <rFont val="Tahoma"/>
            <family val="2"/>
          </rPr>
          <t xml:space="preserve">
ittle bit over time to transition these deals in Q4, then growth in Q1</t>
        </r>
      </text>
    </comment>
    <comment ref="P103" authorId="0" shapeId="0" xr:uid="{7C7528C7-1084-450C-A8C9-052B5D0B4A11}">
      <text>
        <r>
          <rPr>
            <b/>
            <sz val="9"/>
            <color indexed="81"/>
            <rFont val="Tahoma"/>
            <family val="2"/>
          </rPr>
          <t>Author:</t>
        </r>
        <r>
          <rPr>
            <sz val="9"/>
            <color indexed="81"/>
            <rFont val="Tahoma"/>
            <family val="2"/>
          </rPr>
          <t xml:space="preserve">
105 mn</t>
        </r>
      </text>
    </comment>
    <comment ref="R103" authorId="0" shapeId="0" xr:uid="{986DFB3B-14A0-4856-8402-96B14F329EA1}">
      <text>
        <r>
          <rPr>
            <b/>
            <sz val="9"/>
            <color indexed="81"/>
            <rFont val="Tahoma"/>
            <family val="2"/>
          </rPr>
          <t>Author:</t>
        </r>
        <r>
          <rPr>
            <sz val="9"/>
            <color indexed="81"/>
            <rFont val="Tahoma"/>
            <family val="2"/>
          </rPr>
          <t xml:space="preserve">
$50 mn</t>
        </r>
      </text>
    </comment>
    <comment ref="T103" authorId="0" shapeId="0" xr:uid="{C958946E-462A-4AF9-B8BC-8DD3CF0FC6D9}">
      <text>
        <r>
          <rPr>
            <b/>
            <sz val="9"/>
            <color indexed="81"/>
            <rFont val="Tahoma"/>
            <family val="2"/>
          </rPr>
          <t>Author:</t>
        </r>
        <r>
          <rPr>
            <sz val="9"/>
            <color indexed="81"/>
            <rFont val="Tahoma"/>
            <family val="2"/>
          </rPr>
          <t xml:space="preserve">
significant headwinds in BPO mortgage; includes the BFS, bps portfolio; two large deals</t>
        </r>
      </text>
    </comment>
    <comment ref="U103" authorId="0" shapeId="0" xr:uid="{27A59278-C8BF-4BBA-BACA-F3A8EB48EFD2}">
      <text>
        <r>
          <rPr>
            <b/>
            <sz val="9"/>
            <color indexed="81"/>
            <rFont val="Tahoma"/>
            <family val="2"/>
          </rPr>
          <t>Author:</t>
        </r>
        <r>
          <rPr>
            <sz val="9"/>
            <color indexed="81"/>
            <rFont val="Tahoma"/>
            <family val="2"/>
          </rPr>
          <t xml:space="preserve">
BPM business also signed a $20 million plus deals, one BFS - 30 mn deal
</t>
        </r>
      </text>
    </comment>
    <comment ref="V103" authorId="0" shapeId="0" xr:uid="{97B16E00-58BF-4D11-8F4A-DDCE870F7883}">
      <text>
        <r>
          <rPr>
            <b/>
            <sz val="9"/>
            <color indexed="81"/>
            <rFont val="Tahoma"/>
            <family val="2"/>
          </rPr>
          <t>Author:</t>
        </r>
        <r>
          <rPr>
            <sz val="9"/>
            <color indexed="81"/>
            <rFont val="Tahoma"/>
            <family val="2"/>
          </rPr>
          <t xml:space="preserve">
Won a large deal in Q4</t>
        </r>
      </text>
    </comment>
    <comment ref="W103" authorId="0" shapeId="0" xr:uid="{6BDBB082-95DC-43AB-AA08-0FF7B6762679}">
      <text>
        <r>
          <rPr>
            <b/>
            <sz val="9"/>
            <color indexed="81"/>
            <rFont val="Tahoma"/>
            <family val="2"/>
          </rPr>
          <t>Author:</t>
        </r>
        <r>
          <rPr>
            <sz val="9"/>
            <color indexed="81"/>
            <rFont val="Tahoma"/>
            <family val="2"/>
          </rPr>
          <t xml:space="preserve">
Won a new deal</t>
        </r>
      </text>
    </comment>
    <comment ref="X103" authorId="0" shapeId="0" xr:uid="{CB9C8474-BE84-4645-992B-F4F2B0105F02}">
      <text>
        <r>
          <rPr>
            <b/>
            <sz val="9"/>
            <color indexed="81"/>
            <rFont val="Tahoma"/>
            <family val="2"/>
          </rPr>
          <t>Author:</t>
        </r>
        <r>
          <rPr>
            <sz val="9"/>
            <color indexed="81"/>
            <rFont val="Tahoma"/>
            <family val="2"/>
          </rPr>
          <t xml:space="preserve">
won a large deal</t>
        </r>
      </text>
    </comment>
    <comment ref="Y103" authorId="0" shapeId="0" xr:uid="{01A0ADD7-0849-4407-A24D-B647CF73CDFE}">
      <text>
        <r>
          <rPr>
            <b/>
            <sz val="9"/>
            <color indexed="81"/>
            <rFont val="Tahoma"/>
            <family val="2"/>
          </rPr>
          <t>Author:</t>
        </r>
        <r>
          <rPr>
            <sz val="9"/>
            <color indexed="81"/>
            <rFont val="Tahoma"/>
            <family val="2"/>
          </rPr>
          <t xml:space="preserve">
won a large deal - 400 mn</t>
        </r>
      </text>
    </comment>
    <comment ref="Z103" authorId="0" shapeId="0" xr:uid="{E1C1741F-0A6A-4FA0-A66D-90863D8B7099}">
      <text>
        <r>
          <rPr>
            <b/>
            <sz val="9"/>
            <color indexed="81"/>
            <rFont val="Tahoma"/>
            <family val="2"/>
          </rPr>
          <t>Author:</t>
        </r>
        <r>
          <rPr>
            <sz val="9"/>
            <color indexed="81"/>
            <rFont val="Tahoma"/>
            <family val="2"/>
          </rPr>
          <t xml:space="preserve">
five year vendor
consolidation deal
signed an enterprise network deal with a global
wholesale bank and closed a three year operations deal</t>
        </r>
      </text>
    </comment>
    <comment ref="AA103" authorId="0" shapeId="0" xr:uid="{FACA2316-36D0-471B-B6CD-248E7DB0A991}">
      <text>
        <r>
          <rPr>
            <b/>
            <sz val="9"/>
            <color indexed="81"/>
            <rFont val="Tahoma"/>
            <family val="2"/>
          </rPr>
          <t>Author:</t>
        </r>
        <r>
          <rPr>
            <sz val="9"/>
            <color indexed="81"/>
            <rFont val="Tahoma"/>
            <family val="2"/>
          </rPr>
          <t xml:space="preserve">
recovery</t>
        </r>
      </text>
    </comment>
    <comment ref="AG103" authorId="0" shapeId="0" xr:uid="{00EE154C-CEC7-4532-A38E-81D094CA5CD0}">
      <text>
        <r>
          <rPr>
            <b/>
            <sz val="9"/>
            <color indexed="81"/>
            <rFont val="Tahoma"/>
            <family val="2"/>
          </rPr>
          <t>Author:</t>
        </r>
        <r>
          <rPr>
            <sz val="9"/>
            <color indexed="81"/>
            <rFont val="Tahoma"/>
            <family val="2"/>
          </rPr>
          <t xml:space="preserve">
Two out of the six large deals signed in Q3 came from the banking sector</t>
        </r>
      </text>
    </comment>
    <comment ref="AH103" authorId="0" shapeId="0" xr:uid="{0686F20E-183E-4CAB-A86A-016E814E1640}">
      <text>
        <r>
          <rPr>
            <b/>
            <sz val="9"/>
            <color indexed="81"/>
            <rFont val="Tahoma"/>
            <family val="2"/>
          </rPr>
          <t>Author:</t>
        </r>
        <r>
          <rPr>
            <sz val="9"/>
            <color indexed="81"/>
            <rFont val="Tahoma"/>
            <family val="2"/>
          </rPr>
          <t xml:space="preserve">
banking to potentially be the fastest growing core vertical of the firm next year, driven by large deals and key account growth momentum. </t>
        </r>
      </text>
    </comment>
    <comment ref="BE103" authorId="0" shapeId="0" xr:uid="{E29759AA-C35A-47BF-B3EA-8F61E2C326A2}">
      <text>
        <r>
          <rPr>
            <b/>
            <sz val="9"/>
            <color indexed="81"/>
            <rFont val="Tahoma"/>
            <family val="2"/>
          </rPr>
          <t xml:space="preserve">Author:
</t>
        </r>
        <r>
          <rPr>
            <sz val="9"/>
            <color indexed="81"/>
            <rFont val="Tahoma"/>
            <family val="2"/>
          </rPr>
          <t>A large European bank ramped up well in the last 2-3 years; Coforge won a US$100 mn deal with a UK-centric Spanish bank a few years back.</t>
        </r>
      </text>
    </comment>
    <comment ref="BH103" authorId="0" shapeId="0" xr:uid="{808E7D1E-397C-4BCC-988E-9C051865DA26}">
      <text>
        <r>
          <rPr>
            <b/>
            <sz val="9"/>
            <color indexed="81"/>
            <rFont val="Tahoma"/>
            <family val="2"/>
          </rPr>
          <t>Author:</t>
        </r>
        <r>
          <rPr>
            <sz val="9"/>
            <color indexed="81"/>
            <rFont val="Tahoma"/>
            <family val="2"/>
          </rPr>
          <t xml:space="preserve">
banking</t>
        </r>
      </text>
    </comment>
    <comment ref="R108" authorId="0" shapeId="0" xr:uid="{BB48BE6D-0F63-4973-853C-CEEE0912EE21}">
      <text>
        <r>
          <rPr>
            <b/>
            <sz val="9"/>
            <color indexed="81"/>
            <rFont val="Tahoma"/>
            <family val="2"/>
          </rPr>
          <t>Author:</t>
        </r>
        <r>
          <rPr>
            <sz val="9"/>
            <color indexed="81"/>
            <rFont val="Tahoma"/>
            <family val="2"/>
          </rPr>
          <t xml:space="preserve">
 Earnings -  the BPO business had signed its first material travel vertical contract</t>
        </r>
      </text>
    </comment>
    <comment ref="AC108" authorId="0" shapeId="0" xr:uid="{F6CEDDF9-6B8F-45FE-8A66-996C961AE9DF}">
      <text>
        <r>
          <rPr>
            <b/>
            <sz val="9"/>
            <color indexed="81"/>
            <rFont val="Tahoma"/>
            <family val="2"/>
          </rPr>
          <t>Author:</t>
        </r>
        <r>
          <rPr>
            <sz val="9"/>
            <color indexed="81"/>
            <rFont val="Tahoma"/>
            <family val="2"/>
          </rPr>
          <t xml:space="preserve">
Won Sabre deal</t>
        </r>
      </text>
    </comment>
    <comment ref="V109" authorId="0" shapeId="0" xr:uid="{F003C24E-221E-4629-BCF5-45F30432E991}">
      <text>
        <r>
          <rPr>
            <b/>
            <sz val="9"/>
            <color indexed="81"/>
            <rFont val="Tahoma"/>
            <family val="2"/>
          </rPr>
          <t>Author:</t>
        </r>
        <r>
          <rPr>
            <sz val="9"/>
            <color indexed="81"/>
            <rFont val="Tahoma"/>
            <family val="2"/>
          </rPr>
          <t xml:space="preserve">
Won a large deal in Q4</t>
        </r>
      </text>
    </comment>
    <comment ref="W109" authorId="0" shapeId="0" xr:uid="{3AB4E1DD-4EA4-407B-8CD9-B7D8721B46DF}">
      <text>
        <r>
          <rPr>
            <b/>
            <sz val="9"/>
            <color indexed="81"/>
            <rFont val="Tahoma"/>
            <family val="2"/>
          </rPr>
          <t>Author:</t>
        </r>
        <r>
          <rPr>
            <sz val="9"/>
            <color indexed="81"/>
            <rFont val="Tahoma"/>
            <family val="2"/>
          </rPr>
          <t xml:space="preserve">
won 2 deals</t>
        </r>
      </text>
    </comment>
    <comment ref="X109" authorId="0" shapeId="0" xr:uid="{3CE5C4E8-F574-4E48-AA42-79DEC4079BAC}">
      <text>
        <r>
          <rPr>
            <b/>
            <sz val="9"/>
            <color indexed="81"/>
            <rFont val="Tahoma"/>
            <family val="2"/>
          </rPr>
          <t>Author:</t>
        </r>
        <r>
          <rPr>
            <sz val="9"/>
            <color indexed="81"/>
            <rFont val="Tahoma"/>
            <family val="2"/>
          </rPr>
          <t xml:space="preserve">
bottomed out</t>
        </r>
      </text>
    </comment>
    <comment ref="Y109" authorId="0" shapeId="0" xr:uid="{31E900F7-213F-4A04-B639-05B3CC99D0F8}">
      <text>
        <r>
          <rPr>
            <b/>
            <sz val="9"/>
            <color indexed="81"/>
            <rFont val="Tahoma"/>
            <family val="2"/>
          </rPr>
          <t>Author:</t>
        </r>
        <r>
          <rPr>
            <sz val="9"/>
            <color indexed="81"/>
            <rFont val="Tahoma"/>
            <family val="2"/>
          </rPr>
          <t xml:space="preserve">
Expect double digit growth in FY25</t>
        </r>
      </text>
    </comment>
    <comment ref="Z109" authorId="0" shapeId="0" xr:uid="{5732F053-EEBB-41DD-94B3-76B67AD52FFE}">
      <text>
        <r>
          <rPr>
            <b/>
            <sz val="9"/>
            <color indexed="81"/>
            <rFont val="Tahoma"/>
            <family val="2"/>
          </rPr>
          <t>Author:</t>
        </r>
        <r>
          <rPr>
            <sz val="9"/>
            <color indexed="81"/>
            <rFont val="Tahoma"/>
            <family val="2"/>
          </rPr>
          <t xml:space="preserve">
double digit growth
deal in the leading airlines
major US based freight transportation company
</t>
        </r>
      </text>
    </comment>
    <comment ref="AG109" authorId="0" shapeId="0" xr:uid="{987739FC-C040-4C17-A576-AA111A4F8A78}">
      <text>
        <r>
          <rPr>
            <b/>
            <sz val="9"/>
            <color indexed="81"/>
            <rFont val="Tahoma"/>
            <family val="2"/>
          </rPr>
          <t>Author:</t>
        </r>
        <r>
          <rPr>
            <sz val="9"/>
            <color indexed="81"/>
            <rFont val="Tahoma"/>
            <family val="2"/>
          </rPr>
          <t xml:space="preserve">
One of the six large deals in Q3 came from the travel vertical</t>
        </r>
      </text>
    </comment>
    <comment ref="R113" authorId="0" shapeId="0" xr:uid="{EDC451F6-D59B-46D5-A0D3-4742ACB1F935}">
      <text>
        <r>
          <rPr>
            <b/>
            <sz val="9"/>
            <color indexed="81"/>
            <rFont val="Tahoma"/>
            <family val="2"/>
          </rPr>
          <t>Author:</t>
        </r>
        <r>
          <rPr>
            <sz val="9"/>
            <color indexed="81"/>
            <rFont val="Tahoma"/>
            <family val="2"/>
          </rPr>
          <t xml:space="preserve">
 Earnings -  the BPO business had signed its first material travel vertical contract</t>
        </r>
      </text>
    </comment>
    <comment ref="Z113" authorId="0" shapeId="0" xr:uid="{950B95D9-8EFB-4D33-82C0-DE07B089FFF3}">
      <text>
        <r>
          <rPr>
            <b/>
            <sz val="9"/>
            <color indexed="81"/>
            <rFont val="Tahoma"/>
            <family val="2"/>
          </rPr>
          <t>Author:</t>
        </r>
        <r>
          <rPr>
            <sz val="9"/>
            <color indexed="81"/>
            <rFont val="Tahoma"/>
            <family val="2"/>
          </rPr>
          <t xml:space="preserve">
three year managed program to design, implement and support a mission critical
system for a UK regulator</t>
        </r>
      </text>
    </comment>
    <comment ref="AG114" authorId="0" shapeId="0" xr:uid="{0150F859-0D88-4CA5-B993-C8A2F53224C7}">
      <text>
        <r>
          <rPr>
            <b/>
            <sz val="9"/>
            <color indexed="81"/>
            <rFont val="Tahoma"/>
            <family val="2"/>
          </rPr>
          <t>Author:</t>
        </r>
        <r>
          <rPr>
            <sz val="9"/>
            <color indexed="81"/>
            <rFont val="Tahoma"/>
            <family val="2"/>
          </rPr>
          <t xml:space="preserve">
One large deal was signed in healthcare in Q3, described as a "large NN contract". </t>
        </r>
      </text>
    </comment>
    <comment ref="AH114" authorId="0" shapeId="0" xr:uid="{859FC876-EFA0-4B2D-89D8-75842DD33627}">
      <text>
        <r>
          <rPr>
            <b/>
            <sz val="9"/>
            <color indexed="81"/>
            <rFont val="Tahoma"/>
            <family val="2"/>
          </rPr>
          <t>Author:</t>
        </r>
        <r>
          <rPr>
            <sz val="9"/>
            <color indexed="81"/>
            <rFont val="Tahoma"/>
            <family val="2"/>
          </rPr>
          <t xml:space="preserve">
focus on life sciences and payer segments, though the expected Q4 deal is likely to come from a provider client. </t>
        </r>
      </text>
    </comment>
    <comment ref="R118" authorId="0" shapeId="0" xr:uid="{7298AC88-30F7-4AA4-8632-D247A1553479}">
      <text>
        <r>
          <rPr>
            <b/>
            <sz val="9"/>
            <color indexed="81"/>
            <rFont val="Tahoma"/>
            <family val="2"/>
          </rPr>
          <t>Author:</t>
        </r>
        <r>
          <rPr>
            <sz val="9"/>
            <color indexed="81"/>
            <rFont val="Tahoma"/>
            <family val="2"/>
          </rPr>
          <t xml:space="preserve">
 Earnings -  the BPO business had signed its first material travel vertical contract</t>
        </r>
      </text>
    </comment>
    <comment ref="Z118" authorId="0" shapeId="0" xr:uid="{8CB9E311-BDF5-4C0C-A54D-B9D7E224F854}">
      <text>
        <r>
          <rPr>
            <b/>
            <sz val="9"/>
            <color indexed="81"/>
            <rFont val="Tahoma"/>
            <family val="2"/>
          </rPr>
          <t>Author:</t>
        </r>
        <r>
          <rPr>
            <sz val="9"/>
            <color indexed="81"/>
            <rFont val="Tahoma"/>
            <family val="2"/>
          </rPr>
          <t xml:space="preserve">
three year managed program to design, implement and support a mission critical
system for a UK regulator</t>
        </r>
      </text>
    </comment>
    <comment ref="AG119" authorId="0" shapeId="0" xr:uid="{529DD347-77C2-4D27-BF8E-026875CF9AB2}">
      <text>
        <r>
          <rPr>
            <b/>
            <sz val="9"/>
            <color indexed="81"/>
            <rFont val="Tahoma"/>
            <family val="2"/>
          </rPr>
          <t>Author:</t>
        </r>
        <r>
          <rPr>
            <sz val="9"/>
            <color indexed="81"/>
            <rFont val="Tahoma"/>
            <family val="2"/>
          </rPr>
          <t xml:space="preserve">
expects to close one of the largest deals they've ever signed in this sector in Q4. </t>
        </r>
      </text>
    </comment>
    <comment ref="A123" authorId="0" shapeId="0" xr:uid="{00000000-0006-0000-0F00-000003000000}">
      <text>
        <r>
          <rPr>
            <b/>
            <sz val="9"/>
            <color indexed="81"/>
            <rFont val="Tahoma"/>
            <family val="2"/>
          </rPr>
          <t>Author:</t>
        </r>
        <r>
          <rPr>
            <sz val="9"/>
            <color indexed="81"/>
            <rFont val="Tahoma"/>
            <family val="2"/>
          </rPr>
          <t xml:space="preserve">
Others primarily include Healthcare, Retail, Hi-Tech, Manufacturing and Public Sector</t>
        </r>
      </text>
    </comment>
    <comment ref="R123" authorId="0" shapeId="0" xr:uid="{60536856-F983-4232-A9B5-64DA99F96D30}">
      <text>
        <r>
          <rPr>
            <b/>
            <sz val="9"/>
            <color indexed="81"/>
            <rFont val="Tahoma"/>
            <family val="2"/>
          </rPr>
          <t>Author:</t>
        </r>
        <r>
          <rPr>
            <sz val="9"/>
            <color indexed="81"/>
            <rFont val="Tahoma"/>
            <family val="2"/>
          </rPr>
          <t xml:space="preserve">
In public sector, Coforge has won major deals in Europe and Australia.</t>
        </r>
      </text>
    </comment>
    <comment ref="X124" authorId="0" shapeId="0" xr:uid="{09D1F799-9169-4C8E-9FB6-659E52585B49}">
      <text>
        <r>
          <rPr>
            <b/>
            <sz val="9"/>
            <color indexed="81"/>
            <rFont val="Tahoma"/>
            <family val="2"/>
          </rPr>
          <t>Author:</t>
        </r>
        <r>
          <rPr>
            <sz val="9"/>
            <color indexed="81"/>
            <rFont val="Tahoma"/>
            <family val="2"/>
          </rPr>
          <t xml:space="preserve">
won deal in public sector</t>
        </r>
      </text>
    </comment>
    <comment ref="Y124" authorId="0" shapeId="0" xr:uid="{D40A2A31-4B68-4B0A-8A0F-7FB5FCEFD2ED}">
      <text>
        <r>
          <rPr>
            <b/>
            <sz val="9"/>
            <color indexed="81"/>
            <rFont val="Tahoma"/>
            <family val="2"/>
          </rPr>
          <t>Author:</t>
        </r>
        <r>
          <rPr>
            <sz val="9"/>
            <color indexed="81"/>
            <rFont val="Tahoma"/>
            <family val="2"/>
          </rPr>
          <t xml:space="preserve">
won deal in public sector</t>
        </r>
      </text>
    </comment>
    <comment ref="BE124" authorId="0" shapeId="0" xr:uid="{F18DB55A-E374-488A-AD29-21304E7024C1}">
      <text>
        <r>
          <rPr>
            <b/>
            <sz val="9"/>
            <color indexed="81"/>
            <rFont val="Tahoma"/>
            <family val="2"/>
          </rPr>
          <t>Author:</t>
        </r>
        <r>
          <rPr>
            <sz val="9"/>
            <color indexed="81"/>
            <rFont val="Tahoma"/>
            <family val="2"/>
          </rPr>
          <t xml:space="preserve">
Coforge can close a large deal in the vertical in next few quarters which will aid growth in FY2024 - Kotak conf</t>
        </r>
      </text>
    </comment>
    <comment ref="A128" authorId="0" shapeId="0" xr:uid="{17565FFF-A3E4-4AF7-A013-C67F29F98834}">
      <text>
        <r>
          <rPr>
            <b/>
            <sz val="9"/>
            <color indexed="81"/>
            <rFont val="Tahoma"/>
            <family val="2"/>
          </rPr>
          <t>Author:</t>
        </r>
        <r>
          <rPr>
            <sz val="9"/>
            <color indexed="81"/>
            <rFont val="Tahoma"/>
            <family val="2"/>
          </rPr>
          <t xml:space="preserve">
Others primarily include Healthcare, Retail, Hi-Tech, Manufacturing and Public Sector</t>
        </r>
      </text>
    </comment>
    <comment ref="AK142" authorId="0" shapeId="0" xr:uid="{9CA18D76-EFF9-4E51-8335-2F745140D7AC}">
      <text>
        <r>
          <rPr>
            <b/>
            <sz val="9"/>
            <color indexed="81"/>
            <rFont val="Tahoma"/>
            <charset val="1"/>
          </rPr>
          <t>Author:</t>
        </r>
        <r>
          <rPr>
            <sz val="9"/>
            <color indexed="81"/>
            <rFont val="Tahoma"/>
            <charset val="1"/>
          </rPr>
          <t xml:space="preserve">
Assuming 600 cr in FY27E
- 11months
</t>
        </r>
      </text>
    </comment>
    <comment ref="AH143" authorId="0" shapeId="0" xr:uid="{38174C69-12AD-48C0-B57C-B6F326C309C9}">
      <text>
        <r>
          <rPr>
            <b/>
            <sz val="9"/>
            <color indexed="81"/>
            <rFont val="Tahoma"/>
            <family val="2"/>
          </rPr>
          <t>Author:</t>
        </r>
        <r>
          <rPr>
            <sz val="9"/>
            <color indexed="81"/>
            <rFont val="Tahoma"/>
            <family val="2"/>
          </rPr>
          <t xml:space="preserve">
Consolidation into Coforge will start in May 2026</t>
        </r>
      </text>
    </comment>
    <comment ref="AC155" authorId="0" shapeId="0" xr:uid="{94733E84-3246-45B6-B429-3C3DDCF985B5}">
      <text>
        <r>
          <rPr>
            <b/>
            <sz val="9"/>
            <color indexed="81"/>
            <rFont val="Tahoma"/>
            <family val="2"/>
          </rPr>
          <t>Author:</t>
        </r>
        <r>
          <rPr>
            <sz val="9"/>
            <color indexed="81"/>
            <rFont val="Tahoma"/>
            <family val="2"/>
          </rPr>
          <t xml:space="preserve">
50 bps gross margin expansion in FY24 followed by 100 bps expansion in FY25</t>
        </r>
      </text>
    </comment>
    <comment ref="AF155" authorId="0" shapeId="0" xr:uid="{9C857A23-0034-41D2-A688-B5DC07C088B4}">
      <text>
        <r>
          <rPr>
            <b/>
            <sz val="9"/>
            <color indexed="81"/>
            <rFont val="Tahoma"/>
            <family val="2"/>
          </rPr>
          <t>Author:</t>
        </r>
        <r>
          <rPr>
            <sz val="9"/>
            <color indexed="81"/>
            <rFont val="Tahoma"/>
            <family val="2"/>
          </rPr>
          <t xml:space="preserve">
wage hike</t>
        </r>
      </text>
    </comment>
    <comment ref="AH155" authorId="0" shapeId="0" xr:uid="{5DD8A731-1A01-4506-BF51-203FAB8491B9}">
      <text>
        <r>
          <rPr>
            <b/>
            <sz val="9"/>
            <color indexed="81"/>
            <rFont val="Tahoma"/>
            <family val="2"/>
          </rPr>
          <t>Author:</t>
        </r>
        <r>
          <rPr>
            <sz val="9"/>
            <color indexed="81"/>
            <rFont val="Tahoma"/>
            <family val="2"/>
          </rPr>
          <t xml:space="preserve">
Wage hike</t>
        </r>
      </text>
    </comment>
    <comment ref="AJ155" authorId="0" shapeId="0" xr:uid="{F3A9AAA9-5EDA-44A2-A404-9879F3E4757E}">
      <text>
        <r>
          <rPr>
            <b/>
            <sz val="9"/>
            <color indexed="81"/>
            <rFont val="Tahoma"/>
            <family val="2"/>
          </rPr>
          <t>Author:</t>
        </r>
        <r>
          <rPr>
            <sz val="9"/>
            <color indexed="81"/>
            <rFont val="Tahoma"/>
            <family val="2"/>
          </rPr>
          <t xml:space="preserve">
wage hike 100 -150bps - Oct 1 2025</t>
        </r>
      </text>
    </comment>
    <comment ref="AL155" authorId="0" shapeId="0" xr:uid="{1A06F2EB-914E-4EDF-B6DC-1BA2858A8344}">
      <text>
        <r>
          <rPr>
            <b/>
            <sz val="9"/>
            <color indexed="81"/>
            <rFont val="Tahoma"/>
            <family val="2"/>
          </rPr>
          <t>Author:</t>
        </r>
        <r>
          <rPr>
            <sz val="9"/>
            <color indexed="81"/>
            <rFont val="Tahoma"/>
            <family val="2"/>
          </rPr>
          <t xml:space="preserve">
Wage hike</t>
        </r>
      </text>
    </comment>
    <comment ref="AN155" authorId="0" shapeId="0" xr:uid="{917D697F-BD8A-4B11-9FEE-D3578C59EAE4}">
      <text>
        <r>
          <rPr>
            <b/>
            <sz val="9"/>
            <color indexed="81"/>
            <rFont val="Tahoma"/>
            <family val="2"/>
          </rPr>
          <t>Author:</t>
        </r>
        <r>
          <rPr>
            <sz val="9"/>
            <color indexed="81"/>
            <rFont val="Tahoma"/>
            <family val="2"/>
          </rPr>
          <t xml:space="preserve">
wage hike 100 -150bps - Oct 1 2025</t>
        </r>
      </text>
    </comment>
    <comment ref="AP155" authorId="0" shapeId="0" xr:uid="{9746EAA3-6D19-4E48-9FF7-4EF6EAA2BFC1}">
      <text>
        <r>
          <rPr>
            <b/>
            <sz val="9"/>
            <color indexed="81"/>
            <rFont val="Tahoma"/>
            <family val="2"/>
          </rPr>
          <t>Author:</t>
        </r>
        <r>
          <rPr>
            <sz val="9"/>
            <color indexed="81"/>
            <rFont val="Tahoma"/>
            <family val="2"/>
          </rPr>
          <t xml:space="preserve">
Wage hike</t>
        </r>
      </text>
    </comment>
    <comment ref="AR155" authorId="0" shapeId="0" xr:uid="{4B7C2F85-83B3-403D-BEFD-71F5CDE54E31}">
      <text>
        <r>
          <rPr>
            <b/>
            <sz val="9"/>
            <color indexed="81"/>
            <rFont val="Tahoma"/>
            <family val="2"/>
          </rPr>
          <t>Author:</t>
        </r>
        <r>
          <rPr>
            <sz val="9"/>
            <color indexed="81"/>
            <rFont val="Tahoma"/>
            <family val="2"/>
          </rPr>
          <t xml:space="preserve">
wage hike 100 -150bps - Oct 1 2025</t>
        </r>
      </text>
    </comment>
    <comment ref="AC174" authorId="0" shapeId="0" xr:uid="{F2F06F11-9DD5-4447-BD15-E81A8B6AC0CD}">
      <text>
        <r>
          <rPr>
            <b/>
            <sz val="9"/>
            <color indexed="81"/>
            <rFont val="Tahoma"/>
            <family val="2"/>
          </rPr>
          <t>Author:</t>
        </r>
        <r>
          <rPr>
            <sz val="9"/>
            <color indexed="81"/>
            <rFont val="Tahoma"/>
            <family val="2"/>
          </rPr>
          <t xml:space="preserve">
We expect to repeat the same thing in the
next quarter.</t>
        </r>
      </text>
    </comment>
    <comment ref="AB176" authorId="0" shapeId="0" xr:uid="{D66B9ADB-4A20-4A8C-AC61-3766E0B1240C}">
      <text>
        <r>
          <rPr>
            <b/>
            <sz val="9"/>
            <color indexed="81"/>
            <rFont val="Tahoma"/>
            <family val="2"/>
          </rPr>
          <t>Author:</t>
        </r>
        <r>
          <rPr>
            <sz val="9"/>
            <color indexed="81"/>
            <rFont val="Tahoma"/>
            <family val="2"/>
          </rPr>
          <t xml:space="preserve">
Consolidated
</t>
        </r>
      </text>
    </comment>
    <comment ref="AF176" authorId="0" shapeId="0" xr:uid="{32FDBDEA-1B5E-4018-8B81-ECC8CAAA790C}">
      <text>
        <r>
          <rPr>
            <b/>
            <sz val="9"/>
            <color indexed="81"/>
            <rFont val="Tahoma"/>
            <family val="2"/>
          </rPr>
          <t>Author:</t>
        </r>
        <r>
          <rPr>
            <sz val="9"/>
            <color indexed="81"/>
            <rFont val="Tahoma"/>
            <family val="2"/>
          </rPr>
          <t xml:space="preserve">
wage hike - 150 bps impact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8" authorId="0" shapeId="0" xr:uid="{00000000-0006-0000-0900-000001000000}">
      <text>
        <r>
          <rPr>
            <b/>
            <sz val="9"/>
            <color indexed="81"/>
            <rFont val="Tahoma"/>
            <family val="2"/>
          </rPr>
          <t>Author:</t>
        </r>
        <r>
          <rPr>
            <sz val="9"/>
            <color indexed="81"/>
            <rFont val="Tahoma"/>
            <family val="2"/>
          </rPr>
          <t xml:space="preserve">
adjusted</t>
        </r>
      </text>
    </comment>
    <comment ref="AB28" authorId="0" shapeId="0" xr:uid="{00000000-0006-0000-0900-000002000000}">
      <text>
        <r>
          <rPr>
            <b/>
            <sz val="9"/>
            <color indexed="81"/>
            <rFont val="Tahoma"/>
            <family val="2"/>
          </rPr>
          <t>Author:</t>
        </r>
        <r>
          <rPr>
            <sz val="9"/>
            <color indexed="81"/>
            <rFont val="Tahoma"/>
            <family val="2"/>
          </rPr>
          <t xml:space="preserve">
Future acquistion liability</t>
        </r>
      </text>
    </comment>
    <comment ref="AG28" authorId="0" shapeId="0" xr:uid="{761427C6-9C27-4F13-91A9-E3A80A1F69DE}">
      <text>
        <r>
          <rPr>
            <b/>
            <sz val="9"/>
            <color indexed="81"/>
            <rFont val="Tahoma"/>
            <family val="2"/>
          </rPr>
          <t>Author:</t>
        </r>
        <r>
          <rPr>
            <sz val="9"/>
            <color indexed="81"/>
            <rFont val="Tahoma"/>
            <family val="2"/>
          </rPr>
          <t xml:space="preserve">
Future acquistion liability</t>
        </r>
      </text>
    </comment>
    <comment ref="J90" authorId="0" shapeId="0" xr:uid="{77A8C27F-0711-47E7-8176-BEF8C254E948}">
      <text>
        <r>
          <rPr>
            <b/>
            <sz val="9"/>
            <color indexed="81"/>
            <rFont val="Tahoma"/>
            <family val="2"/>
          </rPr>
          <t>Author:</t>
        </r>
        <r>
          <rPr>
            <sz val="9"/>
            <color indexed="81"/>
            <rFont val="Tahoma"/>
            <family val="2"/>
          </rPr>
          <t xml:space="preserve">
4.6%</t>
        </r>
      </text>
    </comment>
    <comment ref="J116" authorId="0" shapeId="0" xr:uid="{EDE9D98E-5799-40B5-9263-811C4EE3448F}">
      <text>
        <r>
          <rPr>
            <b/>
            <sz val="9"/>
            <color indexed="81"/>
            <rFont val="Tahoma"/>
            <charset val="1"/>
          </rPr>
          <t>Author:</t>
        </r>
        <r>
          <rPr>
            <sz val="9"/>
            <color indexed="81"/>
            <rFont val="Tahoma"/>
            <charset val="1"/>
          </rPr>
          <t xml:space="preserve">
Management guidance 2-3% of revenue will be capex
</t>
        </r>
      </text>
    </comment>
    <comment ref="E177" authorId="0" shapeId="0" xr:uid="{2193698A-1D38-4926-B089-90A3DF4DD372}">
      <text>
        <r>
          <rPr>
            <b/>
            <sz val="9"/>
            <color indexed="81"/>
            <rFont val="Tahoma"/>
            <family val="2"/>
          </rPr>
          <t>Author:</t>
        </r>
        <r>
          <rPr>
            <sz val="9"/>
            <color indexed="81"/>
            <rFont val="Tahoma"/>
            <family val="2"/>
          </rPr>
          <t xml:space="preserve">
Listed, Rated, Redeemable, Non-Convertible Bonds are unsecured and have maturity of five years from the deemed date
of allotment i.e April 26, 2021.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6" authorId="0" shapeId="0" xr:uid="{00000000-0006-0000-0800-000001000000}">
      <text>
        <r>
          <rPr>
            <b/>
            <sz val="9"/>
            <color indexed="81"/>
            <rFont val="Tahoma"/>
            <family val="2"/>
          </rPr>
          <t>Author:</t>
        </r>
        <r>
          <rPr>
            <sz val="9"/>
            <color indexed="81"/>
            <rFont val="Tahoma"/>
            <family val="2"/>
          </rPr>
          <t xml:space="preserve">
Exceptional Item</t>
        </r>
      </text>
    </comment>
    <comment ref="J77" authorId="0" shapeId="0" xr:uid="{00000000-0006-0000-0800-000002000000}">
      <text>
        <r>
          <rPr>
            <b/>
            <sz val="9"/>
            <color indexed="81"/>
            <rFont val="Tahoma"/>
            <family val="2"/>
          </rPr>
          <t>Author:</t>
        </r>
        <r>
          <rPr>
            <sz val="9"/>
            <color indexed="81"/>
            <rFont val="Tahoma"/>
            <family val="2"/>
          </rPr>
          <t xml:space="preserve">
adjusted</t>
        </r>
      </text>
    </comment>
    <comment ref="H81" authorId="0" shapeId="0" xr:uid="{00000000-0006-0000-0800-000003000000}">
      <text>
        <r>
          <rPr>
            <b/>
            <sz val="9"/>
            <color indexed="81"/>
            <rFont val="Tahoma"/>
            <family val="2"/>
          </rPr>
          <t>Author:</t>
        </r>
        <r>
          <rPr>
            <sz val="9"/>
            <color indexed="81"/>
            <rFont val="Tahoma"/>
            <family val="2"/>
          </rPr>
          <t xml:space="preserve">
cash excluded in assets held for sale</t>
        </r>
      </text>
    </comment>
    <comment ref="G82" authorId="0" shapeId="0" xr:uid="{00000000-0006-0000-0800-000004000000}">
      <text>
        <r>
          <rPr>
            <b/>
            <sz val="9"/>
            <color indexed="81"/>
            <rFont val="Tahoma"/>
            <family val="2"/>
          </rPr>
          <t>Author:</t>
        </r>
        <r>
          <rPr>
            <sz val="9"/>
            <color indexed="81"/>
            <rFont val="Tahoma"/>
            <family val="2"/>
          </rPr>
          <t xml:space="preserve">
Bank balance</t>
        </r>
      </text>
    </comment>
    <comment ref="H82" authorId="0" shapeId="0" xr:uid="{00000000-0006-0000-0800-000005000000}">
      <text>
        <r>
          <rPr>
            <b/>
            <sz val="9"/>
            <color indexed="81"/>
            <rFont val="Tahoma"/>
            <family val="2"/>
          </rPr>
          <t>Author:</t>
        </r>
        <r>
          <rPr>
            <sz val="9"/>
            <color indexed="81"/>
            <rFont val="Tahoma"/>
            <family val="2"/>
          </rPr>
          <t xml:space="preserve">
Bank balance</t>
        </r>
      </text>
    </comment>
    <comment ref="I82" authorId="0" shapeId="0" xr:uid="{00000000-0006-0000-0800-000006000000}">
      <text>
        <r>
          <rPr>
            <b/>
            <sz val="9"/>
            <color indexed="81"/>
            <rFont val="Tahoma"/>
            <family val="2"/>
          </rPr>
          <t>Author:</t>
        </r>
        <r>
          <rPr>
            <sz val="9"/>
            <color indexed="81"/>
            <rFont val="Tahoma"/>
            <family val="2"/>
          </rPr>
          <t xml:space="preserve">
Bank balance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M4" authorId="0" shapeId="0" xr:uid="{3FA8B8D1-A7AD-4E6C-95B9-C66226947E9D}">
      <text>
        <r>
          <rPr>
            <b/>
            <sz val="9"/>
            <color indexed="81"/>
            <rFont val="Tahoma"/>
            <family val="2"/>
          </rPr>
          <t xml:space="preserve">Author:
</t>
        </r>
        <r>
          <rPr>
            <sz val="9"/>
            <color indexed="81"/>
            <rFont val="Tahoma"/>
            <family val="2"/>
          </rPr>
          <t xml:space="preserve">Signed a definitive agreement for the sale of entire 88.99% stake in GIS business on April 6, 2019 </t>
        </r>
      </text>
    </comment>
    <comment ref="AO6" authorId="0" shapeId="0" xr:uid="{2EA59BC0-35F1-4161-9CB4-CE73F42CD948}">
      <text>
        <r>
          <rPr>
            <b/>
            <sz val="9"/>
            <color indexed="81"/>
            <rFont val="Tahoma"/>
            <family val="2"/>
          </rPr>
          <t>Author:</t>
        </r>
        <r>
          <rPr>
            <sz val="9"/>
            <color indexed="81"/>
            <rFont val="Tahoma"/>
            <family val="2"/>
          </rPr>
          <t xml:space="preserve">
In FY’22 the consolidated revenue of the firm registered a growth of 38.0% in US$ terms, 37.6% in constant currency terms,</t>
        </r>
      </text>
    </comment>
    <comment ref="AL18" authorId="0" shapeId="0" xr:uid="{BEFD7106-97DC-4FF5-A17E-BA7619E82E23}">
      <text>
        <r>
          <rPr>
            <b/>
            <sz val="9"/>
            <color indexed="81"/>
            <rFont val="Tahoma"/>
            <family val="2"/>
          </rPr>
          <t>Author:</t>
        </r>
        <r>
          <rPr>
            <sz val="9"/>
            <color indexed="81"/>
            <rFont val="Tahoma"/>
            <family val="2"/>
          </rPr>
          <t xml:space="preserve">
In constant currency terms, revenues grew by 17.5% during FY19
</t>
        </r>
      </text>
    </comment>
    <comment ref="Y19" authorId="0" shapeId="0" xr:uid="{EB2C0CF0-9DF1-4F3A-BD99-BED186F47AE1}">
      <text>
        <r>
          <rPr>
            <b/>
            <sz val="9"/>
            <color indexed="81"/>
            <rFont val="Tahoma"/>
            <family val="2"/>
          </rPr>
          <t>Author:</t>
        </r>
        <r>
          <rPr>
            <sz val="9"/>
            <color indexed="81"/>
            <rFont val="Tahoma"/>
            <family val="2"/>
          </rPr>
          <t xml:space="preserve">
press release</t>
        </r>
      </text>
    </comment>
    <comment ref="AN23" authorId="0" shapeId="0" xr:uid="{A71CE937-02CC-4466-A29A-01982B10424B}">
      <text>
        <r>
          <rPr>
            <b/>
            <sz val="9"/>
            <color indexed="81"/>
            <rFont val="Tahoma"/>
            <family val="2"/>
          </rPr>
          <t>Author:</t>
        </r>
        <r>
          <rPr>
            <sz val="9"/>
            <color indexed="81"/>
            <rFont val="Tahoma"/>
            <family val="2"/>
          </rPr>
          <t xml:space="preserve">
The digital and the product engineering portfolio of the
firm constituted 52.1% of the aggregate revenue
The firm draws an additional 20% revenue from the Cloud and
Infrastructure service line.</t>
        </r>
      </text>
    </comment>
    <comment ref="AO23" authorId="0" shapeId="0" xr:uid="{8F8814DA-605E-477F-BD50-42009E1EEF51}">
      <text>
        <r>
          <rPr>
            <b/>
            <sz val="9"/>
            <color indexed="81"/>
            <rFont val="Tahoma"/>
            <family val="2"/>
          </rPr>
          <t>Author:</t>
        </r>
        <r>
          <rPr>
            <sz val="9"/>
            <color indexed="81"/>
            <rFont val="Tahoma"/>
            <family val="2"/>
          </rPr>
          <t xml:space="preserve">
Digital and cloud infra
Excludes BPS service revenue</t>
        </r>
      </text>
    </comment>
    <comment ref="AM29" authorId="0" shapeId="0" xr:uid="{CB34162C-6E72-4865-8AF1-26E5735CF34A}">
      <text>
        <r>
          <rPr>
            <b/>
            <sz val="9"/>
            <color indexed="81"/>
            <rFont val="Tahoma"/>
            <family val="2"/>
          </rPr>
          <t>Author:</t>
        </r>
        <r>
          <rPr>
            <sz val="9"/>
            <color indexed="81"/>
            <rFont val="Tahoma"/>
            <family val="2"/>
          </rPr>
          <t xml:space="preserve">
Insurance vertical grew mainly on account of growth top accounts in US and NITL business</t>
        </r>
      </text>
    </comment>
    <comment ref="AM31" authorId="0" shapeId="0" xr:uid="{48D3B4B0-4B1B-4B24-BA6C-C1D363591881}">
      <text>
        <r>
          <rPr>
            <b/>
            <sz val="9"/>
            <color indexed="81"/>
            <rFont val="Tahoma"/>
            <family val="2"/>
          </rPr>
          <t>Author:</t>
        </r>
        <r>
          <rPr>
            <sz val="9"/>
            <color indexed="81"/>
            <rFont val="Tahoma"/>
            <family val="2"/>
          </rPr>
          <t xml:space="preserve">
Growth in TTH on account of growth in top accounts in EMEA and US</t>
        </r>
      </text>
    </comment>
    <comment ref="A34" authorId="0" shapeId="0" xr:uid="{00000000-0006-0000-0E00-000001000000}">
      <text>
        <r>
          <rPr>
            <b/>
            <sz val="9"/>
            <color indexed="81"/>
            <rFont val="Tahoma"/>
            <family val="2"/>
          </rPr>
          <t>Author:</t>
        </r>
        <r>
          <rPr>
            <sz val="9"/>
            <color indexed="81"/>
            <rFont val="Tahoma"/>
            <family val="2"/>
          </rPr>
          <t xml:space="preserve">
Others primarily include Healthcare, Retail, Hi-Tech, Manufacturing and Public Sector</t>
        </r>
      </text>
    </comment>
    <comment ref="Z42" authorId="0" shapeId="0" xr:uid="{595981CE-4588-4528-85F2-741A709E0B49}">
      <text>
        <r>
          <rPr>
            <b/>
            <sz val="9"/>
            <color indexed="81"/>
            <rFont val="Tahoma"/>
            <family val="2"/>
          </rPr>
          <t>Author:</t>
        </r>
        <r>
          <rPr>
            <sz val="9"/>
            <color indexed="81"/>
            <rFont val="Tahoma"/>
            <family val="2"/>
          </rPr>
          <t xml:space="preserve">
Q1 concall - 30% QoQ down</t>
        </r>
      </text>
    </comment>
    <comment ref="AA42" authorId="0" shapeId="0" xr:uid="{507454C5-23C2-4EE2-9E60-123B755A6059}">
      <text>
        <r>
          <rPr>
            <b/>
            <sz val="9"/>
            <color indexed="81"/>
            <rFont val="Tahoma"/>
            <family val="2"/>
          </rPr>
          <t>Author:</t>
        </r>
        <r>
          <rPr>
            <sz val="9"/>
            <color indexed="81"/>
            <rFont val="Tahoma"/>
            <family val="2"/>
          </rPr>
          <t xml:space="preserve">
Q1 concall - 30% QoQ down</t>
        </r>
      </text>
    </comment>
    <comment ref="AB42" authorId="0" shapeId="0" xr:uid="{150C94B1-CEE6-48C5-9D0D-A27E7CA2557C}">
      <text>
        <r>
          <rPr>
            <b/>
            <sz val="9"/>
            <color indexed="81"/>
            <rFont val="Tahoma"/>
            <family val="2"/>
          </rPr>
          <t>Author:</t>
        </r>
        <r>
          <rPr>
            <sz val="9"/>
            <color indexed="81"/>
            <rFont val="Tahoma"/>
            <family val="2"/>
          </rPr>
          <t xml:space="preserve">
Q1 concall - 30% QoQ down</t>
        </r>
      </text>
    </comment>
    <comment ref="AC42" authorId="0" shapeId="0" xr:uid="{35D23920-62FE-4A88-85FD-062EEE836F93}">
      <text>
        <r>
          <rPr>
            <b/>
            <sz val="9"/>
            <color indexed="81"/>
            <rFont val="Tahoma"/>
            <family val="2"/>
          </rPr>
          <t>Author:</t>
        </r>
        <r>
          <rPr>
            <sz val="9"/>
            <color indexed="81"/>
            <rFont val="Tahoma"/>
            <family val="2"/>
          </rPr>
          <t xml:space="preserve">
Q1 concall - 30% QoQ down</t>
        </r>
      </text>
    </comment>
    <comment ref="AD42" authorId="0" shapeId="0" xr:uid="{A2F249E0-0C9A-4DA6-8FE3-8EE4F42B35B9}">
      <text>
        <r>
          <rPr>
            <b/>
            <sz val="9"/>
            <color indexed="81"/>
            <rFont val="Tahoma"/>
            <family val="2"/>
          </rPr>
          <t>Author:</t>
        </r>
        <r>
          <rPr>
            <sz val="9"/>
            <color indexed="81"/>
            <rFont val="Tahoma"/>
            <family val="2"/>
          </rPr>
          <t xml:space="preserve">
Q1 concall - 30% QoQ down</t>
        </r>
      </text>
    </comment>
    <comment ref="AE42" authorId="0" shapeId="0" xr:uid="{D9404348-551E-42F4-AF6E-8E498ABA12DC}">
      <text>
        <r>
          <rPr>
            <b/>
            <sz val="9"/>
            <color indexed="81"/>
            <rFont val="Tahoma"/>
            <family val="2"/>
          </rPr>
          <t>Author:</t>
        </r>
        <r>
          <rPr>
            <sz val="9"/>
            <color indexed="81"/>
            <rFont val="Tahoma"/>
            <family val="2"/>
          </rPr>
          <t xml:space="preserve">
Q1 concall - 30% QoQ down</t>
        </r>
      </text>
    </comment>
    <comment ref="AF42" authorId="0" shapeId="0" xr:uid="{3642F59E-2B48-4410-8B09-A0062811C6D8}">
      <text>
        <r>
          <rPr>
            <b/>
            <sz val="9"/>
            <color indexed="81"/>
            <rFont val="Tahoma"/>
            <family val="2"/>
          </rPr>
          <t>Author:</t>
        </r>
        <r>
          <rPr>
            <sz val="9"/>
            <color indexed="81"/>
            <rFont val="Tahoma"/>
            <family val="2"/>
          </rPr>
          <t xml:space="preserve">
Q1 concall - 30% QoQ down</t>
        </r>
      </text>
    </comment>
    <comment ref="AG42" authorId="0" shapeId="0" xr:uid="{6A4C5007-FC67-4D53-8CDB-138E4315AE61}">
      <text>
        <r>
          <rPr>
            <b/>
            <sz val="9"/>
            <color indexed="81"/>
            <rFont val="Tahoma"/>
            <family val="2"/>
          </rPr>
          <t>Author:</t>
        </r>
        <r>
          <rPr>
            <sz val="9"/>
            <color indexed="81"/>
            <rFont val="Tahoma"/>
            <family val="2"/>
          </rPr>
          <t xml:space="preserve">
Q1 concall - 30% QoQ down</t>
        </r>
      </text>
    </comment>
    <comment ref="A48" authorId="0" shapeId="0" xr:uid="{8E254C7D-562F-4FB8-9CE3-BBD29656A3C7}">
      <text>
        <r>
          <rPr>
            <b/>
            <sz val="9"/>
            <color indexed="81"/>
            <rFont val="Tahoma"/>
            <family val="2"/>
          </rPr>
          <t>Author:</t>
        </r>
        <r>
          <rPr>
            <sz val="9"/>
            <color indexed="81"/>
            <rFont val="Tahoma"/>
            <family val="2"/>
          </rPr>
          <t xml:space="preserve">
Data and integration service line which comprises CRM, BI, Duck Creek, etc. is driving growth.</t>
        </r>
      </text>
    </comment>
    <comment ref="T49" authorId="0" shapeId="0" xr:uid="{CFE43C89-7335-4106-A667-EA10047B2231}">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M49" authorId="0" shapeId="0" xr:uid="{90628098-D0E4-4967-8040-B513A16AE71E}">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N49" authorId="0" shapeId="0" xr:uid="{42B7A780-E502-4DC8-B29E-DF8ACCA6B745}">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O49" authorId="0" shapeId="0" xr:uid="{461A12C3-C300-4177-9B09-DF2E1F18BA93}">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57" authorId="0" shapeId="0" xr:uid="{C73973C1-7C03-465A-BE64-DAD3E3A82B36}">
      <text>
        <r>
          <rPr>
            <b/>
            <sz val="9"/>
            <color indexed="81"/>
            <rFont val="Tahoma"/>
            <family val="2"/>
          </rPr>
          <t>Author:</t>
        </r>
        <r>
          <rPr>
            <sz val="9"/>
            <color indexed="81"/>
            <rFont val="Tahoma"/>
            <family val="2"/>
          </rPr>
          <t xml:space="preserve">
Data and integration service line which comprises CRM, BI, Duck Creek, etc. is driving growth.</t>
        </r>
      </text>
    </comment>
    <comment ref="T58" authorId="0" shapeId="0" xr:uid="{298FF543-6A40-486F-8350-C79571DC1329}">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78" authorId="0" shapeId="0" xr:uid="{00000000-0006-0000-0E00-000002000000}">
      <text>
        <r>
          <rPr>
            <b/>
            <sz val="9"/>
            <color indexed="81"/>
            <rFont val="Tahoma"/>
            <family val="2"/>
          </rPr>
          <t>Author:</t>
        </r>
        <r>
          <rPr>
            <sz val="9"/>
            <color indexed="81"/>
            <rFont val="Tahoma"/>
            <family val="2"/>
          </rPr>
          <t xml:space="preserve">
Others primarily include Healthcare, Retail, Hi-Tech, Manufacturing and Public Sector. 
Public section exccluded from Q1FY25
</t>
        </r>
      </text>
    </comment>
    <comment ref="AM83" authorId="0" shapeId="0" xr:uid="{CBEF132D-CE65-4A44-80E8-C421257A9509}">
      <text>
        <r>
          <rPr>
            <b/>
            <sz val="9"/>
            <color indexed="81"/>
            <rFont val="Tahoma"/>
            <family val="2"/>
          </rPr>
          <t>Author:</t>
        </r>
        <r>
          <rPr>
            <sz val="9"/>
            <color indexed="81"/>
            <rFont val="Tahoma"/>
            <family val="2"/>
          </rPr>
          <t xml:space="preserve">
AR - 20.5% growth in revenue</t>
        </r>
      </text>
    </comment>
    <comment ref="AN83" authorId="0" shapeId="0" xr:uid="{2EB7D0D2-B2BE-4F48-B7C6-F9CB26EF7814}">
      <text>
        <r>
          <rPr>
            <b/>
            <sz val="9"/>
            <color indexed="81"/>
            <rFont val="Tahoma"/>
            <family val="2"/>
          </rPr>
          <t>Author:</t>
        </r>
        <r>
          <rPr>
            <sz val="9"/>
            <color indexed="81"/>
            <rFont val="Tahoma"/>
            <family val="2"/>
          </rPr>
          <t xml:space="preserve">
12.8% in cc terms</t>
        </r>
      </text>
    </comment>
    <comment ref="AO83" authorId="0" shapeId="0" xr:uid="{B5D5126F-A9ED-4FD7-AAD9-0158E0958B2E}">
      <text>
        <r>
          <rPr>
            <b/>
            <sz val="9"/>
            <color indexed="81"/>
            <rFont val="Tahoma"/>
            <family val="2"/>
          </rPr>
          <t>Author:</t>
        </r>
        <r>
          <rPr>
            <sz val="9"/>
            <color indexed="81"/>
            <rFont val="Tahoma"/>
            <family val="2"/>
          </rPr>
          <t xml:space="preserve">
20.0% in cc terms</t>
        </r>
      </text>
    </comment>
    <comment ref="AM84" authorId="0" shapeId="0" xr:uid="{26164309-2D73-4E3F-9863-888C6FF943EB}">
      <text>
        <r>
          <rPr>
            <b/>
            <sz val="9"/>
            <color indexed="81"/>
            <rFont val="Tahoma"/>
            <family val="2"/>
          </rPr>
          <t>Author:</t>
        </r>
        <r>
          <rPr>
            <sz val="9"/>
            <color indexed="81"/>
            <rFont val="Tahoma"/>
            <family val="2"/>
          </rPr>
          <t xml:space="preserve">
weathered strong headwinds caused by subdued growth in our key accounts and uncertainties arising out of global geopolitical risks</t>
        </r>
      </text>
    </comment>
    <comment ref="AN84" authorId="0" shapeId="0" xr:uid="{97045FF2-FC50-4FC0-AABF-D3139C94F3F5}">
      <text>
        <r>
          <rPr>
            <b/>
            <sz val="9"/>
            <color indexed="81"/>
            <rFont val="Tahoma"/>
            <family val="2"/>
          </rPr>
          <t>Author:</t>
        </r>
        <r>
          <rPr>
            <sz val="9"/>
            <color indexed="81"/>
            <rFont val="Tahoma"/>
            <family val="2"/>
          </rPr>
          <t xml:space="preserve">
14.6% in cc terms</t>
        </r>
      </text>
    </comment>
    <comment ref="AO84" authorId="0" shapeId="0" xr:uid="{87292BB4-5207-44D9-B92F-814D63AE6CE3}">
      <text>
        <r>
          <rPr>
            <b/>
            <sz val="9"/>
            <color indexed="81"/>
            <rFont val="Tahoma"/>
            <family val="2"/>
          </rPr>
          <t>Author:</t>
        </r>
        <r>
          <rPr>
            <sz val="9"/>
            <color indexed="81"/>
            <rFont val="Tahoma"/>
            <family val="2"/>
          </rPr>
          <t xml:space="preserve">
multiple large deals
101.5% in constant currency; SLK Global acquistion</t>
        </r>
      </text>
    </comment>
    <comment ref="AM85" authorId="0" shapeId="0" xr:uid="{F8DAE36A-8431-4556-98FD-C9BE99B65290}">
      <text>
        <r>
          <rPr>
            <b/>
            <sz val="9"/>
            <color indexed="81"/>
            <rFont val="Tahoma"/>
            <family val="2"/>
          </rPr>
          <t>Author:</t>
        </r>
        <r>
          <rPr>
            <sz val="9"/>
            <color indexed="81"/>
            <rFont val="Tahoma"/>
            <family val="2"/>
          </rPr>
          <t xml:space="preserve">
grew 18% and 28% of total revenues</t>
        </r>
      </text>
    </comment>
    <comment ref="AN85" authorId="0" shapeId="0" xr:uid="{36224A1A-CA9F-4C70-A878-68287DFE8A87}">
      <text>
        <r>
          <rPr>
            <b/>
            <sz val="9"/>
            <color indexed="81"/>
            <rFont val="Tahoma"/>
            <family val="2"/>
          </rPr>
          <t>Author:</t>
        </r>
        <r>
          <rPr>
            <sz val="9"/>
            <color indexed="81"/>
            <rFont val="Tahoma"/>
            <family val="2"/>
          </rPr>
          <t xml:space="preserve">
was down 26.9% in cc terms</t>
        </r>
      </text>
    </comment>
    <comment ref="AO85" authorId="0" shapeId="0" xr:uid="{1F6907F4-7AD2-44C5-801B-A2992E128A26}">
      <text>
        <r>
          <rPr>
            <b/>
            <sz val="9"/>
            <color indexed="81"/>
            <rFont val="Tahoma"/>
            <family val="2"/>
          </rPr>
          <t>Author:</t>
        </r>
        <r>
          <rPr>
            <sz val="9"/>
            <color indexed="81"/>
            <rFont val="Tahoma"/>
            <family val="2"/>
          </rPr>
          <t xml:space="preserve">
35.7%
in cc terms</t>
        </r>
      </text>
    </comment>
    <comment ref="AN87" authorId="0" shapeId="0" xr:uid="{BCC259B4-561E-4B13-ADE5-6C95C72788B5}">
      <text>
        <r>
          <rPr>
            <b/>
            <sz val="9"/>
            <color indexed="81"/>
            <rFont val="Tahoma"/>
            <family val="2"/>
          </rPr>
          <t>Author:</t>
        </r>
        <r>
          <rPr>
            <sz val="9"/>
            <color indexed="81"/>
            <rFont val="Tahoma"/>
            <family val="2"/>
          </rPr>
          <t xml:space="preserve">
grew 28.2% year-on-year</t>
        </r>
      </text>
    </comment>
    <comment ref="AO87" authorId="0" shapeId="0" xr:uid="{BB8D7315-612C-4693-A72D-2E48019EB083}">
      <text>
        <r>
          <rPr>
            <b/>
            <sz val="9"/>
            <color indexed="81"/>
            <rFont val="Tahoma"/>
            <family val="2"/>
          </rPr>
          <t>Author:</t>
        </r>
        <r>
          <rPr>
            <sz val="9"/>
            <color indexed="81"/>
            <rFont val="Tahoma"/>
            <family val="2"/>
          </rPr>
          <t xml:space="preserve">
21.3% year-on-year</t>
        </r>
      </text>
    </comment>
    <comment ref="A88" authorId="0" shapeId="0" xr:uid="{00000000-0006-0000-0E00-000003000000}">
      <text>
        <r>
          <rPr>
            <b/>
            <sz val="9"/>
            <color indexed="81"/>
            <rFont val="Tahoma"/>
            <family val="2"/>
          </rPr>
          <t>Author:</t>
        </r>
        <r>
          <rPr>
            <sz val="9"/>
            <color indexed="81"/>
            <rFont val="Tahoma"/>
            <family val="2"/>
          </rPr>
          <t xml:space="preserve">
Others primarily include Healthcare, Retail, Hi-Tech, Manufacturing and Public Sector</t>
        </r>
      </text>
    </comment>
    <comment ref="AN88" authorId="0" shapeId="0" xr:uid="{F2BA4B13-B703-4D18-9FC6-F4B6B46708D5}">
      <text>
        <r>
          <rPr>
            <b/>
            <sz val="9"/>
            <color indexed="81"/>
            <rFont val="Tahoma"/>
            <family val="2"/>
          </rPr>
          <t>Author:</t>
        </r>
        <r>
          <rPr>
            <sz val="9"/>
            <color indexed="81"/>
            <rFont val="Tahoma"/>
            <family val="2"/>
          </rPr>
          <t xml:space="preserve">
grew 28.2% year-on-year</t>
        </r>
      </text>
    </comment>
    <comment ref="AO88" authorId="0" shapeId="0" xr:uid="{3BC033A1-6D9D-404D-A67F-C29116BC090B}">
      <text>
        <r>
          <rPr>
            <b/>
            <sz val="9"/>
            <color indexed="81"/>
            <rFont val="Tahoma"/>
            <family val="2"/>
          </rPr>
          <t>Author:</t>
        </r>
        <r>
          <rPr>
            <sz val="9"/>
            <color indexed="81"/>
            <rFont val="Tahoma"/>
            <family val="2"/>
          </rPr>
          <t xml:space="preserve">
21.3% year-on-year</t>
        </r>
      </text>
    </comment>
    <comment ref="A96" authorId="0" shapeId="0" xr:uid="{00000000-0006-0000-0E00-000004000000}">
      <text>
        <r>
          <rPr>
            <b/>
            <sz val="9"/>
            <color indexed="81"/>
            <rFont val="Tahoma"/>
            <family val="2"/>
          </rPr>
          <t>Author:</t>
        </r>
        <r>
          <rPr>
            <sz val="9"/>
            <color indexed="81"/>
            <rFont val="Tahoma"/>
            <family val="2"/>
          </rPr>
          <t xml:space="preserve">
Others primarily include Healthcare, Retail, Hi-Tech, Manufacturing and Public Sector</t>
        </r>
      </text>
    </comment>
    <comment ref="A103" authorId="0" shapeId="0" xr:uid="{0F4F3210-A008-4B75-97F1-6010B5EED52E}">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N114" authorId="0" shapeId="0" xr:uid="{7EDA3520-3147-4D6A-A6CF-61DAD6BA06CD}">
      <text>
        <r>
          <rPr>
            <b/>
            <sz val="9"/>
            <color indexed="81"/>
            <rFont val="Tahoma"/>
            <family val="2"/>
          </rPr>
          <t>Author:</t>
        </r>
        <r>
          <rPr>
            <sz val="9"/>
            <color indexed="81"/>
            <rFont val="Tahoma"/>
            <family val="2"/>
          </rPr>
          <t xml:space="preserve">
which decline 12% primarily
on account of suspension of development projects within
travel</t>
        </r>
      </text>
    </comment>
    <comment ref="AN155" authorId="0" shapeId="0" xr:uid="{51DB79AC-223D-4F09-B637-E981A5C5509F}">
      <text>
        <r>
          <rPr>
            <b/>
            <sz val="9"/>
            <color indexed="81"/>
            <rFont val="Tahoma"/>
            <family val="2"/>
          </rPr>
          <t>Author:</t>
        </r>
        <r>
          <rPr>
            <sz val="9"/>
            <color indexed="81"/>
            <rFont val="Tahoma"/>
            <family val="2"/>
          </rPr>
          <t xml:space="preserve">
grew by 6.1% in cc terms</t>
        </r>
      </text>
    </comment>
    <comment ref="AN156" authorId="0" shapeId="0" xr:uid="{27114D78-BF27-43B9-BB20-FA42CB8501AF}">
      <text>
        <r>
          <rPr>
            <b/>
            <sz val="9"/>
            <color indexed="81"/>
            <rFont val="Tahoma"/>
            <family val="2"/>
          </rPr>
          <t>Author:</t>
        </r>
        <r>
          <rPr>
            <sz val="9"/>
            <color indexed="81"/>
            <rFont val="Tahoma"/>
            <family val="2"/>
          </rPr>
          <t xml:space="preserve">
grew by 3.3%
YoY in cc terms and</t>
        </r>
      </text>
    </comment>
    <comment ref="AM157" authorId="0" shapeId="0" xr:uid="{087350A0-7A28-447D-90E8-E78CD0CA37CD}">
      <text>
        <r>
          <rPr>
            <b/>
            <sz val="9"/>
            <color indexed="81"/>
            <rFont val="Tahoma"/>
            <family val="2"/>
          </rPr>
          <t>Author:</t>
        </r>
        <r>
          <rPr>
            <sz val="9"/>
            <color indexed="81"/>
            <rFont val="Tahoma"/>
            <family val="2"/>
          </rPr>
          <t xml:space="preserve">
India contributed 6%</t>
        </r>
      </text>
    </comment>
    <comment ref="AN157" authorId="0" shapeId="0" xr:uid="{BA43119A-E757-46B9-9275-00CE50FB5B97}">
      <text>
        <r>
          <rPr>
            <b/>
            <sz val="9"/>
            <color indexed="81"/>
            <rFont val="Tahoma"/>
            <family val="2"/>
          </rPr>
          <t>Author:</t>
        </r>
        <r>
          <rPr>
            <sz val="9"/>
            <color indexed="81"/>
            <rFont val="Tahoma"/>
            <family val="2"/>
          </rPr>
          <t xml:space="preserve">
4.2% in cc terms</t>
        </r>
      </text>
    </comment>
    <comment ref="Z159" authorId="0" shapeId="0" xr:uid="{7EAED3B5-EC2F-43B8-A341-F4F7FAE54BE8}">
      <text>
        <r>
          <rPr>
            <b/>
            <sz val="9"/>
            <color indexed="81"/>
            <rFont val="Tahoma"/>
            <family val="2"/>
          </rPr>
          <t>Author:</t>
        </r>
        <r>
          <rPr>
            <sz val="9"/>
            <color indexed="81"/>
            <rFont val="Tahoma"/>
            <family val="2"/>
          </rPr>
          <t xml:space="preserve">
India in Q1 declined 30% Q-o-Q and contributed only 3.8%</t>
        </r>
      </text>
    </comment>
    <comment ref="O177" authorId="0" shapeId="0" xr:uid="{00000000-0006-0000-0E00-000005000000}">
      <text>
        <r>
          <rPr>
            <b/>
            <sz val="9"/>
            <color indexed="81"/>
            <rFont val="Tahoma"/>
            <family val="2"/>
          </rPr>
          <t>Author:</t>
        </r>
        <r>
          <rPr>
            <sz val="9"/>
            <color indexed="81"/>
            <rFont val="Tahoma"/>
            <family val="2"/>
          </rPr>
          <t xml:space="preserve">
Does not include 14 clients added through the acquisition of Blink UX</t>
        </r>
      </text>
    </comment>
    <comment ref="A192" authorId="0" shapeId="0" xr:uid="{C405F26B-A849-46E5-A0DC-0F84932BE958}">
      <text>
        <r>
          <rPr>
            <b/>
            <sz val="9"/>
            <color indexed="81"/>
            <rFont val="Tahoma"/>
            <family val="2"/>
          </rPr>
          <t>Author:</t>
        </r>
        <r>
          <rPr>
            <sz val="9"/>
            <color indexed="81"/>
            <rFont val="Tahoma"/>
            <family val="2"/>
          </rPr>
          <t xml:space="preserve">
4 out of 5 are BFSI and 1 travel</t>
        </r>
      </text>
    </comment>
    <comment ref="A193" authorId="0" shapeId="0" xr:uid="{1863AFA6-C675-44F7-BAE4-B7122FB3C0E0}">
      <text>
        <r>
          <rPr>
            <b/>
            <sz val="9"/>
            <color indexed="81"/>
            <rFont val="Tahoma"/>
            <family val="2"/>
          </rPr>
          <t>Author:</t>
        </r>
        <r>
          <rPr>
            <sz val="9"/>
            <color indexed="81"/>
            <rFont val="Tahoma"/>
            <family val="2"/>
          </rPr>
          <t xml:space="preserve">
2 travel clients</t>
        </r>
      </text>
    </comment>
    <comment ref="N233" authorId="0" shapeId="0" xr:uid="{00000000-0006-0000-0E00-000006000000}">
      <text>
        <r>
          <rPr>
            <b/>
            <sz val="9"/>
            <color indexed="81"/>
            <rFont val="Tahoma"/>
            <family val="2"/>
          </rPr>
          <t>Author:</t>
        </r>
        <r>
          <rPr>
            <sz val="9"/>
            <color indexed="81"/>
            <rFont val="Tahoma"/>
            <family val="2"/>
          </rPr>
          <t xml:space="preserve">
6962 from SLK acquistion</t>
        </r>
      </text>
    </comment>
    <comment ref="AO236" authorId="0" shapeId="0" xr:uid="{90E3D6DC-EFBF-47D5-BE75-34F4E88CC4CC}">
      <text>
        <r>
          <rPr>
            <b/>
            <sz val="9"/>
            <color indexed="81"/>
            <rFont val="Tahoma"/>
            <family val="2"/>
          </rPr>
          <t>Author:</t>
        </r>
        <r>
          <rPr>
            <sz val="9"/>
            <color indexed="81"/>
            <rFont val="Tahoma"/>
            <family val="2"/>
          </rPr>
          <t xml:space="preserve">
which is more than 6 times of
the corresponding figure an year ago</t>
        </r>
      </text>
    </comment>
    <comment ref="T250" authorId="0" shapeId="0" xr:uid="{C5BF4148-1B8D-48A5-977E-1B27B67F4CEE}">
      <text>
        <r>
          <rPr>
            <b/>
            <sz val="9"/>
            <color indexed="81"/>
            <rFont val="Tahoma"/>
            <family val="2"/>
          </rPr>
          <t>Author:</t>
        </r>
        <r>
          <rPr>
            <sz val="9"/>
            <color indexed="81"/>
            <rFont val="Tahoma"/>
            <family val="2"/>
          </rPr>
          <t xml:space="preserve">
both pressure in mortgage and higher productivity through automation with gains passed on to the client.</t>
        </r>
      </text>
    </comment>
    <comment ref="A304" authorId="0" shapeId="0" xr:uid="{A323B486-BB07-44F4-8E48-7D7A081F923B}">
      <text>
        <r>
          <rPr>
            <b/>
            <sz val="9"/>
            <color indexed="81"/>
            <rFont val="Tahoma"/>
            <family val="2"/>
          </rPr>
          <t>Author:</t>
        </r>
        <r>
          <rPr>
            <sz val="9"/>
            <color indexed="81"/>
            <rFont val="Tahoma"/>
            <family val="2"/>
          </rPr>
          <t xml:space="preserve">
Executable order book gives 70% visibility to revenue. Risk of slippage is less. 7- 8% of revenue in a year tends to be net new business.</t>
        </r>
      </text>
    </comment>
    <comment ref="R333" authorId="0" shapeId="0" xr:uid="{00000000-0006-0000-0E00-000007000000}">
      <text>
        <r>
          <rPr>
            <b/>
            <sz val="9"/>
            <color indexed="81"/>
            <rFont val="Tahoma"/>
            <family val="2"/>
          </rPr>
          <t>Author:</t>
        </r>
        <r>
          <rPr>
            <sz val="9"/>
            <color indexed="81"/>
            <rFont val="Tahoma"/>
            <family val="2"/>
          </rPr>
          <t xml:space="preserve">
The company signed its fifth large deal of greater than $50 million+ TCVs during the quarters, taking total large deal TCVs (higher than $50 million) of $550 million in last five quarters.</t>
        </r>
      </text>
    </comment>
    <comment ref="S334" authorId="0" shapeId="0" xr:uid="{00000000-0006-0000-0E00-000008000000}">
      <text>
        <r>
          <rPr>
            <b/>
            <sz val="9"/>
            <color indexed="81"/>
            <rFont val="Tahoma"/>
            <family val="2"/>
          </rPr>
          <t>Author:</t>
        </r>
        <r>
          <rPr>
            <sz val="9"/>
            <color indexed="81"/>
            <rFont val="Tahoma"/>
            <family val="2"/>
          </rPr>
          <t xml:space="preserve">
Two large deals signed during the quarter (both $30+ Mn)</t>
        </r>
      </text>
    </comment>
    <comment ref="P336" authorId="0" shapeId="0" xr:uid="{5C328213-D3E6-4FC5-867B-FAD721ECFBF9}">
      <text>
        <r>
          <rPr>
            <b/>
            <sz val="9"/>
            <color indexed="81"/>
            <rFont val="Tahoma"/>
            <family val="2"/>
          </rPr>
          <t>Author:</t>
        </r>
        <r>
          <rPr>
            <sz val="9"/>
            <color indexed="81"/>
            <rFont val="Tahoma"/>
            <family val="2"/>
          </rPr>
          <t xml:space="preserve">
talked in Q3FY23; driving growth; with a UK-centric Spanish bank - five year deal.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1" authorId="0" shapeId="0" xr:uid="{00000000-0006-0000-0700-000001000000}">
      <text>
        <r>
          <rPr>
            <b/>
            <sz val="9"/>
            <color indexed="81"/>
            <rFont val="Tahoma"/>
            <family val="2"/>
          </rPr>
          <t>Author:</t>
        </r>
        <r>
          <rPr>
            <sz val="9"/>
            <color indexed="81"/>
            <rFont val="Tahoma"/>
            <family val="2"/>
          </rPr>
          <t xml:space="preserve">
EBIT (1-t)/(Total Liab - current+ debt+ lease - non current + leases)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72" authorId="0" shapeId="0" xr:uid="{56B8972B-ABC8-482B-930B-DCA11ACF62F6}">
      <text>
        <r>
          <rPr>
            <b/>
            <sz val="9"/>
            <color indexed="81"/>
            <rFont val="Tahoma"/>
            <family val="2"/>
          </rPr>
          <t>Author:</t>
        </r>
        <r>
          <rPr>
            <sz val="9"/>
            <color indexed="81"/>
            <rFont val="Tahoma"/>
            <family val="2"/>
          </rPr>
          <t xml:space="preserve">
https://www.bseindia.com/xml-data/corpfiling/AttachHis/7bce0f11-d4b7-4786-8adf-9f4d7a66de06.pdf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U4" authorId="0" shapeId="0" xr:uid="{E2A6DEF7-E815-4B05-AF3D-4487D615973F}">
      <text>
        <r>
          <rPr>
            <b/>
            <sz val="9"/>
            <color indexed="81"/>
            <rFont val="Tahoma"/>
            <family val="2"/>
          </rPr>
          <t xml:space="preserve">Author:
</t>
        </r>
        <r>
          <rPr>
            <sz val="9"/>
            <color indexed="81"/>
            <rFont val="Tahoma"/>
            <family val="2"/>
          </rPr>
          <t xml:space="preserve">Signed a definitive agreement for the sale of entire 88.99% stake in GIS business on April 6, 2019 </t>
        </r>
      </text>
    </comment>
    <comment ref="AW6" authorId="0" shapeId="0" xr:uid="{96B05E4E-07D4-4CBA-AA84-E92B79CD360E}">
      <text>
        <r>
          <rPr>
            <b/>
            <sz val="9"/>
            <color indexed="81"/>
            <rFont val="Tahoma"/>
            <family val="2"/>
          </rPr>
          <t>Author:</t>
        </r>
        <r>
          <rPr>
            <sz val="9"/>
            <color indexed="81"/>
            <rFont val="Tahoma"/>
            <family val="2"/>
          </rPr>
          <t xml:space="preserve">
In FY’22 the consolidated revenue of the firm registered a growth of 38.0% in US$ terms, 37.6% in constant currency terms,</t>
        </r>
      </text>
    </comment>
    <comment ref="AT18" authorId="0" shapeId="0" xr:uid="{B22A8E59-FFB9-4C0A-B3B4-99F16197ED1A}">
      <text>
        <r>
          <rPr>
            <b/>
            <sz val="9"/>
            <color indexed="81"/>
            <rFont val="Tahoma"/>
            <family val="2"/>
          </rPr>
          <t>Author:</t>
        </r>
        <r>
          <rPr>
            <sz val="9"/>
            <color indexed="81"/>
            <rFont val="Tahoma"/>
            <family val="2"/>
          </rPr>
          <t xml:space="preserve">
In constant currency terms, revenues grew by 17.5% during FY19
</t>
        </r>
      </text>
    </comment>
    <comment ref="AK19" authorId="0" shapeId="0" xr:uid="{5F1E34FC-FFBF-4852-ACB2-3EF2238ACB21}">
      <text>
        <r>
          <rPr>
            <b/>
            <sz val="9"/>
            <color indexed="81"/>
            <rFont val="Tahoma"/>
            <family val="2"/>
          </rPr>
          <t>Author:</t>
        </r>
        <r>
          <rPr>
            <sz val="9"/>
            <color indexed="81"/>
            <rFont val="Tahoma"/>
            <family val="2"/>
          </rPr>
          <t xml:space="preserve">
press release</t>
        </r>
      </text>
    </comment>
    <comment ref="AR23" authorId="0" shapeId="0" xr:uid="{75C16740-3F8A-4274-A5C6-F14F79553122}">
      <text>
        <r>
          <rPr>
            <b/>
            <sz val="9"/>
            <color indexed="81"/>
            <rFont val="Tahoma"/>
            <family val="2"/>
          </rPr>
          <t>Author:</t>
        </r>
        <r>
          <rPr>
            <sz val="9"/>
            <color indexed="81"/>
            <rFont val="Tahoma"/>
            <family val="2"/>
          </rPr>
          <t xml:space="preserve">
15% in the previous year</t>
        </r>
      </text>
    </comment>
    <comment ref="AV23" authorId="0" shapeId="0" xr:uid="{DF613FA1-4661-4723-8DB5-F9F6D7CE93AD}">
      <text>
        <r>
          <rPr>
            <b/>
            <sz val="9"/>
            <color indexed="81"/>
            <rFont val="Tahoma"/>
            <family val="2"/>
          </rPr>
          <t>Author:</t>
        </r>
        <r>
          <rPr>
            <sz val="9"/>
            <color indexed="81"/>
            <rFont val="Tahoma"/>
            <family val="2"/>
          </rPr>
          <t xml:space="preserve">
The digital and the product engineering portfolio of the
firm constituted 52.1% of the aggregate revenue
The firm draws an additional 20% revenue from the Cloud and
Infrastructure service line.</t>
        </r>
      </text>
    </comment>
    <comment ref="AW23" authorId="0" shapeId="0" xr:uid="{5BCB2026-0C21-4F1D-8757-5C85F122525A}">
      <text>
        <r>
          <rPr>
            <b/>
            <sz val="9"/>
            <color indexed="81"/>
            <rFont val="Tahoma"/>
            <family val="2"/>
          </rPr>
          <t>Author:</t>
        </r>
        <r>
          <rPr>
            <sz val="9"/>
            <color indexed="81"/>
            <rFont val="Tahoma"/>
            <family val="2"/>
          </rPr>
          <t xml:space="preserve">
Digital and cloud infra
Excludes BPS service revenue</t>
        </r>
      </text>
    </comment>
    <comment ref="AU29" authorId="0" shapeId="0" xr:uid="{8720014F-A809-423F-A247-C7B04C77398F}">
      <text>
        <r>
          <rPr>
            <b/>
            <sz val="9"/>
            <color indexed="81"/>
            <rFont val="Tahoma"/>
            <family val="2"/>
          </rPr>
          <t>Author:</t>
        </r>
        <r>
          <rPr>
            <sz val="9"/>
            <color indexed="81"/>
            <rFont val="Tahoma"/>
            <family val="2"/>
          </rPr>
          <t xml:space="preserve">
Insurance vertical grew mainly on account of growth top accounts in US and NITL business</t>
        </r>
      </text>
    </comment>
    <comment ref="AU31" authorId="0" shapeId="0" xr:uid="{09D29188-A9C9-4BA6-AE7C-32C4C4A46322}">
      <text>
        <r>
          <rPr>
            <b/>
            <sz val="9"/>
            <color indexed="81"/>
            <rFont val="Tahoma"/>
            <family val="2"/>
          </rPr>
          <t>Author:</t>
        </r>
        <r>
          <rPr>
            <sz val="9"/>
            <color indexed="81"/>
            <rFont val="Tahoma"/>
            <family val="2"/>
          </rPr>
          <t xml:space="preserve">
Growth in TTH on account of growth in top accounts in EMEA and US</t>
        </r>
      </text>
    </comment>
    <comment ref="A33" authorId="0" shapeId="0" xr:uid="{5EE328D0-8997-4D93-826B-747936A067E1}">
      <text>
        <r>
          <rPr>
            <b/>
            <sz val="9"/>
            <color indexed="81"/>
            <rFont val="Tahoma"/>
            <family val="2"/>
          </rPr>
          <t>Author:</t>
        </r>
        <r>
          <rPr>
            <sz val="9"/>
            <color indexed="81"/>
            <rFont val="Tahoma"/>
            <family val="2"/>
          </rPr>
          <t xml:space="preserve">
Others primarily include Healthcare, Retail, Hi-Tech, Manufacturing and Public Sector</t>
        </r>
      </text>
    </comment>
    <comment ref="AR33" authorId="0" shapeId="0" xr:uid="{6083CC62-B24F-420E-AE33-CED110DF606C}">
      <text>
        <r>
          <rPr>
            <b/>
            <sz val="9"/>
            <color indexed="81"/>
            <rFont val="Tahoma"/>
            <family val="2"/>
          </rPr>
          <t>Author:</t>
        </r>
        <r>
          <rPr>
            <sz val="9"/>
            <color indexed="81"/>
            <rFont val="Tahoma"/>
            <family val="2"/>
          </rPr>
          <t xml:space="preserve">
Government 3%
Manuf, Media and Others 23%</t>
        </r>
      </text>
    </comment>
    <comment ref="AL41" authorId="0" shapeId="0" xr:uid="{85E74AEB-1D18-43E0-8675-8106314D1A74}">
      <text>
        <r>
          <rPr>
            <b/>
            <sz val="9"/>
            <color indexed="81"/>
            <rFont val="Tahoma"/>
            <family val="2"/>
          </rPr>
          <t>Author:</t>
        </r>
        <r>
          <rPr>
            <sz val="9"/>
            <color indexed="81"/>
            <rFont val="Tahoma"/>
            <family val="2"/>
          </rPr>
          <t xml:space="preserve">
Q1 concall - 30% QoQ down</t>
        </r>
      </text>
    </comment>
    <comment ref="AM41" authorId="0" shapeId="0" xr:uid="{A4FB7C03-7BB1-4454-979C-27F51D2037AD}">
      <text>
        <r>
          <rPr>
            <b/>
            <sz val="9"/>
            <color indexed="81"/>
            <rFont val="Tahoma"/>
            <family val="2"/>
          </rPr>
          <t>Author:</t>
        </r>
        <r>
          <rPr>
            <sz val="9"/>
            <color indexed="81"/>
            <rFont val="Tahoma"/>
            <family val="2"/>
          </rPr>
          <t xml:space="preserve">
Q1 concall - 30% QoQ down</t>
        </r>
      </text>
    </comment>
    <comment ref="A47" authorId="0" shapeId="0" xr:uid="{925F6A59-04C1-4B23-A28C-D3B342A51CCD}">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F48" authorId="0" shapeId="0" xr:uid="{C9451441-2C92-4180-A4B8-97A027FE6447}">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U48" authorId="0" shapeId="0" xr:uid="{9454CCE0-F55C-46BC-8005-8B659EE21984}">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V48" authorId="0" shapeId="0" xr:uid="{EBBB2F79-5EAC-47C6-A820-8AF2A5BCE1D1}">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W48" authorId="0" shapeId="0" xr:uid="{05DF8F0F-4C9E-460C-B5C4-0DDE8F39FCF0}">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56" authorId="0" shapeId="0" xr:uid="{2D9C0CFE-AE18-4547-A18D-E02DD3C42D54}">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F57" authorId="0" shapeId="0" xr:uid="{BDE0389F-214A-4F07-8903-9DEDEA68F910}">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76" authorId="0" shapeId="0" xr:uid="{67DC9E63-8531-4184-955A-042C33A6BB89}">
      <text>
        <r>
          <rPr>
            <b/>
            <sz val="9"/>
            <color indexed="81"/>
            <rFont val="Tahoma"/>
            <family val="2"/>
          </rPr>
          <t>Author:</t>
        </r>
        <r>
          <rPr>
            <sz val="9"/>
            <color indexed="81"/>
            <rFont val="Tahoma"/>
            <family val="2"/>
          </rPr>
          <t xml:space="preserve">
Others primarily include Healthcare, Retail, Hi-Tech, Manufacturing and Public Sector. 
Public section exccluded from Q1FY25
</t>
        </r>
      </text>
    </comment>
    <comment ref="AU81" authorId="0" shapeId="0" xr:uid="{262AB17C-BC46-4300-8FD2-8B1EC81A8F1A}">
      <text>
        <r>
          <rPr>
            <b/>
            <sz val="9"/>
            <color indexed="81"/>
            <rFont val="Tahoma"/>
            <family val="2"/>
          </rPr>
          <t>Author:</t>
        </r>
        <r>
          <rPr>
            <sz val="9"/>
            <color indexed="81"/>
            <rFont val="Tahoma"/>
            <family val="2"/>
          </rPr>
          <t xml:space="preserve">
AR - 20.5% growth in revenue</t>
        </r>
      </text>
    </comment>
    <comment ref="AV81" authorId="0" shapeId="0" xr:uid="{408BA48E-A18D-4CC8-8657-0FF6DAFBFCA9}">
      <text>
        <r>
          <rPr>
            <b/>
            <sz val="9"/>
            <color indexed="81"/>
            <rFont val="Tahoma"/>
            <family val="2"/>
          </rPr>
          <t>Author:</t>
        </r>
        <r>
          <rPr>
            <sz val="9"/>
            <color indexed="81"/>
            <rFont val="Tahoma"/>
            <family val="2"/>
          </rPr>
          <t xml:space="preserve">
12.8% in cc terms</t>
        </r>
      </text>
    </comment>
    <comment ref="AW81" authorId="0" shapeId="0" xr:uid="{2F9043B6-9500-4989-839F-4640FC02DF5E}">
      <text>
        <r>
          <rPr>
            <b/>
            <sz val="9"/>
            <color indexed="81"/>
            <rFont val="Tahoma"/>
            <family val="2"/>
          </rPr>
          <t>Author:</t>
        </r>
        <r>
          <rPr>
            <sz val="9"/>
            <color indexed="81"/>
            <rFont val="Tahoma"/>
            <family val="2"/>
          </rPr>
          <t xml:space="preserve">
20.0% in cc terms</t>
        </r>
      </text>
    </comment>
    <comment ref="AU82" authorId="0" shapeId="0" xr:uid="{3BAE2790-CBE1-4F4E-AFAA-7E256B16AD85}">
      <text>
        <r>
          <rPr>
            <b/>
            <sz val="9"/>
            <color indexed="81"/>
            <rFont val="Tahoma"/>
            <family val="2"/>
          </rPr>
          <t>Author:</t>
        </r>
        <r>
          <rPr>
            <sz val="9"/>
            <color indexed="81"/>
            <rFont val="Tahoma"/>
            <family val="2"/>
          </rPr>
          <t xml:space="preserve">
weathered strong headwinds caused by subdued growth in our key accounts and uncertainties arising out of global geopolitical risks</t>
        </r>
      </text>
    </comment>
    <comment ref="AV82" authorId="0" shapeId="0" xr:uid="{E647AC37-5320-430B-B31F-6FD86F6DB20B}">
      <text>
        <r>
          <rPr>
            <b/>
            <sz val="9"/>
            <color indexed="81"/>
            <rFont val="Tahoma"/>
            <family val="2"/>
          </rPr>
          <t>Author:</t>
        </r>
        <r>
          <rPr>
            <sz val="9"/>
            <color indexed="81"/>
            <rFont val="Tahoma"/>
            <family val="2"/>
          </rPr>
          <t xml:space="preserve">
14.6% in cc terms</t>
        </r>
      </text>
    </comment>
    <comment ref="AW82" authorId="0" shapeId="0" xr:uid="{E3CC8937-3AE3-4CE5-93A6-F2FC5AF814E9}">
      <text>
        <r>
          <rPr>
            <b/>
            <sz val="9"/>
            <color indexed="81"/>
            <rFont val="Tahoma"/>
            <family val="2"/>
          </rPr>
          <t>Author:</t>
        </r>
        <r>
          <rPr>
            <sz val="9"/>
            <color indexed="81"/>
            <rFont val="Tahoma"/>
            <family val="2"/>
          </rPr>
          <t xml:space="preserve">
multiple large deals
101.5% in constant currency; SLK Global acquistion</t>
        </r>
      </text>
    </comment>
    <comment ref="AU83" authorId="0" shapeId="0" xr:uid="{42844049-9E5B-4E41-A07C-794C7899D1B9}">
      <text>
        <r>
          <rPr>
            <b/>
            <sz val="9"/>
            <color indexed="81"/>
            <rFont val="Tahoma"/>
            <family val="2"/>
          </rPr>
          <t>Author:</t>
        </r>
        <r>
          <rPr>
            <sz val="9"/>
            <color indexed="81"/>
            <rFont val="Tahoma"/>
            <family val="2"/>
          </rPr>
          <t xml:space="preserve">
grew 18% and 28% of total revenues</t>
        </r>
      </text>
    </comment>
    <comment ref="AV83" authorId="0" shapeId="0" xr:uid="{11255EFF-BC54-4E04-AF38-7FD4FE793444}">
      <text>
        <r>
          <rPr>
            <b/>
            <sz val="9"/>
            <color indexed="81"/>
            <rFont val="Tahoma"/>
            <family val="2"/>
          </rPr>
          <t>Author:</t>
        </r>
        <r>
          <rPr>
            <sz val="9"/>
            <color indexed="81"/>
            <rFont val="Tahoma"/>
            <family val="2"/>
          </rPr>
          <t xml:space="preserve">
was down 26.9% in cc terms</t>
        </r>
      </text>
    </comment>
    <comment ref="AW83" authorId="0" shapeId="0" xr:uid="{8B041241-22A4-474D-9E68-DC1F08C35DB8}">
      <text>
        <r>
          <rPr>
            <b/>
            <sz val="9"/>
            <color indexed="81"/>
            <rFont val="Tahoma"/>
            <family val="2"/>
          </rPr>
          <t>Author:</t>
        </r>
        <r>
          <rPr>
            <sz val="9"/>
            <color indexed="81"/>
            <rFont val="Tahoma"/>
            <family val="2"/>
          </rPr>
          <t xml:space="preserve">
35.7%
in cc terms</t>
        </r>
      </text>
    </comment>
    <comment ref="AV84" authorId="0" shapeId="0" xr:uid="{B298C096-0BDC-4446-A0CB-0ADBEEF8837B}">
      <text>
        <r>
          <rPr>
            <b/>
            <sz val="9"/>
            <color indexed="81"/>
            <rFont val="Tahoma"/>
            <family val="2"/>
          </rPr>
          <t>Author:</t>
        </r>
        <r>
          <rPr>
            <sz val="9"/>
            <color indexed="81"/>
            <rFont val="Tahoma"/>
            <family val="2"/>
          </rPr>
          <t xml:space="preserve">
grew 28.2% year-on-year</t>
        </r>
      </text>
    </comment>
    <comment ref="AW84" authorId="0" shapeId="0" xr:uid="{FD5AC195-A82B-4D8C-887E-63C6D057D65C}">
      <text>
        <r>
          <rPr>
            <b/>
            <sz val="9"/>
            <color indexed="81"/>
            <rFont val="Tahoma"/>
            <family val="2"/>
          </rPr>
          <t>Author:</t>
        </r>
        <r>
          <rPr>
            <sz val="9"/>
            <color indexed="81"/>
            <rFont val="Tahoma"/>
            <family val="2"/>
          </rPr>
          <t xml:space="preserve">
21.3% year-on-year</t>
        </r>
      </text>
    </comment>
    <comment ref="A85" authorId="0" shapeId="0" xr:uid="{F6C82A23-57E4-4710-AA0A-A8C5EFD7BF56}">
      <text>
        <r>
          <rPr>
            <b/>
            <sz val="9"/>
            <color indexed="81"/>
            <rFont val="Tahoma"/>
            <family val="2"/>
          </rPr>
          <t>Author:</t>
        </r>
        <r>
          <rPr>
            <sz val="9"/>
            <color indexed="81"/>
            <rFont val="Tahoma"/>
            <family val="2"/>
          </rPr>
          <t xml:space="preserve">
Others primarily include Healthcare, Retail, Hi-Tech, Manufacturing and Public Sector</t>
        </r>
      </text>
    </comment>
    <comment ref="AV85" authorId="0" shapeId="0" xr:uid="{2B8264F8-1C01-421E-8C68-401010EFEC08}">
      <text>
        <r>
          <rPr>
            <b/>
            <sz val="9"/>
            <color indexed="81"/>
            <rFont val="Tahoma"/>
            <family val="2"/>
          </rPr>
          <t>Author:</t>
        </r>
        <r>
          <rPr>
            <sz val="9"/>
            <color indexed="81"/>
            <rFont val="Tahoma"/>
            <family val="2"/>
          </rPr>
          <t xml:space="preserve">
grew 28.2% year-on-year</t>
        </r>
      </text>
    </comment>
    <comment ref="AW85" authorId="0" shapeId="0" xr:uid="{487ECBAF-97D6-4416-B3DC-DDD4FB4926C5}">
      <text>
        <r>
          <rPr>
            <b/>
            <sz val="9"/>
            <color indexed="81"/>
            <rFont val="Tahoma"/>
            <family val="2"/>
          </rPr>
          <t>Author:</t>
        </r>
        <r>
          <rPr>
            <sz val="9"/>
            <color indexed="81"/>
            <rFont val="Tahoma"/>
            <family val="2"/>
          </rPr>
          <t xml:space="preserve">
21.3% year-on-year</t>
        </r>
      </text>
    </comment>
    <comment ref="A92" authorId="0" shapeId="0" xr:uid="{6521971D-3D95-4D08-A9F5-12AD796FEDE4}">
      <text>
        <r>
          <rPr>
            <b/>
            <sz val="9"/>
            <color indexed="81"/>
            <rFont val="Tahoma"/>
            <family val="2"/>
          </rPr>
          <t>Author:</t>
        </r>
        <r>
          <rPr>
            <sz val="9"/>
            <color indexed="81"/>
            <rFont val="Tahoma"/>
            <family val="2"/>
          </rPr>
          <t xml:space="preserve">
Others primarily include Healthcare, Retail, Hi-Tech, Manufacturing and Public Sector</t>
        </r>
      </text>
    </comment>
    <comment ref="A99" authorId="0" shapeId="0" xr:uid="{0AD087A8-EF8A-42A4-BFAD-F01BB1D59B08}">
      <text>
        <r>
          <rPr>
            <b/>
            <sz val="9"/>
            <color indexed="81"/>
            <rFont val="Tahoma"/>
            <family val="2"/>
          </rPr>
          <t>Author:</t>
        </r>
        <r>
          <rPr>
            <sz val="9"/>
            <color indexed="81"/>
            <rFont val="Tahoma"/>
            <family val="2"/>
          </rPr>
          <t xml:space="preserve">
Data and integration service line which comprises CRM, BI, Duck Creek, etc. is driving growth.</t>
        </r>
      </text>
    </comment>
    <comment ref="AV110" authorId="0" shapeId="0" xr:uid="{113A95AD-2CC9-4CC6-94F4-D928BD43CA5F}">
      <text>
        <r>
          <rPr>
            <b/>
            <sz val="9"/>
            <color indexed="81"/>
            <rFont val="Tahoma"/>
            <family val="2"/>
          </rPr>
          <t>Author:</t>
        </r>
        <r>
          <rPr>
            <sz val="9"/>
            <color indexed="81"/>
            <rFont val="Tahoma"/>
            <family val="2"/>
          </rPr>
          <t xml:space="preserve">
which decline 12% primarily
on account of suspension of development projects within
travel</t>
        </r>
      </text>
    </comment>
    <comment ref="AV151" authorId="0" shapeId="0" xr:uid="{3BEE53FB-BC16-49D6-B863-03E02720B6D1}">
      <text>
        <r>
          <rPr>
            <b/>
            <sz val="9"/>
            <color indexed="81"/>
            <rFont val="Tahoma"/>
            <family val="2"/>
          </rPr>
          <t>Author:</t>
        </r>
        <r>
          <rPr>
            <sz val="9"/>
            <color indexed="81"/>
            <rFont val="Tahoma"/>
            <family val="2"/>
          </rPr>
          <t xml:space="preserve">
grew by 6.1% in cc terms</t>
        </r>
      </text>
    </comment>
    <comment ref="AV152" authorId="0" shapeId="0" xr:uid="{3E0247D2-4745-4E41-80EA-E23D0FBD6E83}">
      <text>
        <r>
          <rPr>
            <b/>
            <sz val="9"/>
            <color indexed="81"/>
            <rFont val="Tahoma"/>
            <family val="2"/>
          </rPr>
          <t>Author:</t>
        </r>
        <r>
          <rPr>
            <sz val="9"/>
            <color indexed="81"/>
            <rFont val="Tahoma"/>
            <family val="2"/>
          </rPr>
          <t xml:space="preserve">
grew by 3.3%
YoY in cc terms and</t>
        </r>
      </text>
    </comment>
    <comment ref="AU153" authorId="0" shapeId="0" xr:uid="{17E41336-BDEA-4F08-929E-FCD2C6D6F257}">
      <text>
        <r>
          <rPr>
            <b/>
            <sz val="9"/>
            <color indexed="81"/>
            <rFont val="Tahoma"/>
            <family val="2"/>
          </rPr>
          <t>Author:</t>
        </r>
        <r>
          <rPr>
            <sz val="9"/>
            <color indexed="81"/>
            <rFont val="Tahoma"/>
            <family val="2"/>
          </rPr>
          <t xml:space="preserve">
India contributed 6%</t>
        </r>
      </text>
    </comment>
    <comment ref="AV153" authorId="0" shapeId="0" xr:uid="{02B9A0A8-7389-4698-A509-6411089675A0}">
      <text>
        <r>
          <rPr>
            <b/>
            <sz val="9"/>
            <color indexed="81"/>
            <rFont val="Tahoma"/>
            <family val="2"/>
          </rPr>
          <t>Author:</t>
        </r>
        <r>
          <rPr>
            <sz val="9"/>
            <color indexed="81"/>
            <rFont val="Tahoma"/>
            <family val="2"/>
          </rPr>
          <t xml:space="preserve">
4.2% in cc terms</t>
        </r>
      </text>
    </comment>
    <comment ref="AL155" authorId="0" shapeId="0" xr:uid="{E92B32D9-50BF-4ED6-A878-E65F474C0786}">
      <text>
        <r>
          <rPr>
            <b/>
            <sz val="9"/>
            <color indexed="81"/>
            <rFont val="Tahoma"/>
            <family val="2"/>
          </rPr>
          <t>Author:</t>
        </r>
        <r>
          <rPr>
            <sz val="9"/>
            <color indexed="81"/>
            <rFont val="Tahoma"/>
            <family val="2"/>
          </rPr>
          <t xml:space="preserve">
India in Q1 declined 30% Q-o-Q and contributed only 3.8%</t>
        </r>
      </text>
    </comment>
    <comment ref="AA173" authorId="0" shapeId="0" xr:uid="{99432A7C-1A34-445C-8166-7A8D9A037DF5}">
      <text>
        <r>
          <rPr>
            <b/>
            <sz val="9"/>
            <color indexed="81"/>
            <rFont val="Tahoma"/>
            <family val="2"/>
          </rPr>
          <t>Author:</t>
        </r>
        <r>
          <rPr>
            <sz val="9"/>
            <color indexed="81"/>
            <rFont val="Tahoma"/>
            <family val="2"/>
          </rPr>
          <t xml:space="preserve">
Does not include 14 clients added through the acquisition of Blink UX</t>
        </r>
      </text>
    </comment>
    <comment ref="A188" authorId="0" shapeId="0" xr:uid="{A68ED984-8BDD-4554-B7DC-EFC01141787D}">
      <text>
        <r>
          <rPr>
            <b/>
            <sz val="9"/>
            <color indexed="81"/>
            <rFont val="Tahoma"/>
            <family val="2"/>
          </rPr>
          <t>Author:</t>
        </r>
        <r>
          <rPr>
            <sz val="9"/>
            <color indexed="81"/>
            <rFont val="Tahoma"/>
            <family val="2"/>
          </rPr>
          <t xml:space="preserve">
4 out of 5 are BFSI and 1 travel</t>
        </r>
      </text>
    </comment>
    <comment ref="A189" authorId="0" shapeId="0" xr:uid="{E49D7C09-A8B4-4D13-8207-782F7E9AC56B}">
      <text>
        <r>
          <rPr>
            <b/>
            <sz val="9"/>
            <color indexed="81"/>
            <rFont val="Tahoma"/>
            <family val="2"/>
          </rPr>
          <t>Author:</t>
        </r>
        <r>
          <rPr>
            <sz val="9"/>
            <color indexed="81"/>
            <rFont val="Tahoma"/>
            <family val="2"/>
          </rPr>
          <t xml:space="preserve">
2 travel clients</t>
        </r>
      </text>
    </comment>
    <comment ref="Z229" authorId="0" shapeId="0" xr:uid="{24214C9D-A73D-49E6-9212-4F671A3F8D50}">
      <text>
        <r>
          <rPr>
            <b/>
            <sz val="9"/>
            <color indexed="81"/>
            <rFont val="Tahoma"/>
            <family val="2"/>
          </rPr>
          <t>Author:</t>
        </r>
        <r>
          <rPr>
            <sz val="9"/>
            <color indexed="81"/>
            <rFont val="Tahoma"/>
            <family val="2"/>
          </rPr>
          <t xml:space="preserve">
6962 from SLK acquistion</t>
        </r>
      </text>
    </comment>
    <comment ref="AW232" authorId="0" shapeId="0" xr:uid="{2B1AC94C-B442-43B6-9F09-492FBC156405}">
      <text>
        <r>
          <rPr>
            <b/>
            <sz val="9"/>
            <color indexed="81"/>
            <rFont val="Tahoma"/>
            <family val="2"/>
          </rPr>
          <t>Author:</t>
        </r>
        <r>
          <rPr>
            <sz val="9"/>
            <color indexed="81"/>
            <rFont val="Tahoma"/>
            <family val="2"/>
          </rPr>
          <t xml:space="preserve">
which is more than 6 times of
the corresponding figure an year ago</t>
        </r>
      </text>
    </comment>
    <comment ref="AF246" authorId="0" shapeId="0" xr:uid="{A89B5322-3DF8-4337-87AD-F757813737AF}">
      <text>
        <r>
          <rPr>
            <b/>
            <sz val="9"/>
            <color indexed="81"/>
            <rFont val="Tahoma"/>
            <family val="2"/>
          </rPr>
          <t>Author:</t>
        </r>
        <r>
          <rPr>
            <sz val="9"/>
            <color indexed="81"/>
            <rFont val="Tahoma"/>
            <family val="2"/>
          </rPr>
          <t xml:space="preserve">
both pressure in mortgage and higher productivity through automation with gains passed on to the client.</t>
        </r>
      </text>
    </comment>
    <comment ref="A295" authorId="0" shapeId="0" xr:uid="{68243148-F205-45E8-AB63-77881737BB54}">
      <text>
        <r>
          <rPr>
            <b/>
            <sz val="9"/>
            <color indexed="81"/>
            <rFont val="Tahoma"/>
            <family val="2"/>
          </rPr>
          <t>Author:</t>
        </r>
        <r>
          <rPr>
            <sz val="9"/>
            <color indexed="81"/>
            <rFont val="Tahoma"/>
            <family val="2"/>
          </rPr>
          <t xml:space="preserve">
Executable order book gives 70% visibility to revenue. Risk of slippage is less. 7- 8% of revenue in a year tends to be net new business.</t>
        </r>
      </text>
    </comment>
    <comment ref="AD324" authorId="0" shapeId="0" xr:uid="{48D675AB-133F-4D77-AD2F-1D97AFF27032}">
      <text>
        <r>
          <rPr>
            <b/>
            <sz val="9"/>
            <color indexed="81"/>
            <rFont val="Tahoma"/>
            <family val="2"/>
          </rPr>
          <t>Author:</t>
        </r>
        <r>
          <rPr>
            <sz val="9"/>
            <color indexed="81"/>
            <rFont val="Tahoma"/>
            <family val="2"/>
          </rPr>
          <t xml:space="preserve">
The company signed its fifth large deal of greater than $50 million+ TCVs during the quarters, taking total large deal TCVs (higher than $50 million) of $550 million in last five quarters.</t>
        </r>
      </text>
    </comment>
    <comment ref="AE325" authorId="0" shapeId="0" xr:uid="{8AAE98D9-C5B0-46E8-8F22-F8733E8BAC5E}">
      <text>
        <r>
          <rPr>
            <b/>
            <sz val="9"/>
            <color indexed="81"/>
            <rFont val="Tahoma"/>
            <family val="2"/>
          </rPr>
          <t>Author:</t>
        </r>
        <r>
          <rPr>
            <sz val="9"/>
            <color indexed="81"/>
            <rFont val="Tahoma"/>
            <family val="2"/>
          </rPr>
          <t xml:space="preserve">
Two large deals signed during the quarter (both $30+ Mn)</t>
        </r>
      </text>
    </comment>
    <comment ref="AB327" authorId="0" shapeId="0" xr:uid="{CC7B9F4D-4E3B-4C4E-9911-D437476F39F7}">
      <text>
        <r>
          <rPr>
            <b/>
            <sz val="9"/>
            <color indexed="81"/>
            <rFont val="Tahoma"/>
            <family val="2"/>
          </rPr>
          <t>Author:</t>
        </r>
        <r>
          <rPr>
            <sz val="9"/>
            <color indexed="81"/>
            <rFont val="Tahoma"/>
            <family val="2"/>
          </rPr>
          <t xml:space="preserve">
talked in Q3FY23; driving growth; with a UK-centric Spanish bank - five year deal.</t>
        </r>
      </text>
    </comment>
    <comment ref="Y354" authorId="0" shapeId="0" xr:uid="{3DA57E39-0CA1-4626-A708-510701A79105}">
      <text>
        <r>
          <rPr>
            <b/>
            <sz val="9"/>
            <color indexed="81"/>
            <rFont val="Tahoma"/>
            <family val="2"/>
          </rPr>
          <t>Author:</t>
        </r>
        <r>
          <rPr>
            <sz val="9"/>
            <color indexed="81"/>
            <rFont val="Tahoma"/>
            <family val="2"/>
          </rPr>
          <t xml:space="preserve">
Crore</t>
        </r>
      </text>
    </comment>
    <comment ref="AR354" authorId="0" shapeId="0" xr:uid="{73C955E5-2654-4041-914F-57C91850A024}">
      <text>
        <r>
          <rPr>
            <b/>
            <sz val="9"/>
            <color indexed="81"/>
            <rFont val="Tahoma"/>
            <family val="2"/>
          </rPr>
          <t>Author:</t>
        </r>
        <r>
          <rPr>
            <sz val="9"/>
            <color indexed="81"/>
            <rFont val="Tahoma"/>
            <family val="2"/>
          </rPr>
          <t xml:space="preserve">
4,241 million on 31 March 2016
MTM of Mutual Funds of INR 64 Mn</t>
        </r>
      </text>
    </comment>
    <comment ref="AV354" authorId="0" shapeId="0" xr:uid="{B8911C24-EE28-4693-9C22-9111DC009156}">
      <text>
        <r>
          <rPr>
            <b/>
            <sz val="9"/>
            <color indexed="81"/>
            <rFont val="Tahoma"/>
            <family val="2"/>
          </rPr>
          <t>Author:</t>
        </r>
        <r>
          <rPr>
            <sz val="9"/>
            <color indexed="81"/>
            <rFont val="Tahoma"/>
            <family val="2"/>
          </rPr>
          <t xml:space="preserve">
This decrease is attributed to payouts on account of acquisition of additional stake
in subsidiaries (Ruletek and Whishworks) amounting to Rs 1,427 million and buy back of shares amounting to Rs 4,166 million</t>
        </r>
      </text>
    </comment>
    <comment ref="AW354" authorId="0" shapeId="0" xr:uid="{81F139C6-B25A-4741-BE9B-4BFBBBB4DBB4}">
      <text>
        <r>
          <rPr>
            <b/>
            <sz val="9"/>
            <color indexed="81"/>
            <rFont val="Tahoma"/>
            <family val="2"/>
          </rPr>
          <t>Author:</t>
        </r>
        <r>
          <rPr>
            <sz val="9"/>
            <color indexed="81"/>
            <rFont val="Tahoma"/>
            <family val="2"/>
          </rPr>
          <t xml:space="preserve">
cash outflow for acquisition of controlling stake in SLK Global, balance stake in WHISHWORKS, dividend</t>
        </r>
      </text>
    </comment>
    <comment ref="AS376" authorId="0" shapeId="0" xr:uid="{1A7C77B2-9CA3-4338-8046-C7CD5D3F7486}">
      <text>
        <r>
          <rPr>
            <b/>
            <sz val="9"/>
            <color indexed="81"/>
            <rFont val="Tahoma"/>
            <family val="2"/>
          </rPr>
          <t>Author:</t>
        </r>
        <r>
          <rPr>
            <sz val="9"/>
            <color indexed="81"/>
            <rFont val="Tahoma"/>
            <family val="2"/>
          </rPr>
          <t xml:space="preserve">
2x yoy</t>
        </r>
      </text>
    </comment>
    <comment ref="V382" authorId="0" shapeId="0" xr:uid="{B31070E8-216B-40EC-8046-5B7A0D9068C4}">
      <text>
        <r>
          <rPr>
            <b/>
            <sz val="9"/>
            <color indexed="81"/>
            <rFont val="Tahoma"/>
            <family val="2"/>
          </rPr>
          <t>Author:</t>
        </r>
        <r>
          <rPr>
            <sz val="9"/>
            <color indexed="81"/>
            <rFont val="Tahoma"/>
            <family val="2"/>
          </rPr>
          <t xml:space="preserve">
1 BFS and 2 Travel</t>
        </r>
      </text>
    </comment>
    <comment ref="W382" authorId="0" shapeId="0" xr:uid="{EAEA2490-832E-454B-BE5F-519FDF35DF26}">
      <text>
        <r>
          <rPr>
            <b/>
            <sz val="9"/>
            <color indexed="81"/>
            <rFont val="Tahoma"/>
            <family val="2"/>
          </rPr>
          <t>Author:</t>
        </r>
        <r>
          <rPr>
            <sz val="9"/>
            <color indexed="81"/>
            <rFont val="Tahoma"/>
            <family val="2"/>
          </rPr>
          <t xml:space="preserve">
Insurance and BFS</t>
        </r>
      </text>
    </comment>
    <comment ref="X382" authorId="0" shapeId="0" xr:uid="{8D74A815-8CFB-41D2-A95E-49B22466643C}">
      <text>
        <r>
          <rPr>
            <b/>
            <sz val="9"/>
            <color indexed="81"/>
            <rFont val="Tahoma"/>
            <family val="2"/>
          </rPr>
          <t>Author:</t>
        </r>
        <r>
          <rPr>
            <sz val="9"/>
            <color indexed="81"/>
            <rFont val="Tahoma"/>
            <family val="2"/>
          </rPr>
          <t xml:space="preserve">
Insurance </t>
        </r>
      </text>
    </comment>
    <comment ref="AS382" authorId="0" shapeId="0" xr:uid="{8EAA4B44-4DFF-43F4-B4BC-45ACE5D2E0EC}">
      <text>
        <r>
          <rPr>
            <b/>
            <sz val="9"/>
            <color indexed="81"/>
            <rFont val="Tahoma"/>
            <family val="2"/>
          </rPr>
          <t>Author:</t>
        </r>
        <r>
          <rPr>
            <sz val="9"/>
            <color indexed="81"/>
            <rFont val="Tahoma"/>
            <family val="2"/>
          </rPr>
          <t xml:space="preserve">
across us and EMEA</t>
        </r>
      </text>
    </comment>
    <comment ref="AW382" authorId="0" shapeId="0" xr:uid="{B6C88215-F83F-490E-86A7-B640FFC1A5AD}">
      <text>
        <r>
          <rPr>
            <b/>
            <sz val="9"/>
            <color indexed="81"/>
            <rFont val="Tahoma"/>
            <family val="2"/>
          </rPr>
          <t>Author:</t>
        </r>
        <r>
          <rPr>
            <sz val="9"/>
            <color indexed="81"/>
            <rFont val="Tahoma"/>
            <family val="2"/>
          </rPr>
          <t xml:space="preserve">
include a $105 mn and 3 $50mn+ deal</t>
        </r>
      </text>
    </comment>
    <comment ref="A423" authorId="0" shapeId="0" xr:uid="{04B76EAC-437E-45CD-88AB-D89735F9BBC9}">
      <text>
        <r>
          <rPr>
            <b/>
            <sz val="9"/>
            <color indexed="81"/>
            <rFont val="Tahoma"/>
            <family val="2"/>
          </rPr>
          <t>Author:</t>
        </r>
        <r>
          <rPr>
            <sz val="9"/>
            <color indexed="81"/>
            <rFont val="Tahoma"/>
            <family val="2"/>
          </rPr>
          <t xml:space="preserve">
Others primarily include Healthcare, Retail, Hi-Tech, Manufacturing and Public Sector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5" authorId="0" shapeId="0" xr:uid="{3CDC47BA-A5C2-401B-B83B-F6705439A6D3}">
      <text>
        <r>
          <rPr>
            <b/>
            <sz val="9"/>
            <color indexed="81"/>
            <rFont val="Tahoma"/>
            <family val="2"/>
          </rPr>
          <t xml:space="preserve">Author:
</t>
        </r>
      </text>
    </comment>
    <comment ref="G15" authorId="0" shapeId="0" xr:uid="{B6AB477F-8563-48D8-8AD4-01BAF1B30AF1}">
      <text>
        <r>
          <rPr>
            <b/>
            <sz val="9"/>
            <color indexed="81"/>
            <rFont val="Tahoma"/>
            <family val="2"/>
          </rPr>
          <t xml:space="preserve">Author:
</t>
        </r>
      </text>
    </comment>
    <comment ref="H15" authorId="0" shapeId="0" xr:uid="{B2F4E174-C848-4402-B723-6050C0AF6306}">
      <text>
        <r>
          <rPr>
            <b/>
            <sz val="9"/>
            <color indexed="81"/>
            <rFont val="Tahoma"/>
            <family val="2"/>
          </rPr>
          <t xml:space="preserve">Author:
</t>
        </r>
      </text>
    </comment>
    <comment ref="I15" authorId="0" shapeId="0" xr:uid="{0F9A5EE9-2AA7-4AA5-BF34-71F450E139E3}">
      <text>
        <r>
          <rPr>
            <b/>
            <sz val="9"/>
            <color indexed="81"/>
            <rFont val="Tahoma"/>
            <family val="2"/>
          </rPr>
          <t xml:space="preserve">Author:
</t>
        </r>
      </text>
    </comment>
    <comment ref="R15" authorId="0" shapeId="0" xr:uid="{419D41AA-2936-42A7-98F2-7D114EC42970}">
      <text>
        <r>
          <rPr>
            <b/>
            <sz val="9"/>
            <color indexed="81"/>
            <rFont val="Tahoma"/>
            <family val="2"/>
          </rPr>
          <t xml:space="preserve">Author:
</t>
        </r>
      </text>
    </comment>
    <comment ref="V15" authorId="0" shapeId="0" xr:uid="{9F02702B-5BD8-41A0-BBD6-13221390CE02}">
      <text>
        <r>
          <rPr>
            <b/>
            <sz val="9"/>
            <color indexed="81"/>
            <rFont val="Tahoma"/>
            <family val="2"/>
          </rPr>
          <t>Author:</t>
        </r>
        <r>
          <rPr>
            <sz val="9"/>
            <color indexed="81"/>
            <rFont val="Tahoma"/>
            <family val="2"/>
          </rPr>
          <t xml:space="preserve">
adjusted</t>
        </r>
      </text>
    </comment>
    <comment ref="G16" authorId="0" shapeId="0" xr:uid="{21FB722B-07EE-4AD9-89B8-8F6DFCF16430}">
      <text>
        <r>
          <rPr>
            <b/>
            <sz val="9"/>
            <color indexed="81"/>
            <rFont val="Tahoma"/>
            <family val="2"/>
          </rPr>
          <t>Author:</t>
        </r>
        <r>
          <rPr>
            <sz val="9"/>
            <color indexed="81"/>
            <rFont val="Tahoma"/>
            <family val="2"/>
          </rPr>
          <t xml:space="preserve">
GPM 32.4%</t>
        </r>
      </text>
    </comment>
    <comment ref="H16" authorId="0" shapeId="0" xr:uid="{1A75F05C-62FE-41CE-AF38-76650461C37D}">
      <text>
        <r>
          <rPr>
            <b/>
            <sz val="9"/>
            <color indexed="81"/>
            <rFont val="Tahoma"/>
            <family val="2"/>
          </rPr>
          <t>Author:</t>
        </r>
        <r>
          <rPr>
            <sz val="9"/>
            <color indexed="81"/>
            <rFont val="Tahoma"/>
            <family val="2"/>
          </rPr>
          <t xml:space="preserve">
GPM 32.4%</t>
        </r>
      </text>
    </comment>
    <comment ref="I16" authorId="0" shapeId="0" xr:uid="{CBAF9DDC-00D4-4032-BF1C-1F23A79761B1}">
      <text>
        <r>
          <rPr>
            <b/>
            <sz val="9"/>
            <color indexed="81"/>
            <rFont val="Tahoma"/>
            <family val="2"/>
          </rPr>
          <t>Author:</t>
        </r>
        <r>
          <rPr>
            <sz val="9"/>
            <color indexed="81"/>
            <rFont val="Tahoma"/>
            <family val="2"/>
          </rPr>
          <t xml:space="preserve">
GPM 32.4%</t>
        </r>
      </text>
    </comment>
    <comment ref="R16" authorId="0" shapeId="0" xr:uid="{DCE3191F-11E3-4697-949D-8DE3E349F4D6}">
      <text>
        <r>
          <rPr>
            <b/>
            <sz val="9"/>
            <color indexed="81"/>
            <rFont val="Tahoma"/>
            <family val="2"/>
          </rPr>
          <t>Author:</t>
        </r>
        <r>
          <rPr>
            <sz val="9"/>
            <color indexed="81"/>
            <rFont val="Tahoma"/>
            <family val="2"/>
          </rPr>
          <t xml:space="preserve">
GPM 32.4%</t>
        </r>
      </text>
    </comment>
    <comment ref="H30" authorId="0" shapeId="0" xr:uid="{B7F62B1E-280C-4F37-AC37-1E08BEFF16E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Not sure...please check
</t>
        </r>
      </text>
    </comment>
    <comment ref="I30" authorId="0" shapeId="0" xr:uid="{0DCCD25E-57D7-4653-8A1B-C3A692F4156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Not sure...please check
</t>
        </r>
      </text>
    </comment>
    <comment ref="R39" authorId="0" shapeId="0" xr:uid="{58028BA1-0BB0-4441-BADF-3C634E4266BE}">
      <text>
        <r>
          <rPr>
            <b/>
            <sz val="9"/>
            <color indexed="81"/>
            <rFont val="Tahoma"/>
            <family val="2"/>
          </rPr>
          <t>Author:</t>
        </r>
        <r>
          <rPr>
            <sz val="9"/>
            <color indexed="81"/>
            <rFont val="Tahoma"/>
            <family val="2"/>
          </rPr>
          <t xml:space="preserve">
Plug value
(PBT reported- PBT calculated exclusing other income) :3135 - 3308 (3598-290)</t>
        </r>
      </text>
    </comment>
    <comment ref="F61" authorId="0" shapeId="0" xr:uid="{DA644CA6-B881-4914-B5E3-50FEA4B5C81C}">
      <text>
        <r>
          <rPr>
            <b/>
            <sz val="9"/>
            <color indexed="81"/>
            <rFont val="Tahoma"/>
            <family val="2"/>
          </rPr>
          <t>Author:</t>
        </r>
        <r>
          <rPr>
            <sz val="9"/>
            <color indexed="81"/>
            <rFont val="Tahoma"/>
            <family val="2"/>
          </rPr>
          <t xml:space="preserve">
Reported value in 2QFY25</t>
        </r>
      </text>
    </comment>
    <comment ref="X73" authorId="0" shapeId="0" xr:uid="{D01AED43-3D4B-440D-AF68-CD34439FB348}">
      <text>
        <r>
          <rPr>
            <b/>
            <sz val="9"/>
            <color indexed="81"/>
            <rFont val="Tahoma"/>
            <family val="2"/>
          </rPr>
          <t>Author:</t>
        </r>
        <r>
          <rPr>
            <sz val="9"/>
            <color indexed="81"/>
            <rFont val="Tahoma"/>
            <family val="2"/>
          </rPr>
          <t xml:space="preserve">
Gross margin can improve by 100-150 bps in next 1-1.5 years.</t>
        </r>
      </text>
    </comment>
    <comment ref="D75" authorId="0" shapeId="0" xr:uid="{2BC850B8-24E8-4141-9947-96E9C94D5CCF}">
      <text>
        <r>
          <rPr>
            <b/>
            <sz val="9"/>
            <color indexed="81"/>
            <rFont val="Tahoma"/>
            <family val="2"/>
          </rPr>
          <t>Author:</t>
        </r>
        <r>
          <rPr>
            <sz val="9"/>
            <color indexed="81"/>
            <rFont val="Tahoma"/>
            <family val="2"/>
          </rPr>
          <t xml:space="preserve">
150 bps improvement in Q3 based on discussion with management</t>
        </r>
      </text>
    </comment>
    <comment ref="X75" authorId="0" shapeId="0" xr:uid="{12BE7A58-982B-4018-87F6-B15635B6F72B}">
      <text>
        <r>
          <rPr>
            <b/>
            <sz val="9"/>
            <color indexed="81"/>
            <rFont val="Tahoma"/>
            <family val="2"/>
          </rPr>
          <t>Author:</t>
        </r>
        <r>
          <rPr>
            <sz val="9"/>
            <color indexed="81"/>
            <rFont val="Tahoma"/>
            <family val="2"/>
          </rPr>
          <t xml:space="preserve">
Margins will improve in FY2024. Wage hikes will be ~80% of pre-Covid levels.</t>
        </r>
      </text>
    </comment>
    <comment ref="B85" authorId="0" shapeId="0" xr:uid="{2EB7DF14-FE17-47C6-8088-F405C5A138FA}">
      <text>
        <r>
          <rPr>
            <b/>
            <sz val="9"/>
            <color indexed="81"/>
            <rFont val="Tahoma"/>
            <family val="2"/>
          </rPr>
          <t>Author:</t>
        </r>
        <r>
          <rPr>
            <sz val="9"/>
            <color indexed="81"/>
            <rFont val="Tahoma"/>
            <family val="2"/>
          </rPr>
          <t xml:space="preserve">
Advantage GO to see in percentage terms, it's a small business in percentage terms, growth from that business that should be materially higher than</t>
        </r>
      </text>
    </comment>
    <comment ref="C85" authorId="0" shapeId="0" xr:uid="{AECBB813-7DDC-45BE-A626-50B251975F34}">
      <text>
        <r>
          <rPr>
            <b/>
            <sz val="9"/>
            <color indexed="81"/>
            <rFont val="Tahoma"/>
            <family val="2"/>
          </rPr>
          <t>Author:</t>
        </r>
        <r>
          <rPr>
            <sz val="9"/>
            <color indexed="81"/>
            <rFont val="Tahoma"/>
            <family val="2"/>
          </rPr>
          <t xml:space="preserve">
Our InsurTech AdvantageGo closed a major deal with a global speciality reinsurer
to implement their new product, the underwriting workbench.</t>
        </r>
      </text>
    </comment>
    <comment ref="D85" authorId="0" shapeId="0" xr:uid="{DDB80D0D-9164-49A0-9718-218DD20995CB}">
      <text>
        <r>
          <rPr>
            <b/>
            <sz val="9"/>
            <color indexed="81"/>
            <rFont val="Tahoma"/>
            <family val="2"/>
          </rPr>
          <t>Author:</t>
        </r>
        <r>
          <rPr>
            <sz val="9"/>
            <color indexed="81"/>
            <rFont val="Tahoma"/>
            <family val="2"/>
          </rPr>
          <t xml:space="preserve">
won a large deal</t>
        </r>
      </text>
    </comment>
    <comment ref="E85" authorId="0" shapeId="0" xr:uid="{3C42D348-BD8A-4E90-B9BA-8D5FE74744F3}">
      <text>
        <r>
          <rPr>
            <b/>
            <sz val="9"/>
            <color indexed="81"/>
            <rFont val="Tahoma"/>
            <family val="2"/>
          </rPr>
          <t>Author:</t>
        </r>
        <r>
          <rPr>
            <sz val="9"/>
            <color indexed="81"/>
            <rFont val="Tahoma"/>
            <family val="2"/>
          </rPr>
          <t xml:space="preserve">
won a large deal</t>
        </r>
      </text>
    </comment>
    <comment ref="F85" authorId="0" shapeId="0" xr:uid="{6B061723-0611-4CCF-99AC-16EC6E8663BC}">
      <text>
        <r>
          <rPr>
            <b/>
            <sz val="9"/>
            <color indexed="81"/>
            <rFont val="Tahoma"/>
            <family val="2"/>
          </rPr>
          <t>Author:</t>
        </r>
        <r>
          <rPr>
            <sz val="9"/>
            <color indexed="81"/>
            <rFont val="Tahoma"/>
            <family val="2"/>
          </rPr>
          <t xml:space="preserve">
Our InsurTech AdvantageGo closed a major deal with a global speciality reinsurer
to implement their new product, the underwriting workbench.</t>
        </r>
      </text>
    </comment>
    <comment ref="G85" authorId="0" shapeId="0" xr:uid="{8FBC8205-847B-408D-AD31-CFBD59B3A211}">
      <text>
        <r>
          <rPr>
            <b/>
            <sz val="9"/>
            <color indexed="81"/>
            <rFont val="Tahoma"/>
            <family val="2"/>
          </rPr>
          <t>Author:</t>
        </r>
        <r>
          <rPr>
            <sz val="9"/>
            <color indexed="81"/>
            <rFont val="Tahoma"/>
            <family val="2"/>
          </rPr>
          <t xml:space="preserve">
Our InsurTech AdvantageGo closed a major deal with a global speciality reinsurer
to implement their new product, the underwriting workbench.</t>
        </r>
      </text>
    </comment>
    <comment ref="H85" authorId="0" shapeId="0" xr:uid="{60A2E7DF-E267-4BCE-9504-50CC1A9F682C}">
      <text>
        <r>
          <rPr>
            <b/>
            <sz val="9"/>
            <color indexed="81"/>
            <rFont val="Tahoma"/>
            <family val="2"/>
          </rPr>
          <t>Author:</t>
        </r>
        <r>
          <rPr>
            <sz val="9"/>
            <color indexed="81"/>
            <rFont val="Tahoma"/>
            <family val="2"/>
          </rPr>
          <t xml:space="preserve">
Our InsurTech AdvantageGo closed a major deal with a global speciality reinsurer
to implement their new product, the underwriting workbench.</t>
        </r>
      </text>
    </comment>
    <comment ref="I85" authorId="0" shapeId="0" xr:uid="{C7F23AE7-6006-453E-B3E0-87533F1C6E6A}">
      <text>
        <r>
          <rPr>
            <b/>
            <sz val="9"/>
            <color indexed="81"/>
            <rFont val="Tahoma"/>
            <family val="2"/>
          </rPr>
          <t>Author:</t>
        </r>
        <r>
          <rPr>
            <sz val="9"/>
            <color indexed="81"/>
            <rFont val="Tahoma"/>
            <family val="2"/>
          </rPr>
          <t xml:space="preserve">
Our InsurTech AdvantageGo closed a major deal with a global speciality reinsurer
to implement their new product, the underwriting workbench.</t>
        </r>
      </text>
    </comment>
    <comment ref="B86" authorId="0" shapeId="0" xr:uid="{8451C5EB-4FA1-4DD4-9AD6-428CD480A2E1}">
      <text>
        <r>
          <rPr>
            <b/>
            <sz val="9"/>
            <color indexed="81"/>
            <rFont val="Tahoma"/>
            <family val="2"/>
          </rPr>
          <t>Author:</t>
        </r>
        <r>
          <rPr>
            <sz val="9"/>
            <color indexed="81"/>
            <rFont val="Tahoma"/>
            <family val="2"/>
          </rPr>
          <t xml:space="preserve">
ittle bit over time to transition these deals in Q4, then growth in Q1</t>
        </r>
      </text>
    </comment>
    <comment ref="X92" authorId="0" shapeId="0" xr:uid="{42500467-C9CE-47DD-BF9D-E3EC244F8835}">
      <text>
        <r>
          <rPr>
            <b/>
            <sz val="9"/>
            <color indexed="81"/>
            <rFont val="Tahoma"/>
            <family val="2"/>
          </rPr>
          <t xml:space="preserve">Author:
</t>
        </r>
        <r>
          <rPr>
            <sz val="9"/>
            <color indexed="81"/>
            <rFont val="Tahoma"/>
            <family val="2"/>
          </rPr>
          <t>A large European bank ramped up well in the last 2-3 years; Coforge won a US$100 mn deal with a UK-centric Spanish bank a few years back.</t>
        </r>
      </text>
    </comment>
    <comment ref="A105" authorId="0" shapeId="0" xr:uid="{8999D01D-69F7-495F-8847-1AA0048CCA9A}">
      <text>
        <r>
          <rPr>
            <b/>
            <sz val="9"/>
            <color indexed="81"/>
            <rFont val="Tahoma"/>
            <family val="2"/>
          </rPr>
          <t>Author:</t>
        </r>
        <r>
          <rPr>
            <sz val="9"/>
            <color indexed="81"/>
            <rFont val="Tahoma"/>
            <family val="2"/>
          </rPr>
          <t xml:space="preserve">
Others primarily include Healthcare, Retail, Hi-Tech, Manufacturing and Public Sector</t>
        </r>
      </text>
    </comment>
    <comment ref="X107" authorId="0" shapeId="0" xr:uid="{79C9CA63-929F-4281-9F29-FD562CEA1494}">
      <text>
        <r>
          <rPr>
            <b/>
            <sz val="9"/>
            <color indexed="81"/>
            <rFont val="Tahoma"/>
            <family val="2"/>
          </rPr>
          <t>Author:</t>
        </r>
        <r>
          <rPr>
            <sz val="9"/>
            <color indexed="81"/>
            <rFont val="Tahoma"/>
            <family val="2"/>
          </rPr>
          <t xml:space="preserve">
Coforge can close a large deal in the vertical in next few quarters which will aid growth in FY2024 - Kotak conf</t>
        </r>
      </text>
    </comment>
    <comment ref="G131" authorId="0" shapeId="0" xr:uid="{0EBB9C07-E06D-4742-8419-59691227BC1B}">
      <text>
        <r>
          <rPr>
            <b/>
            <sz val="9"/>
            <color indexed="81"/>
            <rFont val="Tahoma"/>
            <family val="2"/>
          </rPr>
          <t>Author:</t>
        </r>
        <r>
          <rPr>
            <sz val="9"/>
            <color indexed="81"/>
            <rFont val="Tahoma"/>
            <family val="2"/>
          </rPr>
          <t xml:space="preserve">
wage impact 150bps</t>
        </r>
      </text>
    </comment>
    <comment ref="H131" authorId="0" shapeId="0" xr:uid="{F6542E6A-A270-40EC-8DD1-6CFF1B4E5B30}">
      <text>
        <r>
          <rPr>
            <b/>
            <sz val="9"/>
            <color indexed="81"/>
            <rFont val="Tahoma"/>
            <family val="2"/>
          </rPr>
          <t>Author:</t>
        </r>
        <r>
          <rPr>
            <sz val="9"/>
            <color indexed="81"/>
            <rFont val="Tahoma"/>
            <family val="2"/>
          </rPr>
          <t xml:space="preserve">
wage impact 150bps</t>
        </r>
      </text>
    </comment>
    <comment ref="I131" authorId="0" shapeId="0" xr:uid="{2D6F4E02-1A95-402E-8691-18F5FBEACA6A}">
      <text>
        <r>
          <rPr>
            <b/>
            <sz val="9"/>
            <color indexed="81"/>
            <rFont val="Tahoma"/>
            <family val="2"/>
          </rPr>
          <t>Author:</t>
        </r>
        <r>
          <rPr>
            <sz val="9"/>
            <color indexed="81"/>
            <rFont val="Tahoma"/>
            <family val="2"/>
          </rPr>
          <t xml:space="preserve">
wage impact 150bps</t>
        </r>
      </text>
    </comment>
    <comment ref="N131" authorId="0" shapeId="0" xr:uid="{8044C874-083F-4F39-AD5A-2F645395572E}">
      <text>
        <r>
          <rPr>
            <b/>
            <sz val="9"/>
            <color indexed="81"/>
            <rFont val="Tahoma"/>
            <family val="2"/>
          </rPr>
          <t>Author:</t>
        </r>
        <r>
          <rPr>
            <sz val="9"/>
            <color indexed="81"/>
            <rFont val="Tahoma"/>
            <family val="2"/>
          </rPr>
          <t xml:space="preserve">
Wage hike</t>
        </r>
      </text>
    </comment>
    <comment ref="G140" authorId="0" shapeId="0" xr:uid="{A9BF5131-2177-4CA9-8B30-D06979A6A116}">
      <text>
        <r>
          <rPr>
            <b/>
            <sz val="9"/>
            <color indexed="81"/>
            <rFont val="Tahoma"/>
            <family val="2"/>
          </rPr>
          <t>Author:</t>
        </r>
        <r>
          <rPr>
            <sz val="9"/>
            <color indexed="81"/>
            <rFont val="Tahoma"/>
            <family val="2"/>
          </rPr>
          <t xml:space="preserve">
wage hike</t>
        </r>
      </text>
    </comment>
    <comment ref="H140" authorId="0" shapeId="0" xr:uid="{ABD1F30D-2E16-4951-9D85-719422A5550B}">
      <text>
        <r>
          <rPr>
            <b/>
            <sz val="9"/>
            <color indexed="81"/>
            <rFont val="Tahoma"/>
            <family val="2"/>
          </rPr>
          <t>Author:</t>
        </r>
        <r>
          <rPr>
            <sz val="9"/>
            <color indexed="81"/>
            <rFont val="Tahoma"/>
            <family val="2"/>
          </rPr>
          <t xml:space="preserve">
wage hike</t>
        </r>
      </text>
    </comment>
    <comment ref="I140" authorId="0" shapeId="0" xr:uid="{FDBC0220-8B43-4D7B-8C3A-EE7A26286371}">
      <text>
        <r>
          <rPr>
            <b/>
            <sz val="9"/>
            <color indexed="81"/>
            <rFont val="Tahoma"/>
            <family val="2"/>
          </rPr>
          <t>Author:</t>
        </r>
        <r>
          <rPr>
            <sz val="9"/>
            <color indexed="81"/>
            <rFont val="Tahoma"/>
            <family val="2"/>
          </rPr>
          <t xml:space="preserve">
wage hike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 authorId="0" shapeId="0" xr:uid="{89762036-8491-49CC-A719-30AFC7248162}">
      <text>
        <r>
          <rPr>
            <b/>
            <sz val="9"/>
            <color indexed="81"/>
            <rFont val="Tahoma"/>
            <charset val="1"/>
          </rPr>
          <t>AI pricing deflation toggle. Type any value (e.g. -0.01 for -1%, -0.02 for -2%, -0.03 for -3%). All outputs below + 1-D table at I/J/K/L update live.</t>
        </r>
      </text>
    </comment>
    <comment ref="E6" authorId="0" shapeId="0" xr:uid="{8F73F2F7-CD75-4ABF-9E22-CD69B087E991}">
      <text>
        <r>
          <rPr>
            <b/>
            <sz val="9"/>
            <color indexed="81"/>
            <rFont val="Tahoma"/>
            <charset val="1"/>
          </rPr>
          <t>Author:</t>
        </r>
        <r>
          <rPr>
            <sz val="9"/>
            <color indexed="81"/>
            <rFont val="Tahoma"/>
            <charset val="1"/>
          </rPr>
          <t xml:space="preserve">
Target P/E pulled from Valuation!D9. Override here to flex valuation multiple independently.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0"/>
        </ext>
      </extLst>
    </bk>
    <bk>
      <extLst>
        <ext uri="{3e2802c4-a4d2-4d8b-9148-e3be6c30e623}">
          <xlrd:rvb i="12"/>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<sst xmlns="http://schemas.openxmlformats.org/spreadsheetml/2006/main" count="2134" uniqueCount="984">
  <si>
    <t>Mirae Asset Capital Markets</t>
  </si>
  <si>
    <t>Coforge</t>
  </si>
  <si>
    <t>Sector Name</t>
  </si>
  <si>
    <t>IT Services</t>
  </si>
  <si>
    <t>Analyst Name</t>
  </si>
  <si>
    <t>Ashis Dash</t>
  </si>
  <si>
    <t>Rhea Baid</t>
  </si>
  <si>
    <t>Contact Number</t>
  </si>
  <si>
    <t>022 6266 1300/+ 91 9545037868</t>
  </si>
  <si>
    <t>Email</t>
  </si>
  <si>
    <t>ashis.dash@miraeassetcm.com</t>
  </si>
  <si>
    <t>rhea.baid@miraeassetcm.com</t>
  </si>
  <si>
    <t>CMP</t>
  </si>
  <si>
    <t>No of shares (MN)</t>
  </si>
  <si>
    <t>Mkt Cap (Rs mn)</t>
  </si>
  <si>
    <t>Rs. Cr</t>
  </si>
  <si>
    <t>FY19</t>
  </si>
  <si>
    <t>FY20</t>
  </si>
  <si>
    <t>FY21</t>
  </si>
  <si>
    <t>FY22</t>
  </si>
  <si>
    <t>FY23</t>
  </si>
  <si>
    <t>FY24</t>
  </si>
  <si>
    <t>FY25</t>
  </si>
  <si>
    <t>FY26E</t>
  </si>
  <si>
    <t>FY27E</t>
  </si>
  <si>
    <t>FY28E</t>
  </si>
  <si>
    <t>FY29E</t>
  </si>
  <si>
    <t>Target PE</t>
  </si>
  <si>
    <t>USD revenue (mn)</t>
  </si>
  <si>
    <t>EPS</t>
  </si>
  <si>
    <t>TP</t>
  </si>
  <si>
    <t>Dividend</t>
  </si>
  <si>
    <t>Earnings and valuation metrics</t>
  </si>
  <si>
    <t>Calculated TP</t>
  </si>
  <si>
    <t>(YE Mar)</t>
  </si>
  <si>
    <t>FY26</t>
  </si>
  <si>
    <t>Upside</t>
  </si>
  <si>
    <t>Revenue (INR mn)</t>
  </si>
  <si>
    <t>Rating</t>
  </si>
  <si>
    <t>BUY</t>
  </si>
  <si>
    <t>Adjusted PAT (INR mn)</t>
  </si>
  <si>
    <t>EPS (Rs)</t>
  </si>
  <si>
    <t>PE (x)</t>
  </si>
  <si>
    <t>EV/EBITDA</t>
  </si>
  <si>
    <t>P/B (x)</t>
  </si>
  <si>
    <t>EV/Sales</t>
  </si>
  <si>
    <t>ROE (%)</t>
  </si>
  <si>
    <t>ROCE (%)</t>
  </si>
  <si>
    <t>NWC (days)</t>
  </si>
  <si>
    <t>Net gearing (x)</t>
  </si>
  <si>
    <t>EBITDA (INR mn)</t>
  </si>
  <si>
    <t>EBITDA margin (%)</t>
  </si>
  <si>
    <t>Sensex/Nifty</t>
  </si>
  <si>
    <t>79,273/ 24,577</t>
  </si>
  <si>
    <t>Bloomberg</t>
  </si>
  <si>
    <t>COFORGE IN</t>
  </si>
  <si>
    <t>Equity shares (mn)</t>
  </si>
  <si>
    <t>Old estimates</t>
  </si>
  <si>
    <t>Revised Estimates</t>
  </si>
  <si>
    <t>Change (%)</t>
  </si>
  <si>
    <t>52-wk High/Low</t>
  </si>
  <si>
    <t>Rs 1,396/ 1,085</t>
  </si>
  <si>
    <t>(INR mn)</t>
  </si>
  <si>
    <t>Face value</t>
  </si>
  <si>
    <t>Rs 1</t>
  </si>
  <si>
    <t>Revenue (USD mn)</t>
  </si>
  <si>
    <t>-</t>
  </si>
  <si>
    <t xml:space="preserve">M-Cap </t>
  </si>
  <si>
    <t>Rs 2,690bn/USD 28.9bn</t>
  </si>
  <si>
    <t>Revenue</t>
  </si>
  <si>
    <t>3-m Avg Turnover</t>
  </si>
  <si>
    <t>USD 55mn</t>
  </si>
  <si>
    <t>EBITDA</t>
  </si>
  <si>
    <t>EBIT</t>
  </si>
  <si>
    <t>PBT</t>
  </si>
  <si>
    <t>(%)</t>
  </si>
  <si>
    <t>Apr 26</t>
  </si>
  <si>
    <t>Dec 25</t>
  </si>
  <si>
    <t>Sep 25</t>
  </si>
  <si>
    <t>PAT</t>
  </si>
  <si>
    <t>Promoters</t>
  </si>
  <si>
    <t>EPS (INR)</t>
  </si>
  <si>
    <t>-Pledged</t>
  </si>
  <si>
    <t>FII</t>
  </si>
  <si>
    <t>DII</t>
  </si>
  <si>
    <t>Others</t>
  </si>
  <si>
    <t xml:space="preserve">Ke </t>
  </si>
  <si>
    <t>FY29 EPS</t>
  </si>
  <si>
    <t xml:space="preserve">Normalised Growth </t>
  </si>
  <si>
    <t>(FY27→28 is +29%, FY28→29 is +21%, and  normalised rate is ~15%),</t>
  </si>
  <si>
    <t>Exit multiple on FY29 EPS (x)</t>
  </si>
  <si>
    <t>Implied PEG (on 15%)</t>
  </si>
  <si>
    <t>12M target</t>
  </si>
  <si>
    <t>Fair value today</t>
  </si>
  <si>
    <t>% Change</t>
  </si>
  <si>
    <t xml:space="preserve">Exit PE discounted to get FY29 Multiple </t>
  </si>
  <si>
    <t>EPS FY29 (Normalised)</t>
  </si>
  <si>
    <t xml:space="preserve">FY28 PE Exit Multiple </t>
  </si>
  <si>
    <t xml:space="preserve">Discounted PE Exit Multiple </t>
  </si>
  <si>
    <t xml:space="preserve">Target Price </t>
  </si>
  <si>
    <t>E</t>
  </si>
  <si>
    <t>A</t>
  </si>
  <si>
    <t>Income Statement (Rs. mn)</t>
  </si>
  <si>
    <t>Q1FY13</t>
  </si>
  <si>
    <t>Q2FY13</t>
  </si>
  <si>
    <t>Q3FY13</t>
  </si>
  <si>
    <t>Q1FY18</t>
  </si>
  <si>
    <t>Q2FY18</t>
  </si>
  <si>
    <t>Q3FY18</t>
  </si>
  <si>
    <t>Q4FY18</t>
  </si>
  <si>
    <t>Q1FY19</t>
  </si>
  <si>
    <t>Q2FY19</t>
  </si>
  <si>
    <t>Q3FY19</t>
  </si>
  <si>
    <t>Q4FY19</t>
  </si>
  <si>
    <t>Q1FY20</t>
  </si>
  <si>
    <t>Q2FY20</t>
  </si>
  <si>
    <t>Q3FY20</t>
  </si>
  <si>
    <t>Q4FY20</t>
  </si>
  <si>
    <t>Q1FY21</t>
  </si>
  <si>
    <t>Q2FY21</t>
  </si>
  <si>
    <t>Q3FY21</t>
  </si>
  <si>
    <t>Q4FY21</t>
  </si>
  <si>
    <t>Q1FY22</t>
  </si>
  <si>
    <t>Q2FY22</t>
  </si>
  <si>
    <t>Q3FY22</t>
  </si>
  <si>
    <t>Q4FY22</t>
  </si>
  <si>
    <t>Q1FY23</t>
  </si>
  <si>
    <t>Q2FY23</t>
  </si>
  <si>
    <t>Q3FY23</t>
  </si>
  <si>
    <t>Q4FY23</t>
  </si>
  <si>
    <t>Q1FY24</t>
  </si>
  <si>
    <t>Q2FY24</t>
  </si>
  <si>
    <t>Q3FY24</t>
  </si>
  <si>
    <t>Q4FY24</t>
  </si>
  <si>
    <t>Q1FY25</t>
  </si>
  <si>
    <t>Q2FY25</t>
  </si>
  <si>
    <t>Q3FY25</t>
  </si>
  <si>
    <t>Q4FY25</t>
  </si>
  <si>
    <t>Q1FY26</t>
  </si>
  <si>
    <t>Q2FY26</t>
  </si>
  <si>
    <t>Q3FY26</t>
  </si>
  <si>
    <t>Q4FY26</t>
  </si>
  <si>
    <t>Q1FY27</t>
  </si>
  <si>
    <t>Q2FY27</t>
  </si>
  <si>
    <t>Q3FY27</t>
  </si>
  <si>
    <t>Q4FY27</t>
  </si>
  <si>
    <t>Q1FY28</t>
  </si>
  <si>
    <t>Q2FY28</t>
  </si>
  <si>
    <t>Q3FY28</t>
  </si>
  <si>
    <t>Q4FY28</t>
  </si>
  <si>
    <t>Q1FY29</t>
  </si>
  <si>
    <t>Q2FY29</t>
  </si>
  <si>
    <t>Q3FY29</t>
  </si>
  <si>
    <t>Q4FY29</t>
  </si>
  <si>
    <t>FY18</t>
  </si>
  <si>
    <t>FY27</t>
  </si>
  <si>
    <t>FY28</t>
  </si>
  <si>
    <t>FY29</t>
  </si>
  <si>
    <t>USD/INR</t>
  </si>
  <si>
    <t>Revenues ($ mn)</t>
  </si>
  <si>
    <t xml:space="preserve"> </t>
  </si>
  <si>
    <t>revenue growth Qoq (%)</t>
  </si>
  <si>
    <t>CC growth (%)</t>
  </si>
  <si>
    <t>Gross revenue</t>
  </si>
  <si>
    <t>Adjustment from Hedging Reserve</t>
  </si>
  <si>
    <t>Revenues in INR</t>
  </si>
  <si>
    <t>EXPENSES</t>
  </si>
  <si>
    <t>Direct expenses</t>
  </si>
  <si>
    <t>Tax</t>
  </si>
  <si>
    <t>Minority Interest</t>
  </si>
  <si>
    <t xml:space="preserve"> - employee cost %</t>
  </si>
  <si>
    <t>Selling / G&amp;A</t>
  </si>
  <si>
    <t xml:space="preserve"> - as % of revenues %</t>
  </si>
  <si>
    <t>Cost of ESOPS</t>
  </si>
  <si>
    <t>Acquisition related expenses</t>
  </si>
  <si>
    <t xml:space="preserve">One time bonus </t>
  </si>
  <si>
    <t>Total expenses</t>
  </si>
  <si>
    <t>% of revenue</t>
  </si>
  <si>
    <t>Adjusted EBITDA margin (%)</t>
  </si>
  <si>
    <t>Growth (%)</t>
  </si>
  <si>
    <t>Depreciation</t>
  </si>
  <si>
    <t>Amortisation of intangible assets</t>
  </si>
  <si>
    <t>Depreciation as % of revenue</t>
  </si>
  <si>
    <t>Other income</t>
  </si>
  <si>
    <t>Difference in Exchange</t>
  </si>
  <si>
    <t>Miscellaneous income</t>
  </si>
  <si>
    <t>Finance cost</t>
  </si>
  <si>
    <t>Exceptional item</t>
  </si>
  <si>
    <t>Tax provision</t>
  </si>
  <si>
    <t>Current tax</t>
  </si>
  <si>
    <t>MAT credit</t>
  </si>
  <si>
    <t>Deferred tax</t>
  </si>
  <si>
    <t>Effective Tax rate (%)</t>
  </si>
  <si>
    <t>Net profit</t>
  </si>
  <si>
    <t>discontinued operations</t>
  </si>
  <si>
    <t>Add: exceptional item</t>
  </si>
  <si>
    <t>Adjusted net profit</t>
  </si>
  <si>
    <t>NPM Margin (%)</t>
  </si>
  <si>
    <t>O/S (mn) Basic</t>
  </si>
  <si>
    <t>O/S (mn) Diluted</t>
  </si>
  <si>
    <t>EPS Basic</t>
  </si>
  <si>
    <t>Basic EPS Growth (%)</t>
  </si>
  <si>
    <t>Diluted EPS Growth (%)</t>
  </si>
  <si>
    <t>Gross margin (%)</t>
  </si>
  <si>
    <t>EBIT margin (%)</t>
  </si>
  <si>
    <t>Dividend tax (DDT)</t>
  </si>
  <si>
    <t>Total dividend</t>
  </si>
  <si>
    <t>DDT (%)</t>
  </si>
  <si>
    <t>DPS</t>
  </si>
  <si>
    <t>Buy back of equity shares</t>
  </si>
  <si>
    <t>Total payout</t>
  </si>
  <si>
    <t>Payout ratio (%)</t>
  </si>
  <si>
    <t>Interest income</t>
  </si>
  <si>
    <t>Cash &amp; cash equivalents</t>
  </si>
  <si>
    <t>Addition</t>
  </si>
  <si>
    <t>Rate</t>
  </si>
  <si>
    <t>Net gain on sale of investments</t>
  </si>
  <si>
    <t>Dividend income from equity investments designated at fair value</t>
  </si>
  <si>
    <t>Interest Income from financial assets at amortised cost</t>
  </si>
  <si>
    <t>Mutual funds</t>
  </si>
  <si>
    <t>Finance income</t>
  </si>
  <si>
    <t>Government incentives</t>
  </si>
  <si>
    <t>Gain on exchange fluctuations (net)</t>
  </si>
  <si>
    <t>Profit on sale of asset</t>
  </si>
  <si>
    <t>Liabilities no longer required written back</t>
  </si>
  <si>
    <t>Total other income</t>
  </si>
  <si>
    <t>Dividend per share</t>
  </si>
  <si>
    <t>Interim</t>
  </si>
  <si>
    <t>Final</t>
  </si>
  <si>
    <t>Special</t>
  </si>
  <si>
    <t>Amount (Rs. Mn)</t>
  </si>
  <si>
    <t>Investments</t>
  </si>
  <si>
    <t>Investment in Mutual Funds - Quoted</t>
  </si>
  <si>
    <t>Employee benefit expenses</t>
  </si>
  <si>
    <t>Salaries, wages and bonus</t>
  </si>
  <si>
    <t>Contribution to provident</t>
  </si>
  <si>
    <t>Employee share-based payment expense</t>
  </si>
  <si>
    <t>Gratuity</t>
  </si>
  <si>
    <t>Staff welfare expenses</t>
  </si>
  <si>
    <t>Total employee benefit expenses</t>
  </si>
  <si>
    <t>Salaries, wages and bonus as % of revenue</t>
  </si>
  <si>
    <t>Number of employees</t>
  </si>
  <si>
    <t>Cost per employee</t>
  </si>
  <si>
    <t>USD Revenue growth</t>
  </si>
  <si>
    <t>Depreciation expenses</t>
  </si>
  <si>
    <t>Depreciation of property, plant and equipment (Refer note 3)</t>
  </si>
  <si>
    <t>Depreciation of right of use assets (Refer note 35)</t>
  </si>
  <si>
    <t>Amortisation of intangible assets (Refer note 4)</t>
  </si>
  <si>
    <t>Total depreciation and amortization expense</t>
  </si>
  <si>
    <t>Depreciation of PPE as % of revenue</t>
  </si>
  <si>
    <t>Depreciation of RoU as % of revenue</t>
  </si>
  <si>
    <t>Depreciation of intangible assets as % of revenue</t>
  </si>
  <si>
    <t>Other expenses</t>
  </si>
  <si>
    <t>Rent [Refer note 37]</t>
  </si>
  <si>
    <t>Rates and taxes</t>
  </si>
  <si>
    <t>Electricity and water</t>
  </si>
  <si>
    <t>Communication expenses</t>
  </si>
  <si>
    <t>Legal and professional</t>
  </si>
  <si>
    <t>Payment to auditors [Refer note (a) below]</t>
  </si>
  <si>
    <t>Travelling and conveyance</t>
  </si>
  <si>
    <t>Recruitment expenses</t>
  </si>
  <si>
    <t>Insurance premium</t>
  </si>
  <si>
    <t>Repairs and maintenance</t>
  </si>
  <si>
    <t>- Plant and machinery</t>
  </si>
  <si>
    <t>- Buildings</t>
  </si>
  <si>
    <t>- Others</t>
  </si>
  <si>
    <t>Loss on exchange fluctuations (net)</t>
  </si>
  <si>
    <t>Allowance for doubtful debts - trade receivables and unbilled revenue</t>
  </si>
  <si>
    <t>Lease rentals</t>
  </si>
  <si>
    <t>Loss on sales of assets (net)</t>
  </si>
  <si>
    <t>Expenditure towards Corporate Social Responsibilities activities [Refer note (b) below]</t>
  </si>
  <si>
    <t>Advertisement and publicity expenses</t>
  </si>
  <si>
    <t>Business promotion expenses</t>
  </si>
  <si>
    <t>Professional charges</t>
  </si>
  <si>
    <t>Provision for customer contracts (net)</t>
  </si>
  <si>
    <t>Equipment hiring</t>
  </si>
  <si>
    <t>Consumables</t>
  </si>
  <si>
    <t>Other production expenses</t>
  </si>
  <si>
    <t>Miscellaneous expenses</t>
  </si>
  <si>
    <t>Total</t>
  </si>
  <si>
    <t>Finance costs</t>
  </si>
  <si>
    <t>Interest on borrowings not at fair value through profit or loss</t>
  </si>
  <si>
    <t>Other borrowing costs</t>
  </si>
  <si>
    <t>Bank and financial charges</t>
  </si>
  <si>
    <t>Unwinding of discounts on security deposits</t>
  </si>
  <si>
    <t>Unwinding of discounts on provisions</t>
  </si>
  <si>
    <t>OCF</t>
  </si>
  <si>
    <t>CFO before WC</t>
  </si>
  <si>
    <t>WC</t>
  </si>
  <si>
    <t>CFO after WC</t>
  </si>
  <si>
    <t>CFO</t>
  </si>
  <si>
    <t>Capex</t>
  </si>
  <si>
    <t>FCF</t>
  </si>
  <si>
    <t>OCF/NP</t>
  </si>
  <si>
    <t>OCF/EBITDA</t>
  </si>
  <si>
    <t>FCF/NP</t>
  </si>
  <si>
    <t>FCF/EBITDA</t>
  </si>
  <si>
    <t>Direct People Cost</t>
  </si>
  <si>
    <t>Third Party Cost</t>
  </si>
  <si>
    <t>Other Direct Cost</t>
  </si>
  <si>
    <t>Direct Costs</t>
  </si>
  <si>
    <t>Operating model (Rs. mn)</t>
  </si>
  <si>
    <t>FY15</t>
  </si>
  <si>
    <t>FY16</t>
  </si>
  <si>
    <t>FY17</t>
  </si>
  <si>
    <t xml:space="preserve">FY30 Target </t>
  </si>
  <si>
    <t>INR/US$</t>
  </si>
  <si>
    <t>Revenue Model</t>
  </si>
  <si>
    <t>Headcount</t>
  </si>
  <si>
    <t>Onsite</t>
  </si>
  <si>
    <t>Offshore</t>
  </si>
  <si>
    <t xml:space="preserve">Billable </t>
  </si>
  <si>
    <t>Sales and Development</t>
  </si>
  <si>
    <t>Gross addition</t>
  </si>
  <si>
    <t>Attrition</t>
  </si>
  <si>
    <t>Attrition %</t>
  </si>
  <si>
    <t>Net addition</t>
  </si>
  <si>
    <t>Headcount (as % of total)</t>
  </si>
  <si>
    <t>Total Billable</t>
  </si>
  <si>
    <t xml:space="preserve"> - Total headcount growth (qoq)</t>
  </si>
  <si>
    <t>Utilizaiton</t>
  </si>
  <si>
    <t>Utilization (incl trainees) - reported</t>
  </si>
  <si>
    <t>Utilization (excl trainees) - reported</t>
  </si>
  <si>
    <t>Utilization (Calculated)</t>
  </si>
  <si>
    <t>Onsite utilization</t>
  </si>
  <si>
    <t>Offshore utilization</t>
  </si>
  <si>
    <t>Blended utilization</t>
  </si>
  <si>
    <t>Billable Person Months</t>
  </si>
  <si>
    <t>- Onsite</t>
  </si>
  <si>
    <t>- Offshore</t>
  </si>
  <si>
    <t>Billed Person Months</t>
  </si>
  <si>
    <t>Billing rates - USD/ppm - Onsite</t>
  </si>
  <si>
    <t xml:space="preserve"> - growth %</t>
  </si>
  <si>
    <t>Billing rates - USD/ppm - Offshore</t>
  </si>
  <si>
    <t>Reported onsite revenues (US$m)</t>
  </si>
  <si>
    <t>Reported offshore revenues (US$m)</t>
  </si>
  <si>
    <t>Billing rates - USD/per hour - Onsite</t>
  </si>
  <si>
    <t>Billing rates - USD/per hour - Offshore</t>
  </si>
  <si>
    <t>Reported US$m revenues</t>
  </si>
  <si>
    <t>yoy growth (%)</t>
  </si>
  <si>
    <t>CC revenue</t>
  </si>
  <si>
    <t xml:space="preserve"> - growth % on CC</t>
  </si>
  <si>
    <t xml:space="preserve"> - growth % on CC yoy</t>
  </si>
  <si>
    <t>CC impact (bps) qoq</t>
  </si>
  <si>
    <t>CC impact in revenue ($ mn)</t>
  </si>
  <si>
    <t>CC revenue (yoy)</t>
  </si>
  <si>
    <t>CC impact (bps)</t>
  </si>
  <si>
    <t>Volume growth (% qoq)</t>
  </si>
  <si>
    <t>Reported INR revenues - Organic</t>
  </si>
  <si>
    <t>Cigniti revenue</t>
  </si>
  <si>
    <t>Reported INR revenues</t>
  </si>
  <si>
    <t>GDP Growth</t>
  </si>
  <si>
    <t>US</t>
  </si>
  <si>
    <t>Europe</t>
  </si>
  <si>
    <t>World</t>
  </si>
  <si>
    <t>IT spending</t>
  </si>
  <si>
    <t>Gartner</t>
  </si>
  <si>
    <t>IDC</t>
  </si>
  <si>
    <t>BFSI</t>
  </si>
  <si>
    <t>Travel</t>
  </si>
  <si>
    <t>Insurance</t>
  </si>
  <si>
    <t>Retail</t>
  </si>
  <si>
    <t>Vertical wise</t>
  </si>
  <si>
    <t>qoq growth (%)</t>
  </si>
  <si>
    <t>% of total revenue</t>
  </si>
  <si>
    <t>qoq CC growth (%)</t>
  </si>
  <si>
    <t>New Acquisition Revenue</t>
  </si>
  <si>
    <t>Total revenues ($ mn)</t>
  </si>
  <si>
    <t>Growth</t>
  </si>
  <si>
    <t>Cigniti</t>
  </si>
  <si>
    <t>Encora</t>
  </si>
  <si>
    <t xml:space="preserve">New Acquisitions </t>
  </si>
  <si>
    <t>Cost Model</t>
  </si>
  <si>
    <t>Employee Benefit Expenses</t>
  </si>
  <si>
    <t>as % of revenues</t>
  </si>
  <si>
    <t>Direct Expenses</t>
  </si>
  <si>
    <t>Average monthly salary (onsite) USD</t>
  </si>
  <si>
    <t>Salary hike - onsite (%)</t>
  </si>
  <si>
    <t>Average monthly salary (offshore) Rs.</t>
  </si>
  <si>
    <t>Salary hike - Offshore (%)</t>
  </si>
  <si>
    <t>Onsite employee cost (Rs mn)</t>
  </si>
  <si>
    <t>Offshore employee cost (Rs.mn)</t>
  </si>
  <si>
    <t>Other direct costs</t>
  </si>
  <si>
    <t>Acquisition related expenses &amp; costs of ESOPs</t>
  </si>
  <si>
    <t>Margins</t>
  </si>
  <si>
    <t>EBIT margin</t>
  </si>
  <si>
    <t>FY30</t>
  </si>
  <si>
    <t>Balancesheet (Rs. mn)</t>
  </si>
  <si>
    <t>EQUITY AND LIABILITIES</t>
  </si>
  <si>
    <t>Share capital</t>
  </si>
  <si>
    <t>Reserves and surplus</t>
  </si>
  <si>
    <t>Total equity</t>
  </si>
  <si>
    <t>Non controlling interests</t>
  </si>
  <si>
    <t>NON-CURRENT LIABILITIES</t>
  </si>
  <si>
    <t>Bank Borrowings</t>
  </si>
  <si>
    <t>Trade payables</t>
  </si>
  <si>
    <t>Other financial liabilities</t>
  </si>
  <si>
    <t>Provisions</t>
  </si>
  <si>
    <t>Deferred tax liabilities (net)</t>
  </si>
  <si>
    <t>Other non-current liabilities</t>
  </si>
  <si>
    <t>Lease liabilities</t>
  </si>
  <si>
    <t>Future Acquisition Liability</t>
  </si>
  <si>
    <t>Employee benefit obligations</t>
  </si>
  <si>
    <t>Liabilities directly associated with the assets classified as held for sale</t>
  </si>
  <si>
    <t>Total Non-current liabilities</t>
  </si>
  <si>
    <t>CURRENT LIABILITIES</t>
  </si>
  <si>
    <t>Other current liabilities</t>
  </si>
  <si>
    <t>Short-term borrowings</t>
  </si>
  <si>
    <t>Income tax liabilities (net)</t>
  </si>
  <si>
    <t>Total Current liabilities</t>
  </si>
  <si>
    <t>Liabilities directly associated with assets held for sale</t>
  </si>
  <si>
    <t>Total Equity and Liabilities</t>
  </si>
  <si>
    <t>ASSETS</t>
  </si>
  <si>
    <t>NON-CURRENT ASSETS</t>
  </si>
  <si>
    <t>Fixed assets</t>
  </si>
  <si>
    <t>Tangible assets</t>
  </si>
  <si>
    <t>Right use of asset</t>
  </si>
  <si>
    <t>Capital work-in-progress</t>
  </si>
  <si>
    <t>Goodwill on consolidation</t>
  </si>
  <si>
    <t>Intangible assets</t>
  </si>
  <si>
    <t>Intangible assets under development</t>
  </si>
  <si>
    <t>Financial assets</t>
  </si>
  <si>
    <t>Trade receivables</t>
  </si>
  <si>
    <t>Other financial assets</t>
  </si>
  <si>
    <t>Deferred tax assets</t>
  </si>
  <si>
    <t>Other non-current assets</t>
  </si>
  <si>
    <t>Assets classified as held for sale</t>
  </si>
  <si>
    <t>Income tax assets (net)</t>
  </si>
  <si>
    <t>Total Non-current assets</t>
  </si>
  <si>
    <t>CURRENT ASSETS</t>
  </si>
  <si>
    <t>Inventories</t>
  </si>
  <si>
    <t>Current investments</t>
  </si>
  <si>
    <t>Trade receivable</t>
  </si>
  <si>
    <t>Cash and cash equivalents</t>
  </si>
  <si>
    <t>Other bank balances</t>
  </si>
  <si>
    <t>Current tax assets (net)</t>
  </si>
  <si>
    <t>Other assets</t>
  </si>
  <si>
    <t>Unbilled receivables</t>
  </si>
  <si>
    <t>Contract assets</t>
  </si>
  <si>
    <t>Total Current assets</t>
  </si>
  <si>
    <t xml:space="preserve">Assets held for sale </t>
  </si>
  <si>
    <t>Total Assets</t>
  </si>
  <si>
    <t>Check</t>
  </si>
  <si>
    <t>capex/sales</t>
  </si>
  <si>
    <t>% of tangible assets</t>
  </si>
  <si>
    <t>% of right-of-use assets</t>
  </si>
  <si>
    <t>Amortisation</t>
  </si>
  <si>
    <t>% of intangible assets</t>
  </si>
  <si>
    <t>Total Depreciation</t>
  </si>
  <si>
    <t>Inerest cost</t>
  </si>
  <si>
    <t>Gross debt (incld. Leases)</t>
  </si>
  <si>
    <t>interest rate (%)</t>
  </si>
  <si>
    <t>Debt</t>
  </si>
  <si>
    <t>Gross Tangible block (beginning of year)</t>
  </si>
  <si>
    <t>Gross tangible block (closing of year)</t>
  </si>
  <si>
    <t>Accumulated depreciation (beginning of year)</t>
  </si>
  <si>
    <t>Accumulated depreciation (closing of year)</t>
  </si>
  <si>
    <t>Tangible net block (closing of year)</t>
  </si>
  <si>
    <t>Right-of-use assets</t>
  </si>
  <si>
    <t>Right-of-use assets (closing of year)</t>
  </si>
  <si>
    <t>Right-of-use assets net block (closing of year)</t>
  </si>
  <si>
    <t>Gross Intangible block (beginning of year)</t>
  </si>
  <si>
    <t>Gross Intangible block (closing of year)</t>
  </si>
  <si>
    <t xml:space="preserve">Capex as a % of revenues </t>
  </si>
  <si>
    <t>Goodwill</t>
  </si>
  <si>
    <t>opening</t>
  </si>
  <si>
    <t>End</t>
  </si>
  <si>
    <t>Accumulated amortization (beginning of year)</t>
  </si>
  <si>
    <t>Accumulated amortization (closing of year)</t>
  </si>
  <si>
    <t>Less: Assets held for sale</t>
  </si>
  <si>
    <t>Intangible net block (closing of year)</t>
  </si>
  <si>
    <t>DSO</t>
  </si>
  <si>
    <t>DSO (including unbilled receivables)</t>
  </si>
  <si>
    <t>Creditor Days</t>
  </si>
  <si>
    <t>Trade payable</t>
  </si>
  <si>
    <t>OPEX</t>
  </si>
  <si>
    <t>Creditor days</t>
  </si>
  <si>
    <t>Debtor days</t>
  </si>
  <si>
    <t>Net current asset</t>
  </si>
  <si>
    <t>Reserves and Surplus</t>
  </si>
  <si>
    <t>Capital reserves</t>
  </si>
  <si>
    <t>Capital redemption reserve</t>
  </si>
  <si>
    <t>Securities premium reserve</t>
  </si>
  <si>
    <t>Share options outstanding account</t>
  </si>
  <si>
    <t>General reserve</t>
  </si>
  <si>
    <t>Retained earnings</t>
  </si>
  <si>
    <t>Cash Flow Hedging Reserve</t>
  </si>
  <si>
    <t>Foreign Currency Translation Reserve</t>
  </si>
  <si>
    <t>Total reserves and surplus</t>
  </si>
  <si>
    <t>Retained Earnings</t>
  </si>
  <si>
    <t>Opening Balance</t>
  </si>
  <si>
    <t>Net profit for the period</t>
  </si>
  <si>
    <t>Less: Other comprehensive income</t>
  </si>
  <si>
    <t>Add: Tax benefit on share based payment</t>
  </si>
  <si>
    <t>Loss on closer of Subsidary</t>
  </si>
  <si>
    <t>Less: Appropriations</t>
  </si>
  <si>
    <t>Decrease due to buy back of equity shares including transaction cost</t>
  </si>
  <si>
    <t>Dividend paid</t>
  </si>
  <si>
    <t>Corporate dividend tax on above</t>
  </si>
  <si>
    <t>Fair valuation impact on future acquisition liability</t>
  </si>
  <si>
    <t>Transferred to general reserve</t>
  </si>
  <si>
    <t>Closing Balance</t>
  </si>
  <si>
    <t>Term loans</t>
  </si>
  <si>
    <t>From Banks</t>
  </si>
  <si>
    <t>Listed, Rated, Redeemable, Non-Convertible Bonds</t>
  </si>
  <si>
    <t>From Financial Institutions</t>
  </si>
  <si>
    <t>Obligations under finance leases</t>
  </si>
  <si>
    <t>Current - from bank</t>
  </si>
  <si>
    <t>Current maturities of long term debt</t>
  </si>
  <si>
    <t>Current maturities of finance lease obligations</t>
  </si>
  <si>
    <t>Total borrowings</t>
  </si>
  <si>
    <t>The Company may redeem the whole or any part of the Bonds on the first Interest Reset Date i.e. April 26, 2024 or anytime thereafter.</t>
  </si>
  <si>
    <t>Interest reset will occur on the dates falling three years and four years from the Deemed Date of Allotment.</t>
  </si>
  <si>
    <t>If the Security Trigger occurs on a date falling on or prior to the date falling three years from the Deemed Date of Allotment- 7.49%-8.39%. In other case if the security trigger does not occur- 8.39%- 9.34%.</t>
  </si>
  <si>
    <t>Cashflow (Rs. mn)</t>
  </si>
  <si>
    <t>FY13</t>
  </si>
  <si>
    <t>FY14</t>
  </si>
  <si>
    <t>Cash flow from operating activities</t>
  </si>
  <si>
    <t>Profit before tax</t>
  </si>
  <si>
    <t>Adjustments for</t>
  </si>
  <si>
    <t>Depreciation and amortisation</t>
  </si>
  <si>
    <t>Impairment of goodwill</t>
  </si>
  <si>
    <t>Loss on disposal of property, plant and equipment (net)</t>
  </si>
  <si>
    <t>Interest and finance charges</t>
  </si>
  <si>
    <t>Provision for customer contracts written back</t>
  </si>
  <si>
    <t>Provision for doubtful debts &amp; unbilled revenue (including exceptional) (net)</t>
  </si>
  <si>
    <t>Dividend and interest income classified as investing cash flows</t>
  </si>
  <si>
    <t>Interest income from financial assets at amortised cost</t>
  </si>
  <si>
    <t>Gain on closure of subsidiary</t>
  </si>
  <si>
    <t>Gain on sale of investments</t>
  </si>
  <si>
    <t>Unrealized loss / (gain) on fair valuation of current investments</t>
  </si>
  <si>
    <t>Unwinding of discount- Finance Income</t>
  </si>
  <si>
    <t>Unwinding of discount- Finance Cost</t>
  </si>
  <si>
    <t>Utilization of the rent equalisation reserve</t>
  </si>
  <si>
    <t>Other non-current  assets</t>
  </si>
  <si>
    <t>changes in contingent consideration payable on business combination</t>
  </si>
  <si>
    <t>(Gain)/loss on discontinued operations</t>
  </si>
  <si>
    <t>Operating profit before working capital changes</t>
  </si>
  <si>
    <t>Changes in working capital</t>
  </si>
  <si>
    <t>(Increase)/decrease in trade receivables</t>
  </si>
  <si>
    <t>(Increase)/Decrease in inventories</t>
  </si>
  <si>
    <t>(Increase)/decrease in Other financial assets</t>
  </si>
  <si>
    <t>(Increase)/decrease in Other assets</t>
  </si>
  <si>
    <t>Increase/(Decrease) in provisions</t>
  </si>
  <si>
    <t>Increase/(decrease) in trade &amp; other payables</t>
  </si>
  <si>
    <t>Other liabilities</t>
  </si>
  <si>
    <t>(Increase)/decrease in unbilled receivables</t>
  </si>
  <si>
    <t>(Increase)/decrease in loan</t>
  </si>
  <si>
    <t>(Increase)/decrease in inventories</t>
  </si>
  <si>
    <t>Increase/(decrease) in other financial liabilities</t>
  </si>
  <si>
    <t>Provisions and employee benefit obligations</t>
  </si>
  <si>
    <t>Net (Increase)/decrease in working capital</t>
  </si>
  <si>
    <t>Cash generated from operations</t>
  </si>
  <si>
    <t>Direct taxes paid</t>
  </si>
  <si>
    <t>Net cash from operating activities before extraordinary items</t>
  </si>
  <si>
    <t>Cash flow from investing activities</t>
  </si>
  <si>
    <t>Purchase of property, plant and equipment and intangible assets</t>
  </si>
  <si>
    <t>Proceeds from sale of property, plant and equipment and intangible assets</t>
  </si>
  <si>
    <t>Purchase of additional stake in subsidiaries/ business acquisition</t>
  </si>
  <si>
    <t>Payment for business acquisition, net of cash acquired (2.09) (refer note 6)</t>
  </si>
  <si>
    <t>Purchase of subsidiaries</t>
  </si>
  <si>
    <t>Distribution on closure of subsidiary</t>
  </si>
  <si>
    <t>Purchase of current investments</t>
  </si>
  <si>
    <t>Proceeds from sale of current investments</t>
  </si>
  <si>
    <t>Dividends received</t>
  </si>
  <si>
    <t>Interest received</t>
  </si>
  <si>
    <t>Re-investment of dividend</t>
  </si>
  <si>
    <t>Investments in bank deposits</t>
  </si>
  <si>
    <t>Redemption / maturity of bank deposits</t>
  </si>
  <si>
    <t>Net cash used in investing activities</t>
  </si>
  <si>
    <t>Cash flow from financing activities</t>
  </si>
  <si>
    <t>Payment for buy back of own equity shares (including taxes)</t>
  </si>
  <si>
    <t>Proceeds of premium from issue of share capital</t>
  </si>
  <si>
    <t>Proceeds from term loan</t>
  </si>
  <si>
    <t>Repayment of term loan</t>
  </si>
  <si>
    <t>Cash paid for principal portion of lease liabilities</t>
  </si>
  <si>
    <t>Interest paid</t>
  </si>
  <si>
    <t>Dividends paid to the Company’s shareholders</t>
  </si>
  <si>
    <t>Purchase of additional stake in subsidiary</t>
  </si>
  <si>
    <t>Dividends paid to the NCI</t>
  </si>
  <si>
    <t>Net cash from financing activities</t>
  </si>
  <si>
    <t>Exchange differences on translation of foreign currency cash and cash equivalents</t>
  </si>
  <si>
    <t>Net increase in cash and cash equivalents</t>
  </si>
  <si>
    <t>Cash and cash equivalents at beginning of the year</t>
  </si>
  <si>
    <t>Cash and cash equivalents at the end of the year</t>
  </si>
  <si>
    <t>FCF per share</t>
  </si>
  <si>
    <t>FCF yield</t>
  </si>
  <si>
    <t>OCF/Net profit</t>
  </si>
  <si>
    <t>FCF/Net profit</t>
  </si>
  <si>
    <t>FCF/OCF</t>
  </si>
  <si>
    <t>Free Cash Flow</t>
  </si>
  <si>
    <t xml:space="preserve">Increase / Decrease in Fixed Assets </t>
  </si>
  <si>
    <t>Debt raised / repaid</t>
  </si>
  <si>
    <t>Interest Paid</t>
  </si>
  <si>
    <t>FCFE</t>
  </si>
  <si>
    <t>FCFF</t>
  </si>
  <si>
    <t>FCF as a % of EBITDA</t>
  </si>
  <si>
    <t>FCF as a % of Net Profit</t>
  </si>
  <si>
    <t>qoq % change</t>
  </si>
  <si>
    <t xml:space="preserve">yoy % Change </t>
  </si>
  <si>
    <t>INR growth (ex TTH)</t>
  </si>
  <si>
    <t>CC growth (ex TTH)</t>
  </si>
  <si>
    <t>Inorganic revenues ($ mn)</t>
  </si>
  <si>
    <t>Organic revenues ($ mn)</t>
  </si>
  <si>
    <t>yoy % Change</t>
  </si>
  <si>
    <t>CC revenues ($ mn)</t>
  </si>
  <si>
    <t>Executable OB growth</t>
  </si>
  <si>
    <t>Digital</t>
  </si>
  <si>
    <t>Digital as % of total revenue</t>
  </si>
  <si>
    <t>Product and IP based revenue</t>
  </si>
  <si>
    <t>Revenue mix by vertical (%)</t>
  </si>
  <si>
    <t>Banking and Financial Services (BFS)</t>
  </si>
  <si>
    <t>Travel, Transportation and Hospitality (TTH)</t>
  </si>
  <si>
    <t>Healthcare &amp; HiTech</t>
  </si>
  <si>
    <t xml:space="preserve">Government (Overseas) </t>
  </si>
  <si>
    <t>Revenue mix by Geography (%)</t>
  </si>
  <si>
    <t>Americas</t>
  </si>
  <si>
    <t>EMEA</t>
  </si>
  <si>
    <t>Rest of World</t>
  </si>
  <si>
    <t>India</t>
  </si>
  <si>
    <t>Revenue mix by services (%)</t>
  </si>
  <si>
    <t>Product Engineering</t>
  </si>
  <si>
    <t>Intelligent Automation</t>
  </si>
  <si>
    <t>Data and Integration</t>
  </si>
  <si>
    <t>Cloud and Infrastructure Management (CIMS)</t>
  </si>
  <si>
    <t>Application Development and Maintenance (ADM)</t>
  </si>
  <si>
    <t>Business Process Management (BPM)</t>
  </si>
  <si>
    <t>Revenue mix by location (%)</t>
  </si>
  <si>
    <t>Revenue mix by project type (%)</t>
  </si>
  <si>
    <t>Fixed Price</t>
  </si>
  <si>
    <t>Time &amp; Materials</t>
  </si>
  <si>
    <t>Vertical revenue contribution ($ mn)</t>
  </si>
  <si>
    <t>Government (Overseas)</t>
  </si>
  <si>
    <t>QoQ growth</t>
  </si>
  <si>
    <t>YoY growth</t>
  </si>
  <si>
    <t>Ex travel</t>
  </si>
  <si>
    <t>Ex insurance</t>
  </si>
  <si>
    <t>Service revenue contribution ($ mn)</t>
  </si>
  <si>
    <t>Restated Service revenue contribution ($ mn)</t>
  </si>
  <si>
    <t>Engineering</t>
  </si>
  <si>
    <t>Geography revenue contribution ($ mn)</t>
  </si>
  <si>
    <t>Revenue mix by delivery location (Rs. mn)</t>
  </si>
  <si>
    <t>Revenue mix by project type (Rs. mn)</t>
  </si>
  <si>
    <t>Client Profile</t>
  </si>
  <si>
    <t>New clients wins</t>
  </si>
  <si>
    <t>Repeat Business %</t>
  </si>
  <si>
    <t>$ 10 million revenues</t>
  </si>
  <si>
    <t>RESTATED</t>
  </si>
  <si>
    <t>$ 5 million revenues</t>
  </si>
  <si>
    <t>METRICS</t>
  </si>
  <si>
    <t>$ 1 million revenues</t>
  </si>
  <si>
    <t>Client concentration (%)</t>
  </si>
  <si>
    <t>Top 5</t>
  </si>
  <si>
    <t>Top 10</t>
  </si>
  <si>
    <t>Top 20</t>
  </si>
  <si>
    <t>Clients 6-10</t>
  </si>
  <si>
    <t>Non-top</t>
  </si>
  <si>
    <t>Client revenue</t>
  </si>
  <si>
    <t>Non-top 10</t>
  </si>
  <si>
    <t>Client Revenue (on LTM basis)</t>
  </si>
  <si>
    <t>YoY growth (on LTM basis)</t>
  </si>
  <si>
    <t>Employee Statistics</t>
  </si>
  <si>
    <t>Total Headcount</t>
  </si>
  <si>
    <t>Temporary/contractual/casual basis- employees</t>
  </si>
  <si>
    <t>Fresher</t>
  </si>
  <si>
    <t>Net addition in IT business</t>
  </si>
  <si>
    <t>Onsite - billable</t>
  </si>
  <si>
    <t>- Technology Services</t>
  </si>
  <si>
    <t>- BPO Services</t>
  </si>
  <si>
    <t>Offshore - billable</t>
  </si>
  <si>
    <t>Billable Personnel</t>
  </si>
  <si>
    <t>IT</t>
  </si>
  <si>
    <t>BPS</t>
  </si>
  <si>
    <t>IT qoq</t>
  </si>
  <si>
    <t>BPS qoq</t>
  </si>
  <si>
    <t>Total billable headcount</t>
  </si>
  <si>
    <t>Sales and marketing resources</t>
  </si>
  <si>
    <t>Utilisation (Including Trainees)</t>
  </si>
  <si>
    <t>Utilisation (ex Trainees)</t>
  </si>
  <si>
    <t>Voluntary Attrition % (LTM)</t>
  </si>
  <si>
    <t>Unbilled DSO</t>
  </si>
  <si>
    <t>DSO contract assets</t>
  </si>
  <si>
    <t>Exchange rate (USD/INR)</t>
  </si>
  <si>
    <t>Period Closing</t>
  </si>
  <si>
    <t>Period Average</t>
  </si>
  <si>
    <t>Segment revenue (Rs. Mn)</t>
  </si>
  <si>
    <t>Asia Pacific</t>
  </si>
  <si>
    <t>RoW</t>
  </si>
  <si>
    <t>Total segment revenue</t>
  </si>
  <si>
    <t>Segment results</t>
  </si>
  <si>
    <t>ROW</t>
  </si>
  <si>
    <t>Total segment result</t>
  </si>
  <si>
    <t>EBITDA Margins</t>
  </si>
  <si>
    <t>Total margin</t>
  </si>
  <si>
    <t>Revenue per employee per year</t>
  </si>
  <si>
    <t>Employee cost per employee</t>
  </si>
  <si>
    <t>TCVs - Direct international</t>
  </si>
  <si>
    <t>TCVs ($ mn) - Executable Order Book over Next 12 Months</t>
  </si>
  <si>
    <t>Growth q-o-q (%)</t>
  </si>
  <si>
    <t>Growth y-o-y (%)</t>
  </si>
  <si>
    <t>1 yr back TCV/revenue</t>
  </si>
  <si>
    <t>Book-to-Bill (fresh order intake)</t>
  </si>
  <si>
    <t>`</t>
  </si>
  <si>
    <t>SLK orderbook</t>
  </si>
  <si>
    <t>Fresh Order Intake</t>
  </si>
  <si>
    <t>TCV TTM</t>
  </si>
  <si>
    <t>Large deals</t>
  </si>
  <si>
    <t>$50m deals wins</t>
  </si>
  <si>
    <t>$30m deals wins</t>
  </si>
  <si>
    <t>BFS</t>
  </si>
  <si>
    <t>Large deal ($50 mn)</t>
  </si>
  <si>
    <t>Large deal ($30 mn)</t>
  </si>
  <si>
    <t>2 Large deal ($50 mn &amp; $30 mn)</t>
  </si>
  <si>
    <t>BPM</t>
  </si>
  <si>
    <t>Large deal ($20 mn)</t>
  </si>
  <si>
    <t>Data Center</t>
  </si>
  <si>
    <t>Healthcare</t>
  </si>
  <si>
    <t xml:space="preserve">Retail </t>
  </si>
  <si>
    <t>Cash and cash equivalents (Rs. mn)</t>
  </si>
  <si>
    <t>Cash ($mn)</t>
  </si>
  <si>
    <t>Financial Ratios</t>
  </si>
  <si>
    <t>Revenue (USD)</t>
  </si>
  <si>
    <t>Net sales</t>
  </si>
  <si>
    <t>Reported Net profit</t>
  </si>
  <si>
    <t>Adj. Net profit</t>
  </si>
  <si>
    <t>Adj. EPS (Basic)</t>
  </si>
  <si>
    <t>Adj. EPS (Diluted)</t>
  </si>
  <si>
    <t>Expenditure analysis</t>
  </si>
  <si>
    <t>CoGS/Total Income</t>
  </si>
  <si>
    <t>Personnel Cost/Total Income</t>
  </si>
  <si>
    <t>Other expenses/Total Income</t>
  </si>
  <si>
    <t>Interest cost/Total Income</t>
  </si>
  <si>
    <t>Depreciation/Total Income</t>
  </si>
  <si>
    <t>Operating ratios</t>
  </si>
  <si>
    <t>Net margin adj (%)</t>
  </si>
  <si>
    <t>Effective tax rate (%)</t>
  </si>
  <si>
    <t>Efficiency ratios</t>
  </si>
  <si>
    <t xml:space="preserve">ROE (%) Tangibles </t>
  </si>
  <si>
    <t>ROA (%)</t>
  </si>
  <si>
    <t>ROIC (%)</t>
  </si>
  <si>
    <t>Asset turnover (x)</t>
  </si>
  <si>
    <t>Gross Asset Turnover</t>
  </si>
  <si>
    <t>Net Asset Turnover</t>
  </si>
  <si>
    <t>Op. cash/EBIT (x)</t>
  </si>
  <si>
    <t>Acounts receivable days</t>
  </si>
  <si>
    <t>Inventory days</t>
  </si>
  <si>
    <t>Acounts payable days</t>
  </si>
  <si>
    <t>DSO (reported)</t>
  </si>
  <si>
    <t>WC days</t>
  </si>
  <si>
    <t>WC days (ex cash and current assets)</t>
  </si>
  <si>
    <t xml:space="preserve">Cash conversion cycle </t>
  </si>
  <si>
    <t>Du Pont Analysis</t>
  </si>
  <si>
    <t>PAT Margin (%)</t>
  </si>
  <si>
    <t>Asset Turnover (X)</t>
  </si>
  <si>
    <t>Leverage (X)</t>
  </si>
  <si>
    <t>RoE (DuPont, %)</t>
  </si>
  <si>
    <t>Levarage ratios</t>
  </si>
  <si>
    <t>Debt/Equity</t>
  </si>
  <si>
    <t>Net Debt/Equity (%)</t>
  </si>
  <si>
    <t>Interest/ AVG total debt</t>
  </si>
  <si>
    <t>Working capital</t>
  </si>
  <si>
    <t>WC ex Cash and Current investments</t>
  </si>
  <si>
    <t>WC Turnover</t>
  </si>
  <si>
    <t>WC/sales (ex. Cash and current investments)</t>
  </si>
  <si>
    <t>Interest cover</t>
  </si>
  <si>
    <t>Per share (Rs)</t>
  </si>
  <si>
    <t>EPS (Rs.)</t>
  </si>
  <si>
    <t>CEPS (Rs.)</t>
  </si>
  <si>
    <t xml:space="preserve">BVPS (Rs.) </t>
  </si>
  <si>
    <t>OCFS (Rs.)</t>
  </si>
  <si>
    <t>FCFPS (Rs.)</t>
  </si>
  <si>
    <t>DPS (Rs.)</t>
  </si>
  <si>
    <t>Valuation (at current market price)</t>
  </si>
  <si>
    <t>PER (x)</t>
  </si>
  <si>
    <t xml:space="preserve">P/CEPS (x) </t>
  </si>
  <si>
    <t>P/BV (x)</t>
  </si>
  <si>
    <t>P/FCFF</t>
  </si>
  <si>
    <t>EV/Net Sales  (x)</t>
  </si>
  <si>
    <t>EV/EBITDA (x)</t>
  </si>
  <si>
    <t>EV/EBIT (x)</t>
  </si>
  <si>
    <t>Market cap/Sales (x)</t>
  </si>
  <si>
    <t>Debt/Equity (x)</t>
  </si>
  <si>
    <t>Dividend Yield</t>
  </si>
  <si>
    <t>Dividend payout</t>
  </si>
  <si>
    <t>Fully diluted shares (mn)</t>
  </si>
  <si>
    <t>Market Capitalisation (Rs. Mn)</t>
  </si>
  <si>
    <t>Leases</t>
  </si>
  <si>
    <t>Net debt</t>
  </si>
  <si>
    <t>Enterprise Value</t>
  </si>
  <si>
    <t xml:space="preserve">Encora US Holdco, Inc. and Encora Holdings Ltd. (Cayman) (collectively, the “Target Companies”), Encora Holdco Ltd. (UK) and AI Altius Parent (Cayman) Limited </t>
  </si>
  <si>
    <t>share swap arrangement with the Company, whereby 9,37,96,508 shall be created, issued, offered and allotted to the Investors at a price of INR 1,815.91/-</t>
  </si>
  <si>
    <t xml:space="preserve">equivalent to 21.25% of the post-issue equity share capital (including Cigniti merger) of the Company at a price of INR 1,815.91/- </t>
  </si>
  <si>
    <t>share aggregating to INR 1,70,32,60,16,842/</t>
  </si>
  <si>
    <t>Shares to be issues (mn)</t>
  </si>
  <si>
    <t>Price (INR)</t>
  </si>
  <si>
    <t>Value (INR mn)</t>
  </si>
  <si>
    <t>Consolidated revenue</t>
  </si>
  <si>
    <t>Margin</t>
  </si>
  <si>
    <t>17-19%</t>
  </si>
  <si>
    <t>Enterprise value ($ bn)</t>
  </si>
  <si>
    <t>Equity ($ bn)</t>
  </si>
  <si>
    <t>Shares to be issued</t>
  </si>
  <si>
    <t>EV/ revenue</t>
  </si>
  <si>
    <t>Coforge outstanding share</t>
  </si>
  <si>
    <t>Before Cigniti open offer</t>
  </si>
  <si>
    <t>Shares to be issues</t>
  </si>
  <si>
    <t>Total shares</t>
  </si>
  <si>
    <t>QIP ($ mn)</t>
  </si>
  <si>
    <t>QIP (INR mn)</t>
  </si>
  <si>
    <t>Price</t>
  </si>
  <si>
    <t>Pre-acquisition</t>
  </si>
  <si>
    <t>Post-acquisition with QIP</t>
  </si>
  <si>
    <t>Post-acquisition with Debt</t>
  </si>
  <si>
    <t>USD mn</t>
  </si>
  <si>
    <t>INR in mn</t>
  </si>
  <si>
    <t>Remarks</t>
  </si>
  <si>
    <t>Revenue ($ mn)</t>
  </si>
  <si>
    <t>Expected US$ 600 mn revenue from Encore</t>
  </si>
  <si>
    <t xml:space="preserve">Assumed Encore's adjusted EBITDA margin at 19% </t>
  </si>
  <si>
    <t>Assumed Encore's EBIT margin at 16% and 20% of deal value as intangible</t>
  </si>
  <si>
    <t>Interest</t>
  </si>
  <si>
    <t xml:space="preserve">Net profit </t>
  </si>
  <si>
    <t>Assumed - Re-financed interest rate at 5%; ETR at 25%</t>
  </si>
  <si>
    <t>NPM (%)</t>
  </si>
  <si>
    <t>NP</t>
  </si>
  <si>
    <t>Diluted shares</t>
  </si>
  <si>
    <t>NP @ 9%</t>
  </si>
  <si>
    <t>NP (INR mn)</t>
  </si>
  <si>
    <t>Consolidated NP</t>
  </si>
  <si>
    <t>Consolidated Shares</t>
  </si>
  <si>
    <t>NPM</t>
  </si>
  <si>
    <t>PE</t>
  </si>
  <si>
    <t>Q1FY16</t>
  </si>
  <si>
    <t>Q2FY16</t>
  </si>
  <si>
    <t>Q3FY16</t>
  </si>
  <si>
    <t>Q4FY16</t>
  </si>
  <si>
    <t>Q1FY17</t>
  </si>
  <si>
    <t>Q2FY17</t>
  </si>
  <si>
    <t>Q3FY17</t>
  </si>
  <si>
    <t>Q4FY17</t>
  </si>
  <si>
    <t>Organic CC revenues ($ mn)</t>
  </si>
  <si>
    <t>Cash conversion</t>
  </si>
  <si>
    <t>OCF ($mn)</t>
  </si>
  <si>
    <t>OCF (Rs. million)</t>
  </si>
  <si>
    <t>FCF ($ mn)</t>
  </si>
  <si>
    <t>FCF (Rs. million)</t>
  </si>
  <si>
    <t>EBITDA (Rs. crore)</t>
  </si>
  <si>
    <t>Net proift (Rs. crore)</t>
  </si>
  <si>
    <t>Cash ($ mn)</t>
  </si>
  <si>
    <t>Cash (Rs. mn)</t>
  </si>
  <si>
    <t>Receivables (Days)</t>
  </si>
  <si>
    <t>Receivables ($ terms)</t>
  </si>
  <si>
    <t>Dividends</t>
  </si>
  <si>
    <t>Receivables</t>
  </si>
  <si>
    <t>Payables</t>
  </si>
  <si>
    <t>Margin walkthrough</t>
  </si>
  <si>
    <t>Wage revision</t>
  </si>
  <si>
    <t>deferment of wage hikes to 2QFY25</t>
  </si>
  <si>
    <t>SG&amp;A</t>
  </si>
  <si>
    <t xml:space="preserve">Talents and building capabilities </t>
  </si>
  <si>
    <t>New logos</t>
  </si>
  <si>
    <t>APAC</t>
  </si>
  <si>
    <t>Number of million $ clients</t>
  </si>
  <si>
    <t>Hedge position (in mn)</t>
  </si>
  <si>
    <t>USD</t>
  </si>
  <si>
    <t>GBP</t>
  </si>
  <si>
    <t>EUR</t>
  </si>
  <si>
    <t>Average Rates  of Outstanding Hedges</t>
  </si>
  <si>
    <t>Other important metrics</t>
  </si>
  <si>
    <t>BFS breakdown</t>
  </si>
  <si>
    <t>- Banking</t>
  </si>
  <si>
    <t>- capital market</t>
  </si>
  <si>
    <t>Manufacturing</t>
  </si>
  <si>
    <t>5-6%</t>
  </si>
  <si>
    <t>SLK Global</t>
  </si>
  <si>
    <t>SLK is entirely in mortgages and will account for 1-1.5% of revenue down from 2-2.5% revenue in the past.</t>
  </si>
  <si>
    <t>Trainees</t>
  </si>
  <si>
    <t>600-700</t>
  </si>
  <si>
    <t>FY24E</t>
  </si>
  <si>
    <t>2000-3000</t>
  </si>
  <si>
    <t>Duck Creek</t>
  </si>
  <si>
    <t>Duck Creek exposure will account for 10-12% of overall insurance portfolio.</t>
  </si>
  <si>
    <t>Discretionary revenue</t>
  </si>
  <si>
    <t>Discretionary revenue exposure will be 20%</t>
  </si>
  <si>
    <t>Revenue/Executable Order book</t>
  </si>
  <si>
    <t>CC revenue growth - qoq</t>
  </si>
  <si>
    <t>FY27E Proforma Financials*</t>
  </si>
  <si>
    <t>*Workings outlined assumes a year-on-year revenue growth of 15% in FY27 and cost synergies of US$20Mn.</t>
  </si>
  <si>
    <t>Particulars (in US$Mn)</t>
  </si>
  <si>
    <t>Combined</t>
  </si>
  <si>
    <t>Amortisation assumption is based on an EV of US$2.35Bn. ➢ ~20% is expected to be allocated to customer relationships with an estimated useful life of 12 years. ➢ This allocation remains subject to final evaluation and will be determined by a Big 4 accounting firm.</t>
  </si>
  <si>
    <t>There are tax benefits on account of amortisation in Encora Group in the US. We have assumed tax benefit of only US$4Mn in FY27E Proforma Financials.</t>
  </si>
  <si>
    <t>Proforma Financials do not include any one-time transaction related expenses.</t>
  </si>
  <si>
    <t>EBITDA%</t>
  </si>
  <si>
    <t>Amortization of Intangibles</t>
  </si>
  <si>
    <t>EBIT%</t>
  </si>
  <si>
    <t>Interest Cost</t>
  </si>
  <si>
    <t>PBT%</t>
  </si>
  <si>
    <t>PAT%</t>
  </si>
  <si>
    <t>Outstanding Shares (# Mn)**</t>
  </si>
  <si>
    <t>EPS (US$)</t>
  </si>
  <si>
    <t>Post-Close Indicative Share Capital (Assuming QIP for Encora Term Loan Retirement)</t>
  </si>
  <si>
    <t>Encora Enterprise Value (US$ Mn)</t>
  </si>
  <si>
    <t>A key assumption in this table is that QIP pricing will be at INR 1815.91 per share.</t>
  </si>
  <si>
    <t>Encora Equity Value (US$ Mn)</t>
  </si>
  <si>
    <t>If we decide to do a QIP, it will only happen around closing which is around 6 months away.</t>
  </si>
  <si>
    <t>No of Coforge shares to be allotted to sellers of Encora (Mn) (A)</t>
  </si>
  <si>
    <t>Possible Size of QIP (US$ Mn)</t>
  </si>
  <si>
    <t>No of Coforge shares to be issued to QIP Investors (Mn) (B)</t>
  </si>
  <si>
    <t>Outstanding shares of Coforge as of December 24, 2025 (Mn) (C)</t>
  </si>
  <si>
    <t>Coforge Shares for Cigniti merger (Mn) (D)</t>
  </si>
  <si>
    <t>Outstanding shares of Coforge post-closing of Encora transaction and QIP (Mn) (A+B+C+D)</t>
  </si>
  <si>
    <t>https://www.bseindia.com/xml-data/corpfiling/AttachLive/12288f75-6d11-4f73-a911-eae69aa6d3bd.pdf</t>
  </si>
  <si>
    <t>FY26 Highlights</t>
  </si>
  <si>
    <t>Par</t>
  </si>
  <si>
    <t>Revenue per FTE</t>
  </si>
  <si>
    <t>FCF to PAT</t>
  </si>
  <si>
    <t>Amount</t>
  </si>
  <si>
    <t>Global (approx.)</t>
  </si>
  <si>
    <t xml:space="preserve">India </t>
  </si>
  <si>
    <t xml:space="preserve">LATAM </t>
  </si>
  <si>
    <t>Revenue Mix (H1 FY26)</t>
  </si>
  <si>
    <t>AI led Engineering</t>
  </si>
  <si>
    <t>Cloud</t>
  </si>
  <si>
    <t>Data</t>
  </si>
  <si>
    <t>Hi-Tech</t>
  </si>
  <si>
    <t>HLS</t>
  </si>
  <si>
    <t>TTH</t>
  </si>
  <si>
    <t>Automotive</t>
  </si>
  <si>
    <t>APAC &amp; ANZ</t>
  </si>
  <si>
    <t>Client Metrics</t>
  </si>
  <si>
    <t>USD 10+ mn</t>
  </si>
  <si>
    <t>USD 5-10 mn</t>
  </si>
  <si>
    <t>USD 1-5 mn</t>
  </si>
  <si>
    <t>Revenue (USD bn)</t>
  </si>
  <si>
    <t>Pro forma FY26 market consensus (as per Bloomberg) and not mgmt. guidance</t>
  </si>
  <si>
    <t>LATAM</t>
  </si>
  <si>
    <t>US &amp; Canada</t>
  </si>
  <si>
    <t>Scaled Accounts</t>
  </si>
  <si>
    <t>Organic</t>
  </si>
  <si>
    <t>y-o-y</t>
  </si>
  <si>
    <t>% of Revenue</t>
  </si>
  <si>
    <t>PSU</t>
  </si>
  <si>
    <t>Others(1)</t>
  </si>
  <si>
    <t>+VE - Acq</t>
  </si>
  <si>
    <t>-VE - client issue</t>
  </si>
  <si>
    <t>AI Deflation Sensitivity Analysis</t>
  </si>
  <si>
    <t>Pure pricing impact — volume (headcount, utilization) held constant</t>
  </si>
  <si>
    <t>INPUTS</t>
  </si>
  <si>
    <t>VALUATION INPUTS</t>
  </si>
  <si>
    <t>AI pricing deflation (annual)</t>
  </si>
  <si>
    <t>Shares outstanding (mn)</t>
  </si>
  <si>
    <t>Quarterly haircut</t>
  </si>
  <si>
    <t>Target P/E (x)</t>
  </si>
  <si>
    <t>CMP (Rs)</t>
  </si>
  <si>
    <t>BASE CASE (from model)</t>
  </si>
  <si>
    <t>Effective tax rate</t>
  </si>
  <si>
    <t>FY27 Revenue ($M)</t>
  </si>
  <si>
    <t>FY27 EBIT ($M)</t>
  </si>
  <si>
    <t>FY27 EBIT margin</t>
  </si>
  <si>
    <t>FY28 Revenue ($M)</t>
  </si>
  <si>
    <t>FY28 EBIT ($M)</t>
  </si>
  <si>
    <t>FY28 EBIT margin</t>
  </si>
  <si>
    <t>LIVE PREVIEW (toggle applied)</t>
  </si>
  <si>
    <t>Note: deflator avg multiplier = (1 + B6 × N), where N = 2.5 for FY27 (avg of qtrs 1-4) and 6.5 for FY28 (avg of qtrs 5-8). Costs/volume unchanged → ΔEBIT = ΔRevenue.</t>
  </si>
  <si>
    <t>1-D SENSITIVITY TABLE</t>
  </si>
  <si>
    <t>Scenario</t>
  </si>
  <si>
    <t>AI Defl. (annual)</t>
  </si>
  <si>
    <t>FY27 Rev ($M)</t>
  </si>
  <si>
    <t>FY27 EBIT %</t>
  </si>
  <si>
    <t>FY28 Rev ($M)</t>
  </si>
  <si>
    <t>FY28 EBIT %</t>
  </si>
  <si>
    <t>FY27 EPS (Rs)</t>
  </si>
  <si>
    <t>FY28 EPS (Rs)</t>
  </si>
  <si>
    <t>TP @ Target P/E (Rs)</t>
  </si>
  <si>
    <t>Upside vs CMP</t>
  </si>
  <si>
    <t>Base case</t>
  </si>
  <si>
    <t>AI deflation 1%</t>
  </si>
  <si>
    <t>AI deflation 2%</t>
  </si>
  <si>
    <t>AI deflation 3%</t>
  </si>
  <si>
    <t>Methodology: per-quarter pricing haircut = annual deflation / 4. Revenue impact compounds over forecast horizon (avg multiplier 1+(haircut)×N, N=2.5 for FY27, N=6.5 for FY28). Costs/headcount unchanged → ΔEBIT ≈ ΔRevenue (full pass-through to EBIT). Margin compresses since cost base is fixed.</t>
  </si>
  <si>
    <t>LIVE VALUATION PREVIEW (toggle applied)</t>
  </si>
  <si>
    <t>FY27 Adj PAT (INR mn)</t>
  </si>
  <si>
    <t>FY28 Adj PAT (INR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</si>
</sst>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 #,##0_ ;_ * \-#,##0_ ;_ * &quot;-&quot;_ ;_ @_ "/>
    <numFmt numFmtId="165" formatCode="_ * #,##0.00_ ;_ * \-#,##0.00_ ;_ * &quot;-&quot;??_ ;_ @_ "/>
    <numFmt numFmtId="166" formatCode="_-* #,##0.00_-;\-* #,##0.00_-;_-* &quot;-&quot;??_-;_-@_-"/>
    <numFmt numFmtId="167" formatCode="_(* #,##0_);_(* \(#,##0\);_(* &quot;-&quot;??_);_(@_)"/>
    <numFmt numFmtId="168" formatCode="_(* #,##0.0_);_(* \(#,##0.0\);_(* &quot;-&quot;??_);_(@_)"/>
    <numFmt numFmtId="169" formatCode="_-* #,##0.0_-;\-* #,##0.0_-;_-* &quot;-&quot;??_-;_-@_-"/>
    <numFmt numFmtId="170" formatCode="0.0%"/>
    <numFmt numFmtId="171" formatCode="0.0"/>
    <numFmt numFmtId="172" formatCode="_-* #,##0_-;\-* #,##0_-;_-* &quot;-&quot;??_-;_-@_-"/>
    <numFmt numFmtId="173" formatCode="_ * #,##0.0_ ;_ * \-#,##0.0_ ;_ * &quot;-&quot;??_ ;_ @_ "/>
    <numFmt numFmtId="174" formatCode="_ * #,##0_ ;_ * \-#,##0_ ;_ * &quot;-&quot;??_ ;_ @_ "/>
    <numFmt numFmtId="175" formatCode="#,##0.0"/>
    <numFmt numFmtId="176" formatCode="#,##0.0_ ;[Red]\-#,##0.0\ "/>
    <numFmt numFmtId="177" formatCode="&quot;$&quot;#,##0.00"/>
    <numFmt numFmtId="178" formatCode="#,##0.0_);\(#,##0.0\);#,##0.0_);@_)"/>
    <numFmt numFmtId="179" formatCode="#,##0.0_);\(#,##0.0\)"/>
    <numFmt numFmtId="180" formatCode="#,###\—_);\(#,###\—\)"/>
    <numFmt numFmtId="181" formatCode="[$INR]\ #,##0"/>
    <numFmt numFmtId="182" formatCode="_(* #,##0.00000000_);_(* \(#,##0.00000000\);_(* &quot;-&quot;??_);_(@_)"/>
    <numFmt numFmtId="183" formatCode="_(&quot;$&quot;#,##0_)&quot;millions&quot;;\(&quot;$&quot;#,##0\)&quot; millions&quot;"/>
    <numFmt numFmtId="184" formatCode="&quot;$&quot;#,##0.00_)\ \ \ ;\(&quot;$&quot;#,##0.00\)\ \ \ "/>
    <numFmt numFmtId="185" formatCode="&quot;$&quot;#,##0.00&quot;*&quot;\ \ ;\(&quot;$&quot;#,##0.00\)&quot;*&quot;\ \ "/>
    <numFmt numFmtId="186" formatCode="&quot;$&quot;#,##0.00\A_)\ ;\(&quot;$&quot;#,##0.00\A\)\ \ "/>
    <numFmt numFmtId="187" formatCode="&quot;$&quot;@\ "/>
    <numFmt numFmtId="188" formatCode="0.0%_);\(0.0%\)"/>
    <numFmt numFmtId="189" formatCode="#,##0\ \ ;\(#,##0\)\ "/>
    <numFmt numFmtId="190" formatCode="_-&quot;$&quot;* #,##0_-;\-&quot;$&quot;* #,##0_-;_-&quot;$&quot;* &quot;-&quot;_-;_-@_-"/>
    <numFmt numFmtId="191" formatCode="_-* #,##0_-;\-* #,##0_-;_-* &quot;-&quot;_-;_-@_-"/>
    <numFmt numFmtId="192" formatCode="_-&quot;$&quot;* #,##0.00_-;\-&quot;$&quot;* #,##0.00_-;_-&quot;$&quot;* &quot;-&quot;??_-;_-@_-"/>
    <numFmt numFmtId="193" formatCode="#,##0.0_);[Red]\(#,##0.0\)"/>
    <numFmt numFmtId="194" formatCode="0.0_)\%;\(0.0\)\%;0.0_)\%;@_)_%"/>
    <numFmt numFmtId="195" formatCode="#,##0.0_)_%;\(#,##0.0\)_%;0.0_)_%;@_)_%"/>
    <numFmt numFmtId="196" formatCode="_(* #,##0.0000_);_(* \(#,##0.0000\);_(* &quot;-&quot;??_);_(@_)"/>
    <numFmt numFmtId="197" formatCode="\+#,##0.0;\-0.0"/>
    <numFmt numFmtId="198" formatCode="_(* #,##0.0000000000_);_(* \(#,##0.0000000000\);_(* &quot;-&quot;??_);_(@_)"/>
    <numFmt numFmtId="199" formatCode="&quot;ß&quot;\&amp;\,\&amp;\&amp;0_);\(&quot;ß&quot;\&amp;\,\&amp;\&amp;0\)"/>
    <numFmt numFmtId="200" formatCode="&quot;MR&quot;#,##0.00_);\(&quot;$&quot;#,##0.00\)"/>
    <numFmt numFmtId="201" formatCode="&quot;$&quot;_(#,##0.00_);&quot;$&quot;\(#,##0.00\)"/>
    <numFmt numFmtId="202" formatCode="&quot;£&quot;_(#,##0.00_);&quot;£&quot;\(#,##0.00\);&quot;£&quot;_(0.00_);@_)"/>
    <numFmt numFmtId="203" formatCode="&quot;$&quot;_(#,##0.00_);&quot;$&quot;\(#,##0.00\);&quot;$&quot;_(0.00_);@_)"/>
    <numFmt numFmtId="204" formatCode="#,##0.00_);\(#,##0.00\);0.00_);@_)"/>
    <numFmt numFmtId="205" formatCode="_(* #,##0.000_);_(* \(#,##0.000\);_(* &quot;-&quot;??_);_(@_)"/>
    <numFmt numFmtId="206" formatCode="#,###\—;#,###\—"/>
    <numFmt numFmtId="207" formatCode="\€_(#,##0.00_);\€\(#,##0.00\);\€_(0.00_);@_)"/>
    <numFmt numFmtId="208" formatCode="\Ç\ \´\´\´\´\ \»\»\»\»"/>
    <numFmt numFmtId="209" formatCode="0.0%;[Red]\(0.0\)%"/>
    <numFmt numFmtId="210" formatCode="_ &quot;$&quot;* #,##0_ ;_ &quot;$&quot;* \-#,##0_ ;_ &quot;$&quot;* &quot;-&quot;_ ;_ @_ "/>
    <numFmt numFmtId="211" formatCode="\+#,##0;\-#,##0"/>
    <numFmt numFmtId="212" formatCode="mmmm\-yy"/>
    <numFmt numFmtId="213" formatCode="\+#,##0.00;\-#,##0.00"/>
    <numFmt numFmtId="214" formatCode="#,##0.00000"/>
    <numFmt numFmtId="215" formatCode="#,##0.000_);\(#,##0.000\)"/>
    <numFmt numFmtId="216" formatCode="&quot;ß&quot;\&amp;\,\&amp;\&amp;0.00_);\(&quot;ß&quot;\&amp;\,\&amp;\&amp;0.00\)"/>
    <numFmt numFmtId="217" formatCode="\ð.\ð\ð"/>
    <numFmt numFmtId="218" formatCode="#,##0.0_)\x;\(#,##0.0\)\x"/>
    <numFmt numFmtId="219" formatCode="#,##0_)\x;\(#,##0\)\x;0_)\x;@_)_x"/>
    <numFmt numFmtId="220" formatCode="#,##0.0_)\x;\(#,##0.0\)\x;0.0_)\x;@_)_x"/>
    <numFmt numFmtId="221" formatCode="#,##0.0_)_x;\(#,##0.0\)_x"/>
    <numFmt numFmtId="222" formatCode="#,##0_)_x;\(#,##0\)_x;0_)_x;@_)_x"/>
    <numFmt numFmtId="223" formatCode="#,##0.0_)_x;\(#,##0.0\)_x;0.0_)_x;@_)_x"/>
    <numFmt numFmtId="224" formatCode="0.0_)\%;\(0.0\)\%"/>
    <numFmt numFmtId="225" formatCode="#,##0.0_)_%;\(#,##0.0\)_%"/>
    <numFmt numFmtId="226" formatCode="0.00_);\(0.00\);0.00_)"/>
    <numFmt numFmtId="227" formatCode="&quot;£&quot;#,##0;\-&quot;£&quot;#,##0"/>
    <numFmt numFmtId="228" formatCode="#,##0_);\(#,##0\);&quot;&quot;"/>
    <numFmt numFmtId="229" formatCode="#,##0\ "/>
    <numFmt numFmtId="230" formatCode="[&gt;1]&quot;10Q: &quot;0&quot; qtrs&quot;;&quot;10Q: &quot;0&quot; qtr&quot;"/>
    <numFmt numFmtId="231" formatCode="_ &quot;$&quot;* #,##0.00_ ;_ &quot;$&quot;* \-#,##0.00_ ;_ &quot;$&quot;* &quot;-&quot;??_ ;_ @_ "/>
    <numFmt numFmtId="232" formatCode="_(* #,##0.0_);_(* \(#,##0.0\);\-??_);_(* @_)_)"/>
    <numFmt numFmtId="233" formatCode="_(* #,##0.00_);_(* \(#,##0.00\);\-??_);_(* @_)_)"/>
    <numFmt numFmtId="234" formatCode="_(#,##0.0_);[Red]_(\(#,##0.0\);\ &quot;-- &quot;"/>
    <numFmt numFmtId="235" formatCode="0\A"/>
    <numFmt numFmtId="236" formatCode="#,##0;\(#,##0\)"/>
    <numFmt numFmtId="237" formatCode="#,##0.000_);[Red]\(#,##0.000\)"/>
    <numFmt numFmtId="238" formatCode="[Red][&gt;0]_(* #,##0.00_);[Red][&lt;0]_(* \(#,##0.00\);\-??_)"/>
    <numFmt numFmtId="239" formatCode="_(* #,##0_);_(* \(#,##0\);_(* &quot;&quot;_);_(@_)"/>
    <numFmt numFmtId="240" formatCode="0&quot; bp&quot;"/>
    <numFmt numFmtId="241" formatCode="0.000_)"/>
    <numFmt numFmtId="242" formatCode="#,##0.0;\(#,##0.0\)"/>
    <numFmt numFmtId="243" formatCode="#,##0_%_);\(#,##0\)_%;#,##0_%_);@_%_)"/>
    <numFmt numFmtId="244" formatCode="0.000"/>
    <numFmt numFmtId="245" formatCode="_ &quot;Rs.&quot;\ * #,##0_ ;_ &quot;Rs.&quot;\ * \-#,##0_ ;_ &quot;Rs.&quot;\ * &quot;-&quot;_ ;_ @_ "/>
    <numFmt numFmtId="246" formatCode="#,##0.00\ &quot;F&quot;;\-#,##0.00\ &quot;F&quot;"/>
    <numFmt numFmtId="247" formatCode="0.00_);\(0.00\);0.00"/>
    <numFmt numFmtId="248" formatCode="&quot;$&quot;#,##0.00_);[Red]\(&quot;$&quot;#,##0.00\);&quot;--  &quot;;_(@_)"/>
    <numFmt numFmtId="249" formatCode="m&quot;?&quot;d&quot;?&quot;\(dddd\)"/>
    <numFmt numFmtId="250" formatCode="&quot;$&quot;#,##0.0_);[Red]\(&quot;$&quot;#,##0.0\)"/>
    <numFmt numFmtId="251" formatCode="&quot;$&quot;#,##0_%_);\(&quot;$&quot;#,##0\)_%;&quot;$&quot;#,##0_%_);@_%_)"/>
    <numFmt numFmtId="252" formatCode="#,##0.000000_);\(#,##0.000000\)"/>
    <numFmt numFmtId="253" formatCode="dd\-mmm\-yy_)"/>
    <numFmt numFmtId="254" formatCode="0.0000"/>
    <numFmt numFmtId="255" formatCode="General_)"/>
    <numFmt numFmtId="256" formatCode="&quot;$&quot;#,##0.0_);\(&quot;$&quot;#,##0.0\)"/>
    <numFmt numFmtId="257" formatCode="#,##0;[Red]\(#,##0\)"/>
    <numFmt numFmtId="258" formatCode="@\ \ \ \ \ "/>
    <numFmt numFmtId="259" formatCode="mmm\-d\-yy"/>
    <numFmt numFmtId="260" formatCode="mmm\-d\-yyyy"/>
    <numFmt numFmtId="261" formatCode="mmm\-yyyy"/>
    <numFmt numFmtId="262" formatCode="d/mmm/yy"/>
    <numFmt numFmtId="263" formatCode="m/d/yy_%_)"/>
    <numFmt numFmtId="264" formatCode="yyyy"/>
    <numFmt numFmtId="265" formatCode="_-* #,##0\ _$_-;\-* #,##0\ _$_-;_-* &quot;-&quot;\ _$_-;_-@_-"/>
    <numFmt numFmtId="266" formatCode="0_%_);\(0\)_%;0_%_);@_%_)"/>
    <numFmt numFmtId="267" formatCode="0.0%\ ;\(0.0%\)"/>
    <numFmt numFmtId="268" formatCode="[$-409]mmm\-yy;@"/>
    <numFmt numFmtId="269" formatCode="#,##0.00_)\ \ \ \ \ ;\(#,##0.00\)\ \ \ \ \ "/>
    <numFmt numFmtId="270" formatCode="&quot;$&quot;#,##0.00_)\ \ \ \ \ ;\(&quot;$&quot;#,##0.00\)\ \ \ \ \ "/>
    <numFmt numFmtId="271" formatCode="&quot;$&quot;#,##0.00\A\ \ \ \ ;\(&quot;$&quot;#,##0.00\A\)\ \ \ \ "/>
    <numFmt numFmtId="272" formatCode="&quot;$&quot;#,##0.00&quot;E&quot;\ \ \ \ ;\(&quot;$&quot;#,##0.00&quot;E&quot;\)\ \ \ \ "/>
    <numFmt numFmtId="273" formatCode="#,##0.00\A\ \ \ \ ;\(#,##0.00\A\)\ \ \ \ "/>
    <numFmt numFmtId="274" formatCode="&quot;$&quot;#,##0.00&quot;A&quot;;[Red]\(&quot;$&quot;#,##0.00\)&quot;A&quot;"/>
    <numFmt numFmtId="275" formatCode="#,##0.00&quot;E&quot;\ \ \ \ ;\(#,##0.00&quot;E&quot;\)\ \ \ \ "/>
    <numFmt numFmtId="276" formatCode="&quot;$&quot;#,##0.00&quot;E&quot;;[Red]\(&quot;$&quot;#,##0.00\)&quot;E&quot;"/>
    <numFmt numFmtId="277" formatCode=";;;* @_)"/>
    <numFmt numFmtId="278" formatCode="_([$€-2]* #,##0.00_);_([$€-2]* \(#,##0.00\);_([$€-2]* &quot;-&quot;??_)"/>
    <numFmt numFmtId="279" formatCode="0.0&quot;  &quot;"/>
    <numFmt numFmtId="280" formatCode="_-* #,##0\ _F_t_-;\-* #,##0\ _F_t_-;_-* &quot;-&quot;\ _F_t_-;_-@_-"/>
    <numFmt numFmtId="281" formatCode="#,##0_);\-#,##0_)"/>
    <numFmt numFmtId="282" formatCode="###0_);\(###0\)"/>
    <numFmt numFmtId="283" formatCode="#,##0.0000\ ;\(#,##0.0000\)"/>
    <numFmt numFmtId="284" formatCode="0%\ \ \ \ \ \ \ "/>
    <numFmt numFmtId="285" formatCode="_-* #,##0_-;\(#,##0\);_-* &quot;–&quot;_-;_-@_-"/>
    <numFmt numFmtId="286" formatCode="#,##0.00;\(#,##0.00\)"/>
    <numFmt numFmtId="287" formatCode="0.0%_);[Red]\(0.0%\)"/>
    <numFmt numFmtId="288" formatCode="_-&quot;£&quot;* #,##0.00_-;\-&quot;£&quot;* #,##0.00_-;_-&quot;£&quot;* &quot;-&quot;??_-;_-@_-"/>
    <numFmt numFmtId="289" formatCode="0.0\%_);\(0.0\%\);0.0\%_);@_%_)"/>
    <numFmt numFmtId="290" formatCode="#,##0_);\(#,##0\);\-\-_)"/>
    <numFmt numFmtId="291" formatCode="#,##0.00000000"/>
    <numFmt numFmtId="292" formatCode=";;;"/>
    <numFmt numFmtId="293" formatCode="0.0%;[Red]\(0.0%\)"/>
    <numFmt numFmtId="294" formatCode="_(#,##0.00_);[Red]\(#,##0.00\);_-* &quot;-&quot;??_-;_-@_-"/>
    <numFmt numFmtId="295" formatCode="ddmmmyy"/>
    <numFmt numFmtId="296" formatCode="0.00_)"/>
    <numFmt numFmtId="297" formatCode="#,##0_);[Magenta]\(#,##0\)"/>
    <numFmt numFmtId="298" formatCode="dd/mm/yyyy\ hh:mm:ss"/>
    <numFmt numFmtId="299" formatCode="#,##0\ ;\(#,##0\);\ \-\ "/>
    <numFmt numFmtId="300" formatCode="_(&quot;$&quot;* #,##0_)\ &quot;millions&quot;;_(&quot;$&quot;* \(#,##0\)&quot; millions&quot;"/>
    <numFmt numFmtId="301" formatCode="&quot;$&quot;#,##0\ &quot;MM&quot;;\(&quot;$&quot;#,##0.00\ &quot;MM&quot;\)"/>
    <numFmt numFmtId="302" formatCode="_(0.00_);_(\(0.00\);_(* &quot;-&quot;??_);_(@_)"/>
    <numFmt numFmtId="303" formatCode="#,##0\ &quot;MM&quot;"/>
    <numFmt numFmtId="304" formatCode="mmm"/>
    <numFmt numFmtId="305" formatCode="mmm\-yy_)"/>
    <numFmt numFmtId="306" formatCode="\$#,##0.00_);[Red]\(\$#,##0.00\)"/>
    <numFmt numFmtId="307" formatCode="mm\-yy"/>
    <numFmt numFmtId="308" formatCode="#,##0.00\x_);[Red]\(#,##0.00\x\)"/>
    <numFmt numFmtId="309" formatCode="#,##0.0_);[Red]\(#,##0.0\);&quot;N/A &quot;"/>
    <numFmt numFmtId="310" formatCode="mm/dd/yy\ "/>
    <numFmt numFmtId="311" formatCode="0_)"/>
    <numFmt numFmtId="312" formatCode="#,##0.0_);[Red]\(#,##0.0\);&quot;--  &quot;"/>
    <numFmt numFmtId="313" formatCode="[Black]#,##0.00_);[Black]\(#,##0.00_);[Red]\ &quot;na&quot;"/>
    <numFmt numFmtId="314" formatCode="#,##0.000"/>
    <numFmt numFmtId="315" formatCode="#,##0.0_)\ ;[Red]\(#,##0.0\)\ "/>
    <numFmt numFmtId="316" formatCode="###0;\(###0\)"/>
    <numFmt numFmtId="317" formatCode="#,##0.00\x_);[Red]\(#,##0.00\x\);&quot;--  &quot;"/>
    <numFmt numFmtId="318" formatCode="#,##0.00_)&quot; &quot;;[Red]\(#,##0.00\)&quot; &quot;"/>
    <numFmt numFmtId="319" formatCode="0.0%&quot;NetPPE/sales&quot;"/>
    <numFmt numFmtId="320" formatCode="#,##0.0\ \ \ ;\(#,##0.0\)\ \ "/>
    <numFmt numFmtId="321" formatCode="#,##0.0&quot;x&quot;;\-#,##0.0&quot;x&quot;;0.0&quot;x&quot;"/>
    <numFmt numFmtId="322" formatCode="0.0%&quot;NWI/Sls&quot;"/>
    <numFmt numFmtId="323" formatCode="0.0\x_);[Red]\(0.0\x\)"/>
    <numFmt numFmtId="324" formatCode="0.0\ \ \ \ \ \ "/>
    <numFmt numFmtId="325" formatCode="0.0%\ \ \ \ \ "/>
    <numFmt numFmtId="326" formatCode="_-* #,##0\ &quot;Ft&quot;_-;\-* #,##0\ &quot;Ft&quot;_-;_-* &quot;-&quot;\ &quot;Ft&quot;_-;_-@_-"/>
    <numFmt numFmtId="327" formatCode="#,##0.00\ &quot;Ft&quot;;[Red]\-#,##0.00\ &quot;Ft&quot;"/>
    <numFmt numFmtId="328" formatCode="0%;\-0%;\-??_);_(* @_)_)"/>
    <numFmt numFmtId="329" formatCode="0%;[Red]\(0%\)"/>
    <numFmt numFmtId="330" formatCode="0.0%;\(0.0%\)"/>
    <numFmt numFmtId="331" formatCode="0.0%;[Red]\(0.0%\);&quot;--  &quot;"/>
    <numFmt numFmtId="332" formatCode="0.000%;[Red]\(0.000%\)"/>
    <numFmt numFmtId="333" formatCode="0.000%;;&quot;-- &quot;"/>
    <numFmt numFmtId="334" formatCode="0.00\%;\-0.00\%;0.00\%"/>
    <numFmt numFmtId="335" formatCode="0.0%&quot;Sales&quot;"/>
    <numFmt numFmtId="336" formatCode="&quot;$&quot;#\-##/##"/>
    <numFmt numFmtId="337" formatCode="&quot;$&quot;#,##0;\-&quot;$&quot;#,##0"/>
    <numFmt numFmtId="338" formatCode="&quot;Proj &quot;0;;"/>
    <numFmt numFmtId="339" formatCode="0.00\ \ \ \ "/>
    <numFmt numFmtId="340" formatCode="@\ "/>
    <numFmt numFmtId="341" formatCode="&quot;$&quot;@"/>
    <numFmt numFmtId="342" formatCode="0.00;\-0.00;0.00"/>
    <numFmt numFmtId="343" formatCode="&quot;1: &quot;#,##0.0_);\-&quot;1: &quot;#,##0.0_)"/>
    <numFmt numFmtId="344" formatCode="0.00\x;\-0.00\x;0.00\x"/>
    <numFmt numFmtId="345" formatCode="mm/dd/yy"/>
    <numFmt numFmtId="346" formatCode="##0.00000"/>
    <numFmt numFmtId="347" formatCode="_-&quot;£&quot;* #,##0_-;\-&quot;£&quot;* #,##0_-;_-&quot;£&quot;* &quot;-&quot;_-;_-@_-"/>
    <numFmt numFmtId="348" formatCode="General;\-General;General;"/>
    <numFmt numFmtId="349" formatCode="&quot;$&quot;#,##0.000_);\(&quot;$&quot;#,##0.000\)"/>
    <numFmt numFmtId="350" formatCode="#,##0;\(#,##0\);\–;@"/>
    <numFmt numFmtId="351" formatCode="&quot;$&quot;#,##0.000_);[Red]\(&quot;$&quot;#,##0.000\)"/>
    <numFmt numFmtId="352" formatCode="0.00%_);[Red]\(0.00%\)"/>
    <numFmt numFmtId="353" formatCode="0_);\(0\)"/>
    <numFmt numFmtId="354" formatCode="\$\ #,##0;&quot;£&quot;\ \-#,##0"/>
    <numFmt numFmtId="355" formatCode="_(&quot;$&quot;* #,##0.0_);_(&quot;$&quot;* \(#,##0.0\);_(&quot;$&quot;* &quot;-&quot;??_);_(@_)"/>
    <numFmt numFmtId="356" formatCode="0;\-0;;_(@_)"/>
    <numFmt numFmtId="357" formatCode="0;\-0;;_(&quot;   &quot;@_)"/>
    <numFmt numFmtId="358" formatCode="&quot;TFCF: &quot;#,##0_);[Red]&quot;No! &quot;\(#,##0\)"/>
    <numFmt numFmtId="359" formatCode="#,##0.000\ ;\(#,##0.000\)"/>
    <numFmt numFmtId="360" formatCode="#,##0.00\ ;\(#,##0.00\)"/>
    <numFmt numFmtId="361" formatCode="_(0.00_);_(\(0.00\);_(* &quot; &quot;??_);_(@_)"/>
    <numFmt numFmtId="362" formatCode="&quot;£&quot;#,##0_);[Red]\(&quot;£&quot;#,##0\)"/>
    <numFmt numFmtId="363" formatCode="&quot;£&quot;#,##0.00_);[Red]\(&quot;£&quot;#,##0.00\)"/>
    <numFmt numFmtId="364" formatCode="_ [$₹-44D]\ * #,##0.00_ ;_ [$₹-44D]\ * \-#,##0.00_ ;_ [$₹-44D]\ * &quot;-&quot;??_ ;_ @_ "/>
    <numFmt numFmtId="365" formatCode="0.0%;\(0.0%\);\-"/>
    <numFmt numFmtId="366" formatCode="0.00%;\(0.00%\);\-"/>
    <numFmt numFmtId="367" formatCode="0.0&quot;x&quot;"/>
  </numFmts>
  <fonts count="37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theme="1"/>
      <name val="Arial"/>
      <family val="2"/>
    </font>
    <font>
      <sz val="9"/>
      <name val="Arial"/>
      <family val="2"/>
    </font>
    <font>
      <b/>
      <sz val="9"/>
      <name val="Arial"/>
      <family val="2"/>
    </font>
    <font>
      <sz val="9"/>
      <color theme="1"/>
      <name val="Calibri"/>
      <family val="2"/>
      <scheme val="minor"/>
    </font>
    <font>
      <b/>
      <sz val="9"/>
      <color theme="1"/>
      <name val="Calibri"/>
      <family val="2"/>
      <scheme val="minor"/>
    </font>
    <font>
      <b/>
      <sz val="9"/>
      <color rgb="FF00B050"/>
      <name val="Arial"/>
      <family val="2"/>
    </font>
    <font>
      <i/>
      <sz val="9"/>
      <color theme="1"/>
      <name val="Calibri"/>
      <family val="2"/>
      <scheme val="minor"/>
    </font>
    <font>
      <i/>
      <sz val="9"/>
      <name val="Arial"/>
      <family val="2"/>
    </font>
    <font>
      <sz val="9"/>
      <color rgb="FF0000FF"/>
      <name val="Arial"/>
      <family val="2"/>
    </font>
    <font>
      <sz val="9"/>
      <color rgb="FF0000FF"/>
      <name val="Calibri"/>
      <family val="2"/>
      <scheme val="minor"/>
    </font>
    <font>
      <sz val="9"/>
      <color rgb="FFFF0000"/>
      <name val="Calibri"/>
      <family val="2"/>
      <scheme val="minor"/>
    </font>
    <font>
      <sz val="9"/>
      <color indexed="81"/>
      <name val="Tahoma"/>
      <family val="2"/>
    </font>
    <font>
      <sz val="8"/>
      <color rgb="FFFF0000"/>
      <name val="Calibri"/>
      <family val="2"/>
      <scheme val="minor"/>
    </font>
    <font>
      <sz val="9"/>
      <color rgb="FFFF0000"/>
      <name val="Arial"/>
      <family val="2"/>
    </font>
    <font>
      <b/>
      <sz val="9"/>
      <color rgb="FF0000FF"/>
      <name val="Arial"/>
      <family val="2"/>
    </font>
    <font>
      <sz val="9"/>
      <color rgb="FF00B050"/>
      <name val="Arial"/>
      <family val="2"/>
    </font>
    <font>
      <i/>
      <sz val="9"/>
      <color rgb="FFFF0000"/>
      <name val="Calibri"/>
      <family val="2"/>
      <scheme val="minor"/>
    </font>
    <font>
      <sz val="9"/>
      <name val="Calibri"/>
      <family val="2"/>
      <scheme val="minor"/>
    </font>
    <font>
      <i/>
      <sz val="9"/>
      <color rgb="FFFF0000"/>
      <name val="Arial"/>
      <family val="2"/>
    </font>
    <font>
      <sz val="9"/>
      <color rgb="FF008000"/>
      <name val="Calibri"/>
      <family val="2"/>
      <scheme val="minor"/>
    </font>
    <font>
      <sz val="9"/>
      <color theme="1"/>
      <name val="Arial"/>
      <family val="2"/>
    </font>
    <font>
      <b/>
      <sz val="9"/>
      <color theme="1"/>
      <name val="Arial"/>
      <family val="2"/>
    </font>
    <font>
      <b/>
      <sz val="9"/>
      <color rgb="FFFF0000"/>
      <name val="Arial"/>
      <family val="2"/>
    </font>
    <font>
      <i/>
      <sz val="9"/>
      <color theme="1"/>
      <name val="Arial"/>
      <family val="2"/>
    </font>
    <font>
      <b/>
      <sz val="9"/>
      <color rgb="FFFF0000"/>
      <name val="Calibri"/>
      <family val="2"/>
      <scheme val="minor"/>
    </font>
    <font>
      <sz val="9"/>
      <color rgb="FF00B050"/>
      <name val="Calibri"/>
      <family val="2"/>
      <scheme val="minor"/>
    </font>
    <font>
      <sz val="8"/>
      <name val="Arial"/>
      <family val="2"/>
    </font>
    <font>
      <b/>
      <sz val="8"/>
      <name val="Arial"/>
      <family val="2"/>
    </font>
    <font>
      <sz val="8"/>
      <color theme="1"/>
      <name val="Calibri"/>
      <family val="2"/>
      <scheme val="minor"/>
    </font>
    <font>
      <sz val="10"/>
      <name val="Arial"/>
      <family val="2"/>
    </font>
    <font>
      <b/>
      <sz val="8"/>
      <name val="Frutiger LT 55 Roman"/>
      <family val="2"/>
    </font>
    <font>
      <i/>
      <sz val="8"/>
      <name val="Arial"/>
      <family val="2"/>
    </font>
    <font>
      <b/>
      <sz val="8"/>
      <color theme="1"/>
      <name val="Calibri"/>
      <family val="2"/>
      <scheme val="minor"/>
    </font>
    <font>
      <b/>
      <sz val="8"/>
      <name val="Calibri"/>
      <family val="2"/>
      <scheme val="minor"/>
    </font>
    <font>
      <b/>
      <sz val="9"/>
      <name val="Arial Narrow"/>
      <family val="2"/>
    </font>
    <font>
      <b/>
      <sz val="10"/>
      <name val="Arial"/>
      <family val="2"/>
    </font>
    <font>
      <b/>
      <sz val="10"/>
      <color rgb="FF0000FF"/>
      <name val="Arial"/>
      <family val="2"/>
    </font>
    <font>
      <b/>
      <sz val="10"/>
      <name val="Calibri"/>
      <family val="2"/>
      <scheme val="minor"/>
    </font>
    <font>
      <b/>
      <sz val="10"/>
      <color indexed="10"/>
      <name val="Calibri"/>
      <family val="2"/>
      <scheme val="minor"/>
    </font>
    <font>
      <sz val="9"/>
      <name val="Arial Narrow"/>
      <family val="2"/>
    </font>
    <font>
      <sz val="10"/>
      <name val="Calibri"/>
      <family val="2"/>
      <scheme val="minor"/>
    </font>
    <font>
      <b/>
      <sz val="9"/>
      <color rgb="FF000000"/>
      <name val="Arial Narrow"/>
      <family val="2"/>
    </font>
    <font>
      <i/>
      <sz val="9"/>
      <color rgb="FF000000"/>
      <name val="Arial Narrow"/>
      <family val="2"/>
    </font>
    <font>
      <b/>
      <i/>
      <sz val="9"/>
      <color rgb="FF000000"/>
      <name val="Arial Narrow"/>
      <family val="2"/>
    </font>
    <font>
      <i/>
      <sz val="9"/>
      <name val="Arial Narrow"/>
      <family val="2"/>
    </font>
    <font>
      <sz val="9"/>
      <color rgb="FF008000"/>
      <name val="Arial"/>
      <family val="2"/>
    </font>
    <font>
      <b/>
      <sz val="9"/>
      <color rgb="FF0000FF"/>
      <name val="Calibri"/>
      <family val="2"/>
      <scheme val="minor"/>
    </font>
    <font>
      <b/>
      <sz val="9"/>
      <color indexed="81"/>
      <name val="Tahoma"/>
      <family val="2"/>
    </font>
    <font>
      <sz val="11"/>
      <color indexed="8"/>
      <name val="Calibri"/>
      <family val="2"/>
    </font>
    <font>
      <sz val="8"/>
      <color theme="1"/>
      <name val="Arial"/>
      <family val="2"/>
    </font>
    <font>
      <sz val="10"/>
      <name val="Helvetica"/>
      <family val="2"/>
    </font>
    <font>
      <b/>
      <sz val="10"/>
      <name val="MS Sans Serif"/>
      <family val="2"/>
    </font>
    <font>
      <sz val="10"/>
      <name val="GillSans"/>
      <family val="2"/>
    </font>
    <font>
      <sz val="8"/>
      <color indexed="49"/>
      <name val="Times New Roman"/>
      <family val="1"/>
    </font>
    <font>
      <sz val="12"/>
      <name val="?"/>
      <family val="2"/>
    </font>
    <font>
      <u/>
      <sz val="10"/>
      <color indexed="36"/>
      <name val="Arial"/>
      <family val="2"/>
    </font>
    <font>
      <u/>
      <sz val="10"/>
      <color indexed="12"/>
      <name val="Arial"/>
      <family val="2"/>
    </font>
    <font>
      <sz val="12"/>
      <name val="Courier"/>
      <family val="3"/>
    </font>
    <font>
      <sz val="10"/>
      <name val="MS Sans Serif"/>
      <family val="2"/>
    </font>
    <font>
      <sz val="10"/>
      <color indexed="62"/>
      <name val="Trebuchet MS"/>
      <family val="2"/>
    </font>
    <font>
      <sz val="10"/>
      <name val="Lucida Sans"/>
      <family val="2"/>
    </font>
    <font>
      <sz val="10"/>
      <color indexed="8"/>
      <name val="MS Sans Serif"/>
      <family val="2"/>
    </font>
    <font>
      <sz val="10"/>
      <name val="GS TheSans"/>
    </font>
    <font>
      <sz val="10"/>
      <name val="Helvetica 45 Light"/>
      <family val="2"/>
    </font>
    <font>
      <sz val="10"/>
      <name val="Helv"/>
      <charset val="204"/>
    </font>
    <font>
      <b/>
      <sz val="22"/>
      <color indexed="18"/>
      <name val="Arial"/>
      <family val="2"/>
    </font>
    <font>
      <sz val="12"/>
      <name val="Times New Roman"/>
      <family val="1"/>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imes New Roman"/>
      <family val="1"/>
    </font>
    <font>
      <sz val="8"/>
      <name val="Helv"/>
    </font>
    <font>
      <sz val="7"/>
      <name val="Arial"/>
      <family val="2"/>
    </font>
    <font>
      <sz val="9"/>
      <name val="Helvetica 45 Light"/>
    </font>
    <font>
      <sz val="10"/>
      <name val="Courier"/>
      <family val="3"/>
    </font>
    <font>
      <sz val="8"/>
      <name val="Helvetica"/>
      <family val="2"/>
    </font>
    <font>
      <sz val="11"/>
      <color indexed="9"/>
      <name val="Calibri"/>
      <family val="2"/>
    </font>
    <font>
      <sz val="8"/>
      <name val="Times New Roman"/>
      <family val="1"/>
    </font>
    <font>
      <sz val="8"/>
      <color indexed="12"/>
      <name val="Times New Roman"/>
      <family val="1"/>
    </font>
    <font>
      <b/>
      <sz val="8"/>
      <name val="Tms Rmn"/>
    </font>
    <font>
      <sz val="9"/>
      <color indexed="8"/>
      <name val="Times New Roman"/>
      <family val="1"/>
    </font>
    <font>
      <b/>
      <sz val="10"/>
      <color indexed="8"/>
      <name val="Times New Roman"/>
      <family val="1"/>
    </font>
    <font>
      <sz val="8"/>
      <color indexed="8"/>
      <name val="MS Sans Serif"/>
      <family val="2"/>
    </font>
    <font>
      <b/>
      <sz val="10"/>
      <name val="Helvetica"/>
      <family val="2"/>
    </font>
    <font>
      <sz val="10"/>
      <name val="Helv"/>
      <family val="2"/>
    </font>
    <font>
      <sz val="12"/>
      <name val="Arial"/>
      <family val="2"/>
    </font>
    <font>
      <b/>
      <sz val="6"/>
      <name val="Arial"/>
      <family val="2"/>
    </font>
    <font>
      <sz val="9"/>
      <name val="Times New Roman"/>
      <family val="1"/>
    </font>
    <font>
      <sz val="10"/>
      <color indexed="12"/>
      <name val="Arial"/>
      <family val="2"/>
    </font>
    <font>
      <sz val="10"/>
      <color indexed="18"/>
      <name val="GS TheSans"/>
      <family val="2"/>
    </font>
    <font>
      <sz val="11"/>
      <color indexed="20"/>
      <name val="Calibri"/>
      <family val="2"/>
    </font>
    <font>
      <b/>
      <i/>
      <sz val="8"/>
      <color indexed="8"/>
      <name val="Times New Roman"/>
      <family val="1"/>
    </font>
    <font>
      <sz val="8"/>
      <color indexed="12"/>
      <name val="Arial"/>
      <family val="2"/>
    </font>
    <font>
      <b/>
      <sz val="10"/>
      <color indexed="9"/>
      <name val="Arial"/>
      <family val="2"/>
    </font>
    <font>
      <sz val="12"/>
      <name val="Tms Rmn"/>
    </font>
    <font>
      <b/>
      <sz val="12"/>
      <name val="Times New Roman"/>
      <family val="1"/>
    </font>
    <font>
      <i/>
      <sz val="8"/>
      <color indexed="12"/>
      <name val="Arial"/>
      <family val="2"/>
    </font>
    <font>
      <sz val="11"/>
      <name val="µ¸¿ò"/>
      <family val="3"/>
      <charset val="129"/>
    </font>
    <font>
      <sz val="10"/>
      <color indexed="8"/>
      <name val="Arial"/>
      <family val="2"/>
    </font>
    <font>
      <b/>
      <sz val="8"/>
      <color indexed="8"/>
      <name val="Arial"/>
      <family val="2"/>
    </font>
    <font>
      <b/>
      <sz val="11"/>
      <color indexed="52"/>
      <name val="Calibri"/>
      <family val="2"/>
    </font>
    <font>
      <sz val="9"/>
      <color indexed="8"/>
      <name val="Tahoma"/>
      <family val="2"/>
    </font>
    <font>
      <b/>
      <sz val="10"/>
      <name val="Helv"/>
    </font>
    <font>
      <sz val="10"/>
      <color indexed="18"/>
      <name val="Times New Roman"/>
      <family val="1"/>
    </font>
    <font>
      <b/>
      <sz val="11"/>
      <color indexed="9"/>
      <name val="Calibri"/>
      <family val="2"/>
    </font>
    <font>
      <sz val="16"/>
      <name val="Arial"/>
      <family val="2"/>
    </font>
    <font>
      <b/>
      <sz val="8"/>
      <color indexed="12"/>
      <name val="Arial"/>
      <family val="2"/>
    </font>
    <font>
      <b/>
      <sz val="8"/>
      <name val="Switzerland"/>
    </font>
    <font>
      <b/>
      <sz val="7.5"/>
      <name val="Switzerland"/>
    </font>
    <font>
      <sz val="11"/>
      <name val="Tms Rmn"/>
      <family val="1"/>
    </font>
    <font>
      <sz val="8"/>
      <color indexed="8"/>
      <name val="Times New Roman"/>
      <family val="1"/>
    </font>
    <font>
      <sz val="8"/>
      <name val="Palatino"/>
      <family val="1"/>
    </font>
    <font>
      <sz val="8"/>
      <name val="Trebuchet MS"/>
      <family val="2"/>
    </font>
    <font>
      <sz val="10"/>
      <name val="Verdana"/>
      <family val="2"/>
    </font>
    <font>
      <sz val="9"/>
      <color indexed="8"/>
      <name val="Times New Roman"/>
      <family val="2"/>
    </font>
    <font>
      <sz val="11"/>
      <color indexed="63"/>
      <name val="Calibri"/>
      <family val="2"/>
    </font>
    <font>
      <sz val="14"/>
      <name val="AngsanaUPC"/>
      <family val="2"/>
    </font>
    <font>
      <sz val="10"/>
      <name val="Geneva"/>
      <family val="2"/>
    </font>
    <font>
      <sz val="10"/>
      <name val="BERNHARD"/>
    </font>
    <font>
      <sz val="10"/>
      <name val="Helv"/>
    </font>
    <font>
      <sz val="9"/>
      <name val="Tms Rmn"/>
    </font>
    <font>
      <sz val="24"/>
      <name val="MS Sans Serif"/>
      <family val="2"/>
    </font>
    <font>
      <sz val="10"/>
      <color indexed="60"/>
      <name val="Trebuchet MS"/>
      <family val="2"/>
    </font>
    <font>
      <b/>
      <sz val="24"/>
      <name val="Times New Roman"/>
      <family val="1"/>
    </font>
    <font>
      <sz val="24"/>
      <name val="Arial"/>
      <family val="2"/>
    </font>
    <font>
      <b/>
      <sz val="11"/>
      <color indexed="12"/>
      <name val="Arial"/>
      <family val="2"/>
    </font>
    <font>
      <sz val="10"/>
      <name val="MS Serif"/>
      <family val="1"/>
    </font>
    <font>
      <sz val="16"/>
      <color indexed="61"/>
      <name val="Century Schoolbook"/>
      <family val="1"/>
    </font>
    <font>
      <sz val="14"/>
      <name val="Palatino"/>
      <family val="1"/>
    </font>
    <font>
      <sz val="16"/>
      <name val="Palatino"/>
      <family val="1"/>
    </font>
    <font>
      <sz val="32"/>
      <name val="Helvetica-Black"/>
      <family val="2"/>
    </font>
    <font>
      <sz val="9"/>
      <name val="Bembo (DFS)"/>
    </font>
    <font>
      <sz val="12"/>
      <name val="Helv"/>
    </font>
    <font>
      <sz val="10"/>
      <color indexed="12"/>
      <name val="1000"/>
    </font>
    <font>
      <sz val="8"/>
      <color indexed="9"/>
      <name val="Arial"/>
      <family val="2"/>
    </font>
    <font>
      <sz val="8"/>
      <name val="Switzerland"/>
    </font>
    <font>
      <sz val="8"/>
      <color indexed="8"/>
      <name val="Arial"/>
      <family val="2"/>
    </font>
    <font>
      <b/>
      <sz val="10"/>
      <color indexed="17"/>
      <name val="Times New Roman"/>
      <family val="1"/>
    </font>
    <font>
      <b/>
      <sz val="8"/>
      <name val="Times New Roman"/>
      <family val="1"/>
    </font>
    <font>
      <sz val="1"/>
      <color indexed="8"/>
      <name val="Courier"/>
      <family val="3"/>
    </font>
    <font>
      <u val="doubleAccounting"/>
      <sz val="10"/>
      <name val="Arial"/>
      <family val="2"/>
    </font>
    <font>
      <sz val="9"/>
      <color indexed="18"/>
      <name val="Tahoma"/>
      <family val="2"/>
    </font>
    <font>
      <sz val="10"/>
      <color rgb="FF000000"/>
      <name val="Arial"/>
      <family val="2"/>
    </font>
    <font>
      <b/>
      <sz val="10"/>
      <color rgb="FF000000"/>
      <name val="Arial"/>
      <family val="2"/>
    </font>
    <font>
      <b/>
      <sz val="11"/>
      <color indexed="8"/>
      <name val="Calibri"/>
      <family val="2"/>
    </font>
    <font>
      <b/>
      <sz val="1"/>
      <color indexed="8"/>
      <name val="Courier"/>
      <family val="3"/>
    </font>
    <font>
      <sz val="24"/>
      <color indexed="13"/>
      <name val="SWISS"/>
    </font>
    <font>
      <sz val="10"/>
      <color indexed="16"/>
      <name val="MS Serif"/>
      <family val="1"/>
    </font>
    <font>
      <b/>
      <i/>
      <sz val="12"/>
      <name val="Helv"/>
    </font>
    <font>
      <i/>
      <sz val="11"/>
      <color indexed="23"/>
      <name val="Calibri"/>
      <family val="2"/>
    </font>
    <font>
      <sz val="8"/>
      <color indexed="17"/>
      <name val="Trebuchet MS"/>
      <family val="2"/>
    </font>
    <font>
      <sz val="10"/>
      <name val="Arial CE"/>
      <charset val="238"/>
    </font>
    <font>
      <sz val="10"/>
      <name val="Helv"/>
      <charset val="238"/>
    </font>
    <font>
      <sz val="6"/>
      <color indexed="23"/>
      <name val="Helvetica-Black"/>
      <family val="2"/>
    </font>
    <font>
      <sz val="9.5"/>
      <color indexed="23"/>
      <name val="Helvetica-Black"/>
      <family val="2"/>
    </font>
    <font>
      <sz val="7"/>
      <name val="Palatino"/>
      <family val="1"/>
    </font>
    <font>
      <b/>
      <sz val="14"/>
      <name val="SWISS"/>
    </font>
    <font>
      <b/>
      <sz val="12"/>
      <color indexed="53"/>
      <name val="Times New Roman"/>
      <family val="1"/>
    </font>
    <font>
      <b/>
      <sz val="8.5"/>
      <color indexed="17"/>
      <name val="Arial"/>
      <family val="2"/>
    </font>
    <font>
      <sz val="9"/>
      <name val="Bembo (DFS)"/>
      <family val="1"/>
    </font>
    <font>
      <sz val="11"/>
      <color indexed="17"/>
      <name val="Calibri"/>
      <family val="2"/>
    </font>
    <font>
      <i/>
      <sz val="10"/>
      <color indexed="17"/>
      <name val="Arial"/>
      <family val="2"/>
    </font>
    <font>
      <i/>
      <sz val="8"/>
      <color indexed="17"/>
      <name val="Times New Roman"/>
      <family val="1"/>
    </font>
    <font>
      <sz val="8"/>
      <color indexed="21"/>
      <name val="Arial"/>
      <family val="2"/>
    </font>
    <font>
      <sz val="8"/>
      <name val="Courier"/>
      <family val="3"/>
    </font>
    <font>
      <b/>
      <sz val="8"/>
      <name val="Courier"/>
      <family val="3"/>
    </font>
    <font>
      <b/>
      <u/>
      <sz val="10"/>
      <name val="Courier"/>
      <family val="3"/>
    </font>
    <font>
      <b/>
      <sz val="7"/>
      <color indexed="17"/>
      <name val="Arial"/>
      <family val="2"/>
    </font>
    <font>
      <sz val="8.5"/>
      <color indexed="8"/>
      <name val="Arial"/>
      <family val="2"/>
    </font>
    <font>
      <sz val="6"/>
      <name val="Palatino"/>
      <family val="1"/>
    </font>
    <font>
      <sz val="6"/>
      <color indexed="16"/>
      <name val="Palatino"/>
      <family val="1"/>
    </font>
    <font>
      <b/>
      <sz val="12"/>
      <name val="Arial"/>
      <family val="2"/>
    </font>
    <font>
      <b/>
      <i/>
      <sz val="24"/>
      <name val="Tms Rmn"/>
    </font>
    <font>
      <b/>
      <sz val="11"/>
      <name val="Switzerland"/>
    </font>
    <font>
      <b/>
      <sz val="15"/>
      <color indexed="56"/>
      <name val="Calibri"/>
      <family val="2"/>
    </font>
    <font>
      <sz val="10"/>
      <name val="Helvetica-Black"/>
      <family val="2"/>
    </font>
    <font>
      <sz val="28"/>
      <name val="Helvetica-Black"/>
      <family val="2"/>
    </font>
    <font>
      <b/>
      <sz val="13"/>
      <color indexed="56"/>
      <name val="Calibri"/>
      <family val="2"/>
    </font>
    <font>
      <sz val="10"/>
      <name val="Palatino"/>
      <family val="1"/>
    </font>
    <font>
      <sz val="18"/>
      <name val="Palatino"/>
      <family val="1"/>
    </font>
    <font>
      <b/>
      <sz val="11"/>
      <color indexed="56"/>
      <name val="Calibri"/>
      <family val="2"/>
    </font>
    <font>
      <b/>
      <i/>
      <sz val="10"/>
      <name val="Arial Narrow"/>
      <family val="2"/>
    </font>
    <font>
      <i/>
      <sz val="14"/>
      <name val="Palatino"/>
      <family val="1"/>
    </font>
    <font>
      <i/>
      <sz val="8"/>
      <name val="Switzerland"/>
    </font>
    <font>
      <i/>
      <sz val="7.5"/>
      <name val="Switzerland"/>
    </font>
    <font>
      <b/>
      <i/>
      <sz val="12"/>
      <name val="Times New Roman"/>
      <family val="1"/>
    </font>
    <font>
      <sz val="9"/>
      <color indexed="9"/>
      <name val="Helvetica 65 Medium"/>
      <family val="2"/>
    </font>
    <font>
      <b/>
      <sz val="8"/>
      <color indexed="24"/>
      <name val="Helvetica"/>
      <family val="2"/>
    </font>
    <font>
      <b/>
      <sz val="6"/>
      <name val="Palatino"/>
      <family val="1"/>
    </font>
    <font>
      <b/>
      <sz val="10"/>
      <name val="Arial Narrow"/>
      <family val="2"/>
    </font>
    <font>
      <b/>
      <sz val="9"/>
      <name val="Helv"/>
    </font>
    <font>
      <b/>
      <sz val="7"/>
      <color indexed="8"/>
      <name val="Tms Rmn"/>
    </font>
    <font>
      <sz val="7"/>
      <color indexed="8"/>
      <name val="Tms Rmn"/>
    </font>
    <font>
      <u/>
      <sz val="10"/>
      <color indexed="12"/>
      <name val="Arial CE"/>
      <charset val="238"/>
    </font>
    <font>
      <sz val="8"/>
      <color indexed="30"/>
      <name val="Trebuchet MS"/>
      <family val="2"/>
    </font>
    <font>
      <u/>
      <sz val="8"/>
      <color indexed="12"/>
      <name val="Trebuchet MS"/>
      <family val="2"/>
    </font>
    <font>
      <u/>
      <sz val="8.9"/>
      <color indexed="12"/>
      <name val="Arial"/>
      <family val="2"/>
    </font>
    <font>
      <u/>
      <sz val="10"/>
      <color theme="10"/>
      <name val="Arial"/>
      <family val="2"/>
    </font>
    <font>
      <b/>
      <sz val="10"/>
      <name val="Times New Roman"/>
      <family val="1"/>
    </font>
    <font>
      <sz val="8"/>
      <color indexed="17"/>
      <name val="Times New Roman"/>
      <family val="1"/>
    </font>
    <font>
      <sz val="11"/>
      <color indexed="62"/>
      <name val="Calibri"/>
      <family val="2"/>
    </font>
    <font>
      <sz val="8"/>
      <color indexed="39"/>
      <name val="Arial"/>
      <family val="2"/>
    </font>
    <font>
      <sz val="10"/>
      <color indexed="17"/>
      <name val="Helvetica"/>
      <family val="2"/>
    </font>
    <font>
      <sz val="8"/>
      <name val="Univers (W1)"/>
      <family val="2"/>
    </font>
    <font>
      <sz val="8"/>
      <color indexed="14"/>
      <name val="Times New Roman"/>
      <family val="1"/>
    </font>
    <font>
      <sz val="11"/>
      <name val="Arial"/>
      <family val="2"/>
    </font>
    <font>
      <i/>
      <sz val="10"/>
      <name val="Arial"/>
      <family val="2"/>
    </font>
    <font>
      <sz val="10"/>
      <name val="Trebuchet MS"/>
      <family val="2"/>
    </font>
    <font>
      <sz val="10"/>
      <name val="ＭＳ ゴシック"/>
      <family val="3"/>
      <charset val="128"/>
    </font>
    <font>
      <b/>
      <sz val="14"/>
      <name val="Helv"/>
    </font>
    <font>
      <sz val="10"/>
      <color indexed="9"/>
      <name val="Arial"/>
      <family val="2"/>
    </font>
    <font>
      <sz val="11"/>
      <color indexed="52"/>
      <name val="Calibri"/>
      <family val="2"/>
    </font>
    <font>
      <sz val="9"/>
      <color indexed="17"/>
      <name val="Tahoma"/>
      <family val="2"/>
    </font>
    <font>
      <sz val="9"/>
      <color indexed="12"/>
      <name val="Times New Roman"/>
      <family val="1"/>
    </font>
    <font>
      <b/>
      <sz val="14"/>
      <name val="Arial"/>
      <family val="2"/>
    </font>
    <font>
      <b/>
      <sz val="8"/>
      <color indexed="14"/>
      <name val="MS Sans Serif"/>
      <family val="2"/>
    </font>
    <font>
      <sz val="8"/>
      <color indexed="18"/>
      <name val="Times New Roman"/>
      <family val="1"/>
    </font>
    <font>
      <b/>
      <sz val="8"/>
      <color indexed="8"/>
      <name val="Times New Roman"/>
      <family val="1"/>
    </font>
    <font>
      <b/>
      <sz val="11"/>
      <name val="Helv"/>
    </font>
    <font>
      <sz val="11"/>
      <color indexed="60"/>
      <name val="Calibri"/>
      <family val="2"/>
    </font>
    <font>
      <sz val="10"/>
      <color indexed="10"/>
      <name val="MS Sans Serif"/>
      <family val="2"/>
    </font>
    <font>
      <sz val="7"/>
      <name val="Small Fonts"/>
      <family val="2"/>
    </font>
    <font>
      <b/>
      <i/>
      <sz val="16"/>
      <name val="Helv"/>
    </font>
    <font>
      <b/>
      <u/>
      <sz val="12"/>
      <name val="L Serifa Light"/>
    </font>
    <font>
      <sz val="11"/>
      <color indexed="8"/>
      <name val="Arial"/>
      <family val="2"/>
    </font>
    <font>
      <sz val="11"/>
      <color theme="1"/>
      <name val="Calibri"/>
      <family val="2"/>
    </font>
    <font>
      <sz val="10"/>
      <name val="Tahoma"/>
      <family val="2"/>
    </font>
    <font>
      <sz val="11"/>
      <name val="Times New Roman"/>
      <family val="1"/>
    </font>
    <font>
      <b/>
      <u/>
      <sz val="11"/>
      <name val="Times New Roman"/>
      <family val="1"/>
    </font>
    <font>
      <sz val="8"/>
      <name val="MS Sans Serif"/>
      <family val="2"/>
    </font>
    <font>
      <sz val="10"/>
      <name val="GWFranklin"/>
      <charset val="238"/>
    </font>
    <font>
      <i/>
      <sz val="10"/>
      <name val="Helv"/>
      <family val="2"/>
    </font>
    <font>
      <sz val="8.5"/>
      <name val="Arial Narrow"/>
      <family val="2"/>
    </font>
    <font>
      <i/>
      <sz val="9"/>
      <color indexed="12"/>
      <name val="Helv"/>
    </font>
    <font>
      <b/>
      <sz val="11"/>
      <color indexed="63"/>
      <name val="Calibri"/>
      <family val="2"/>
    </font>
    <font>
      <sz val="10"/>
      <name val="Arial Narrow"/>
      <family val="2"/>
    </font>
    <font>
      <b/>
      <sz val="14"/>
      <name val="Times New Roman"/>
      <family val="1"/>
    </font>
    <font>
      <sz val="12"/>
      <name val="Helvetica-Black"/>
      <family val="2"/>
    </font>
    <font>
      <i/>
      <sz val="10"/>
      <name val="Helvetica"/>
      <family val="2"/>
    </font>
    <font>
      <sz val="9"/>
      <name val="Helvetica 46 LightItalic"/>
      <family val="2"/>
    </font>
    <font>
      <sz val="10"/>
      <name val="Tms Rmn"/>
      <family val="1"/>
    </font>
    <font>
      <sz val="9"/>
      <name val="GS TheSans"/>
    </font>
    <font>
      <u/>
      <sz val="10"/>
      <name val="GillSans"/>
      <family val="2"/>
    </font>
    <font>
      <sz val="8"/>
      <color indexed="10"/>
      <name val="Arial"/>
      <family val="2"/>
    </font>
    <font>
      <i/>
      <sz val="14"/>
      <name val="Arial"/>
      <family val="2"/>
    </font>
    <font>
      <i/>
      <sz val="11"/>
      <name val="Arial"/>
      <family val="2"/>
    </font>
    <font>
      <sz val="10"/>
      <name val="GillSans Light"/>
      <family val="2"/>
    </font>
    <font>
      <sz val="10"/>
      <color indexed="8"/>
      <name val="Times New Roman"/>
      <family val="1"/>
    </font>
    <font>
      <sz val="10"/>
      <color indexed="12"/>
      <name val="MS Sans Serif"/>
      <family val="2"/>
    </font>
    <font>
      <b/>
      <sz val="8"/>
      <color indexed="9"/>
      <name val="Arial"/>
      <family val="2"/>
    </font>
    <font>
      <sz val="12"/>
      <name val="Helvetica"/>
      <family val="2"/>
    </font>
    <font>
      <b/>
      <sz val="18"/>
      <color indexed="62"/>
      <name val="Cambria"/>
      <family val="2"/>
    </font>
    <font>
      <u val="singleAccounting"/>
      <sz val="10"/>
      <name val="Arial"/>
      <family val="2"/>
    </font>
    <font>
      <i/>
      <sz val="8"/>
      <name val="Times New Roman"/>
      <family val="1"/>
    </font>
    <font>
      <sz val="12"/>
      <name val="Arial MT"/>
    </font>
    <font>
      <b/>
      <sz val="11"/>
      <color indexed="23"/>
      <name val="Arial"/>
      <family val="2"/>
    </font>
    <font>
      <b/>
      <sz val="14"/>
      <color indexed="9"/>
      <name val="Arial"/>
      <family val="2"/>
    </font>
    <font>
      <b/>
      <sz val="12"/>
      <color indexed="9"/>
      <name val="Arial"/>
      <family val="2"/>
    </font>
    <font>
      <b/>
      <i/>
      <sz val="8"/>
      <color indexed="9"/>
      <name val="Arial"/>
      <family val="2"/>
    </font>
    <font>
      <b/>
      <sz val="12"/>
      <color indexed="56"/>
      <name val="Times New Roman"/>
      <family val="1"/>
    </font>
    <font>
      <sz val="7"/>
      <color indexed="56"/>
      <name val="Times New Roman"/>
      <family val="1"/>
    </font>
    <font>
      <sz val="10"/>
      <color indexed="56"/>
      <name val="Times New Roman"/>
      <family val="1"/>
    </font>
    <font>
      <b/>
      <sz val="11"/>
      <color indexed="8"/>
      <name val="Arial"/>
      <family val="2"/>
    </font>
    <font>
      <b/>
      <sz val="11"/>
      <color indexed="39"/>
      <name val="Arial"/>
      <family val="2"/>
    </font>
    <font>
      <sz val="10"/>
      <color indexed="39"/>
      <name val="Arial"/>
      <family val="2"/>
    </font>
    <font>
      <b/>
      <sz val="11"/>
      <color indexed="10"/>
      <name val="Arial"/>
      <family val="2"/>
    </font>
    <font>
      <sz val="10"/>
      <color indexed="10"/>
      <name val="Arial"/>
      <family val="2"/>
    </font>
    <font>
      <sz val="10"/>
      <color indexed="23"/>
      <name val="Arial"/>
      <family val="2"/>
    </font>
    <font>
      <b/>
      <sz val="11"/>
      <color indexed="9"/>
      <name val="Arial"/>
      <family val="2"/>
    </font>
    <font>
      <sz val="9"/>
      <color indexed="39"/>
      <name val="Arial"/>
      <family val="2"/>
    </font>
    <font>
      <sz val="9"/>
      <color indexed="10"/>
      <name val="Arial"/>
      <family val="2"/>
    </font>
    <font>
      <b/>
      <sz val="11"/>
      <color indexed="33"/>
      <name val="Arial"/>
      <family val="2"/>
    </font>
    <font>
      <sz val="9"/>
      <color indexed="33"/>
      <name val="Arial"/>
      <family val="2"/>
    </font>
    <font>
      <b/>
      <sz val="10"/>
      <color indexed="39"/>
      <name val="Arial"/>
      <family val="2"/>
    </font>
    <font>
      <b/>
      <sz val="10"/>
      <color indexed="8"/>
      <name val="Arial"/>
      <family val="2"/>
    </font>
    <font>
      <b/>
      <sz val="10"/>
      <color indexed="10"/>
      <name val="Arial"/>
      <family val="2"/>
    </font>
    <font>
      <b/>
      <sz val="10"/>
      <color indexed="33"/>
      <name val="Arial"/>
      <family val="2"/>
    </font>
    <font>
      <sz val="9"/>
      <color indexed="9"/>
      <name val="Arial"/>
      <family val="2"/>
    </font>
    <font>
      <b/>
      <sz val="8"/>
      <name val="HelveticaNeue Condensed"/>
    </font>
    <font>
      <sz val="8"/>
      <name val="HelveticaNeue LightCond"/>
      <family val="2"/>
    </font>
    <font>
      <b/>
      <sz val="7"/>
      <name val="HelveticaNeue Condensed"/>
      <family val="2"/>
    </font>
    <font>
      <i/>
      <sz val="8"/>
      <name val="Trebuchet MS"/>
      <family val="2"/>
    </font>
    <font>
      <b/>
      <sz val="9"/>
      <name val="Times New Roman"/>
      <family val="1"/>
    </font>
    <font>
      <sz val="7"/>
      <name val="Times New Roman"/>
      <family val="1"/>
    </font>
    <font>
      <sz val="7"/>
      <color indexed="17"/>
      <name val="Times New Roman"/>
      <family val="1"/>
    </font>
    <font>
      <b/>
      <sz val="8"/>
      <color indexed="16"/>
      <name val="Arial"/>
      <family val="2"/>
    </font>
    <font>
      <sz val="7"/>
      <color indexed="18"/>
      <name val="Times New Roman"/>
      <family val="1"/>
    </font>
    <font>
      <b/>
      <sz val="8"/>
      <color indexed="8"/>
      <name val="Helv"/>
    </font>
    <font>
      <sz val="9"/>
      <name val="NewsGoth Lt BT"/>
      <family val="2"/>
    </font>
    <font>
      <sz val="9"/>
      <name val="NewsGoth Dm BT"/>
      <family val="2"/>
    </font>
    <font>
      <b/>
      <sz val="10"/>
      <color indexed="18"/>
      <name val="Symbol"/>
      <family val="1"/>
      <charset val="2"/>
    </font>
    <font>
      <b/>
      <sz val="10"/>
      <color theme="2"/>
      <name val="Arial"/>
      <family val="2"/>
    </font>
    <font>
      <b/>
      <sz val="10"/>
      <name val="Palatino"/>
      <family val="1"/>
    </font>
    <font>
      <b/>
      <sz val="9"/>
      <name val="Palatino"/>
      <family val="1"/>
    </font>
    <font>
      <sz val="9"/>
      <color indexed="21"/>
      <name val="Helvetica-Black"/>
      <family val="2"/>
    </font>
    <font>
      <b/>
      <sz val="11"/>
      <name val="Times New Roman"/>
      <family val="1"/>
    </font>
    <font>
      <b/>
      <u val="singleAccounting"/>
      <sz val="10"/>
      <name val="Arial Narrow"/>
      <family val="2"/>
    </font>
    <font>
      <b/>
      <sz val="11"/>
      <color theme="2"/>
      <name val="Calibri"/>
      <family val="2"/>
      <scheme val="minor"/>
    </font>
    <font>
      <b/>
      <sz val="10"/>
      <color indexed="9"/>
      <name val="Tahoma"/>
      <family val="2"/>
    </font>
    <font>
      <sz val="9"/>
      <color theme="2"/>
      <name val="Arial"/>
      <family val="2"/>
    </font>
    <font>
      <b/>
      <sz val="8.5"/>
      <color indexed="8"/>
      <name val="Arial"/>
      <family val="2"/>
    </font>
    <font>
      <sz val="8"/>
      <name val="Helvetica-Narrow"/>
      <family val="2"/>
    </font>
    <font>
      <b/>
      <sz val="12"/>
      <name val="GillSans"/>
      <family val="2"/>
    </font>
    <font>
      <sz val="12"/>
      <name val="Palatino"/>
      <family val="1"/>
    </font>
    <font>
      <sz val="11"/>
      <name val="Helvetica-Black"/>
      <family val="2"/>
    </font>
    <font>
      <sz val="16"/>
      <name val="Univers"/>
      <family val="2"/>
    </font>
    <font>
      <sz val="24"/>
      <color indexed="13"/>
      <name val="Helv"/>
    </font>
    <font>
      <sz val="12"/>
      <color indexed="13"/>
      <name val="Helv"/>
    </font>
    <font>
      <b/>
      <sz val="18"/>
      <color indexed="56"/>
      <name val="Cambria"/>
      <family val="2"/>
    </font>
    <font>
      <b/>
      <sz val="13"/>
      <color indexed="62"/>
      <name val="Arial"/>
      <family val="2"/>
    </font>
    <font>
      <b/>
      <sz val="10"/>
      <color indexed="16"/>
      <name val="Times New Roman"/>
      <family val="1"/>
    </font>
    <font>
      <b/>
      <sz val="8"/>
      <color indexed="18"/>
      <name val="Times New Roman"/>
      <family val="1"/>
    </font>
    <font>
      <u/>
      <sz val="11"/>
      <name val="GillSans"/>
      <family val="2"/>
    </font>
    <font>
      <b/>
      <sz val="12"/>
      <name val="Helv"/>
    </font>
    <font>
      <b/>
      <sz val="7"/>
      <color indexed="12"/>
      <name val="Arial"/>
      <family val="2"/>
    </font>
    <font>
      <sz val="11"/>
      <color indexed="10"/>
      <name val="Calibri"/>
      <family val="2"/>
    </font>
    <font>
      <b/>
      <sz val="8"/>
      <color indexed="8"/>
      <name val="Wingdings"/>
      <charset val="2"/>
    </font>
    <font>
      <b/>
      <sz val="8"/>
      <color indexed="10"/>
      <name val="Wingdings"/>
      <charset val="2"/>
    </font>
    <font>
      <b/>
      <sz val="8"/>
      <color indexed="9"/>
      <name val="Wingdings"/>
      <charset val="2"/>
    </font>
    <font>
      <sz val="9"/>
      <color indexed="8"/>
      <name val="Helv"/>
      <family val="2"/>
    </font>
    <font>
      <sz val="12"/>
      <name val="바탕체"/>
      <family val="1"/>
      <charset val="129"/>
    </font>
    <font>
      <sz val="12"/>
      <name val="新細明體"/>
      <family val="1"/>
      <charset val="136"/>
    </font>
    <font>
      <sz val="11"/>
      <name val="Calibri"/>
      <family val="2"/>
      <scheme val="minor"/>
    </font>
    <font>
      <i/>
      <sz val="9"/>
      <color rgb="FF0000FF"/>
      <name val="Arial"/>
      <family val="2"/>
    </font>
    <font>
      <b/>
      <sz val="9"/>
      <color rgb="FF008000"/>
      <name val="Arial"/>
      <family val="2"/>
    </font>
    <font>
      <b/>
      <sz val="9"/>
      <name val="Calibri"/>
      <family val="2"/>
      <scheme val="minor"/>
    </font>
    <font>
      <i/>
      <sz val="9"/>
      <color rgb="FF0000FF"/>
      <name val="Calibri"/>
      <family val="2"/>
      <scheme val="minor"/>
    </font>
    <font>
      <u/>
      <sz val="11"/>
      <color theme="10"/>
      <name val="Calibri"/>
      <family val="2"/>
      <scheme val="minor"/>
    </font>
    <font>
      <i/>
      <sz val="11"/>
      <color theme="1"/>
      <name val="Calibri"/>
      <family val="2"/>
      <scheme val="minor"/>
    </font>
    <font>
      <b/>
      <sz val="9"/>
      <color rgb="FF00B050"/>
      <name val="Calibri"/>
      <family val="2"/>
      <scheme val="minor"/>
    </font>
    <font>
      <i/>
      <sz val="9"/>
      <color rgb="FF00B050"/>
      <name val="Arial"/>
      <family val="2"/>
    </font>
    <font>
      <sz val="11"/>
      <color rgb="FF0000FF"/>
      <name val="Calibri"/>
      <family val="2"/>
      <scheme val="minor"/>
    </font>
    <font>
      <i/>
      <sz val="9"/>
      <color rgb="FF008000"/>
      <name val="Arial"/>
      <family val="2"/>
    </font>
    <font>
      <sz val="8"/>
      <color rgb="FF00B050"/>
      <name val="Calibri"/>
      <family val="2"/>
      <scheme val="minor"/>
    </font>
    <font>
      <b/>
      <sz val="8"/>
      <color rgb="FF000000"/>
      <name val="Noto Sans"/>
      <family val="2"/>
    </font>
    <font>
      <sz val="8"/>
      <color rgb="FF000000"/>
      <name val="Noto Sans"/>
      <family val="2"/>
    </font>
    <font>
      <sz val="8"/>
      <color theme="1"/>
      <name val="Noto Sans"/>
      <family val="2"/>
    </font>
    <font>
      <sz val="10"/>
      <name val="Arial"/>
      <family val="2"/>
    </font>
    <font>
      <b/>
      <sz val="11"/>
      <color rgb="FF0000FF"/>
      <name val="Calibri"/>
      <family val="2"/>
      <scheme val="minor"/>
    </font>
    <font>
      <b/>
      <sz val="9"/>
      <color rgb="FF03050A"/>
      <name val="Roboto"/>
    </font>
    <font>
      <b/>
      <sz val="8"/>
      <name val="Noto Sans"/>
      <family val="2"/>
    </font>
    <font>
      <sz val="8"/>
      <name val="Noto Sans"/>
      <family val="2"/>
    </font>
    <font>
      <b/>
      <i/>
      <sz val="9"/>
      <name val="Arial"/>
      <family val="2"/>
    </font>
    <font>
      <b/>
      <sz val="14"/>
      <color theme="0"/>
      <name val="Calibri"/>
      <family val="2"/>
      <scheme val="minor"/>
    </font>
    <font>
      <b/>
      <sz val="26"/>
      <color theme="0"/>
      <name val="Calibri"/>
      <family val="2"/>
    </font>
    <font>
      <b/>
      <sz val="10"/>
      <color indexed="9"/>
      <name val="Verdana"/>
      <family val="2"/>
    </font>
    <font>
      <b/>
      <sz val="10"/>
      <color indexed="12"/>
      <name val="Verdana"/>
      <family val="2"/>
    </font>
    <font>
      <b/>
      <i/>
      <sz val="10"/>
      <color indexed="12"/>
      <name val="Verdana"/>
      <family val="2"/>
    </font>
    <font>
      <sz val="11"/>
      <color theme="4"/>
      <name val="Calibri"/>
      <family val="2"/>
      <scheme val="minor"/>
    </font>
    <font>
      <sz val="5"/>
      <color theme="1"/>
      <name val="Noto Sans"/>
      <family val="2"/>
    </font>
    <font>
      <i/>
      <sz val="5"/>
      <color theme="1"/>
      <name val="Noto Sans"/>
      <family val="2"/>
    </font>
    <font>
      <sz val="10"/>
      <color rgb="FF000000"/>
      <name val="MyFirstFont"/>
    </font>
    <font>
      <b/>
      <sz val="10"/>
      <color rgb="FF0070C0"/>
      <name val="Calibri"/>
      <family val="2"/>
      <scheme val="minor"/>
    </font>
    <font>
      <sz val="8"/>
      <name val="Calibri"/>
      <family val="2"/>
      <scheme val="minor"/>
    </font>
    <font>
      <sz val="12"/>
      <color theme="1"/>
      <name val="Aptos"/>
      <family val="2"/>
    </font>
    <font>
      <b/>
      <sz val="9"/>
      <color theme="1"/>
      <name val="Calibri"/>
      <family val="2"/>
    </font>
    <font>
      <sz val="9"/>
      <color rgb="FF000000"/>
      <name val="Calibri"/>
      <family val="2"/>
    </font>
    <font>
      <sz val="9"/>
      <color theme="1"/>
      <name val="Calibri"/>
      <family val="2"/>
    </font>
    <font>
      <sz val="8"/>
      <color rgb="FF000000"/>
      <name val="Calibri"/>
      <family val="2"/>
    </font>
    <font>
      <sz val="9"/>
      <color indexed="81"/>
      <name val="Tahoma"/>
      <charset val="1"/>
    </font>
    <font>
      <b/>
      <sz val="9"/>
      <color indexed="81"/>
      <name val="Tahoma"/>
      <charset val="1"/>
    </font>
    <font>
      <b/>
      <sz val="14"/>
      <color rgb="FFFFFFFF"/>
      <name val="Calibri"/>
      <scheme val="minor"/>
    </font>
    <font>
      <i/>
      <sz val="10"/>
      <color rgb="FF595959"/>
      <name val="Calibri"/>
      <family val="2"/>
      <scheme val="minor"/>
    </font>
    <font>
      <sz val="10"/>
      <color theme="1"/>
      <name val="Calibri"/>
      <family val="2"/>
      <scheme val="minor"/>
    </font>
    <font>
      <i/>
      <sz val="10"/>
      <color theme="1"/>
      <name val="Calibri"/>
      <family val="2"/>
      <scheme val="minor"/>
    </font>
    <font>
      <sz val="11"/>
      <color rgb="FF008000"/>
      <name val="Calibri"/>
      <family val="2"/>
      <scheme val="minor"/>
    </font>
    <font>
      <i/>
      <sz val="9"/>
      <color rgb="FF595959"/>
      <name val="Calibri"/>
      <family val="2"/>
      <scheme val="minor"/>
    </font>
    <font>
      <b/>
      <sz val="11"/>
      <color rgb="FFFFFFFF"/>
      <name val="Calibri"/>
      <family val="2"/>
      <scheme val="minor"/>
    </font>
    <font>
      <b/>
      <sz val="11"/>
      <color theme="1"/>
      <name val="Calibri"/>
      <scheme val="minor"/>
    </font>
    <font>
      <b/>
      <sz val="11"/>
      <color rgb="FF0070C0"/>
      <name val="Calibri"/>
      <family val="2"/>
      <scheme val="minor"/>
    </font>
    <font>
      <b/>
      <sz val="10"/>
      <color rgb="FFFFFFFF"/>
      <name val="Calibri"/>
      <family val="2"/>
      <scheme val="minor"/>
    </font>
  </fonts>
  <fills count="100">
    <fill>
      <patternFill patternType="none"/>
    </fill>
    <fill>
      <patternFill patternType="gray125"/>
    </fill>
    <fill>
      <patternFill patternType="solid">
        <fgColor rgb="FFFCDCDB"/>
        <bgColor indexed="64"/>
      </patternFill>
    </fill>
    <fill>
      <patternFill patternType="solid">
        <fgColor rgb="FFDBFCEC"/>
        <bgColor indexed="64"/>
      </patternFill>
    </fill>
    <fill>
      <patternFill patternType="solid">
        <fgColor rgb="FFFFFF00"/>
        <bgColor indexed="64"/>
      </patternFill>
    </fill>
    <fill>
      <patternFill patternType="solid">
        <fgColor rgb="FFD9EAF0"/>
        <bgColor indexed="64"/>
      </patternFill>
    </fill>
    <fill>
      <patternFill patternType="solid">
        <fgColor rgb="FFFFFFCC"/>
        <bgColor indexed="64"/>
      </patternFill>
    </fill>
    <fill>
      <patternFill patternType="solid">
        <fgColor rgb="FFEAEAEA"/>
        <bgColor indexed="64"/>
      </patternFill>
    </fill>
    <fill>
      <patternFill patternType="solid">
        <fgColor theme="0" tint="-4.9989318521683403E-2"/>
        <bgColor indexed="64"/>
      </patternFill>
    </fill>
    <fill>
      <patternFill patternType="solid">
        <fgColor indexed="22"/>
        <bgColor indexed="64"/>
      </patternFill>
    </fill>
    <fill>
      <patternFill patternType="solid">
        <fgColor indexed="9"/>
        <bgColor indexed="64"/>
      </patternFill>
    </fill>
    <fill>
      <patternFill patternType="solid">
        <fgColor theme="1"/>
        <bgColor indexed="64"/>
      </patternFill>
    </fill>
    <fill>
      <patternFill patternType="solid">
        <fgColor theme="0" tint="-0.14999847407452621"/>
        <bgColor indexed="64"/>
      </patternFill>
    </fill>
    <fill>
      <patternFill patternType="solid">
        <fgColor indexed="43"/>
      </patternFill>
    </fill>
    <fill>
      <patternFill patternType="solid">
        <fgColor indexed="51"/>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35"/>
        <bgColor indexed="64"/>
      </patternFill>
    </fill>
    <fill>
      <patternFill patternType="solid">
        <fgColor indexed="41"/>
        <bgColor indexed="64"/>
      </patternFill>
    </fill>
    <fill>
      <patternFill patternType="gray0625">
        <fgColor indexed="10"/>
        <bgColor indexed="9"/>
      </patternFill>
    </fill>
    <fill>
      <patternFill patternType="solid">
        <fgColor indexed="26"/>
        <bgColor indexed="64"/>
      </patternFill>
    </fill>
    <fill>
      <patternFill patternType="solid">
        <fgColor indexed="18"/>
        <bgColor indexed="64"/>
      </patternFill>
    </fill>
    <fill>
      <patternFill patternType="solid">
        <fgColor indexed="43"/>
        <bgColor indexed="64"/>
      </patternFill>
    </fill>
    <fill>
      <patternFill patternType="lightGray">
        <fgColor indexed="14"/>
        <bgColor indexed="9"/>
      </patternFill>
    </fill>
    <fill>
      <patternFill patternType="solid">
        <fgColor indexed="42"/>
        <bgColor indexed="64"/>
      </patternFill>
    </fill>
    <fill>
      <patternFill patternType="solid">
        <fgColor indexed="22"/>
      </patternFill>
    </fill>
    <fill>
      <patternFill patternType="solid">
        <fgColor indexed="12"/>
        <bgColor indexed="64"/>
      </patternFill>
    </fill>
    <fill>
      <patternFill patternType="solid">
        <fgColor indexed="55"/>
      </patternFill>
    </fill>
    <fill>
      <patternFill patternType="mediumGray">
        <fgColor indexed="22"/>
      </patternFill>
    </fill>
    <fill>
      <patternFill patternType="lightGray">
        <fgColor indexed="12"/>
      </patternFill>
    </fill>
    <fill>
      <patternFill patternType="solid">
        <fgColor indexed="47"/>
        <bgColor indexed="64"/>
      </patternFill>
    </fill>
    <fill>
      <patternFill patternType="solid">
        <fgColor indexed="37"/>
        <bgColor indexed="64"/>
      </patternFill>
    </fill>
    <fill>
      <patternFill patternType="solid">
        <fgColor indexed="56"/>
        <bgColor indexed="64"/>
      </patternFill>
    </fill>
    <fill>
      <patternFill patternType="solid">
        <fgColor indexed="11"/>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12"/>
        <bgColor indexed="12"/>
      </patternFill>
    </fill>
    <fill>
      <patternFill patternType="gray0625">
        <fgColor indexed="13"/>
        <bgColor indexed="9"/>
      </patternFill>
    </fill>
    <fill>
      <patternFill patternType="solid">
        <fgColor indexed="15"/>
        <bgColor indexed="64"/>
      </patternFill>
    </fill>
    <fill>
      <patternFill patternType="lightGray">
        <fgColor indexed="12"/>
        <bgColor indexed="9"/>
      </patternFill>
    </fill>
    <fill>
      <patternFill patternType="solid">
        <fgColor indexed="13"/>
        <bgColor indexed="13"/>
      </patternFill>
    </fill>
    <fill>
      <patternFill patternType="solid">
        <fgColor indexed="23"/>
        <bgColor indexed="64"/>
      </patternFill>
    </fill>
    <fill>
      <patternFill patternType="solid">
        <fgColor indexed="11"/>
        <bgColor indexed="9"/>
      </patternFill>
    </fill>
    <fill>
      <patternFill patternType="gray0625">
        <fgColor indexed="22"/>
      </patternFill>
    </fill>
    <fill>
      <patternFill patternType="solid">
        <fgColor indexed="13"/>
      </patternFill>
    </fill>
    <fill>
      <patternFill patternType="solid">
        <fgColor indexed="29"/>
        <bgColor indexed="64"/>
      </patternFill>
    </fill>
    <fill>
      <patternFill patternType="solid">
        <fgColor indexed="40"/>
        <bgColor indexed="64"/>
      </patternFill>
    </fill>
    <fill>
      <patternFill patternType="solid">
        <fgColor indexed="26"/>
      </patternFill>
    </fill>
    <fill>
      <patternFill patternType="mediumGray">
        <fgColor indexed="9"/>
        <bgColor indexed="14"/>
      </patternFill>
    </fill>
    <fill>
      <patternFill patternType="solid">
        <fgColor indexed="8"/>
        <bgColor indexed="64"/>
      </patternFill>
    </fill>
    <fill>
      <patternFill patternType="lightGray">
        <fgColor indexed="22"/>
        <bgColor indexed="9"/>
      </patternFill>
    </fill>
    <fill>
      <patternFill patternType="solid">
        <fgColor indexed="63"/>
        <bgColor indexed="64"/>
      </patternFill>
    </fill>
    <fill>
      <patternFill patternType="solid">
        <fgColor indexed="62"/>
        <bgColor indexed="64"/>
      </patternFill>
    </fill>
    <fill>
      <patternFill patternType="solid">
        <fgColor indexed="10"/>
        <bgColor indexed="64"/>
      </patternFill>
    </fill>
    <fill>
      <patternFill patternType="solid">
        <fgColor indexed="16"/>
        <bgColor indexed="64"/>
      </patternFill>
    </fill>
    <fill>
      <patternFill patternType="solid">
        <fgColor indexed="54"/>
        <bgColor indexed="64"/>
      </patternFill>
    </fill>
    <fill>
      <patternFill patternType="solid">
        <fgColor indexed="12"/>
      </patternFill>
    </fill>
    <fill>
      <patternFill patternType="solid">
        <fgColor indexed="27"/>
        <bgColor indexed="64"/>
      </patternFill>
    </fill>
    <fill>
      <patternFill patternType="solid">
        <fgColor rgb="FFA4B3B9"/>
        <bgColor indexed="64"/>
      </patternFill>
    </fill>
    <fill>
      <patternFill patternType="solid">
        <fgColor rgb="FFFF0000"/>
        <bgColor indexed="64"/>
      </patternFill>
    </fill>
    <fill>
      <patternFill patternType="solid">
        <fgColor theme="0" tint="-0.249977111117893"/>
        <bgColor indexed="64"/>
      </patternFill>
    </fill>
    <fill>
      <patternFill patternType="solid">
        <fgColor rgb="FFF2F2F2"/>
        <bgColor indexed="64"/>
      </patternFill>
    </fill>
    <fill>
      <patternFill patternType="solid">
        <fgColor rgb="FFFFDA65"/>
        <bgColor indexed="64"/>
      </patternFill>
    </fill>
    <fill>
      <patternFill patternType="solid">
        <fgColor rgb="FFBFBFBF"/>
        <bgColor indexed="64"/>
      </patternFill>
    </fill>
    <fill>
      <patternFill patternType="solid">
        <fgColor rgb="FFFBE4D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C7CE"/>
        <bgColor indexed="64"/>
      </patternFill>
    </fill>
    <fill>
      <patternFill patternType="solid">
        <fgColor theme="9" tint="0.79998168889431442"/>
        <bgColor indexed="64"/>
      </patternFill>
    </fill>
    <fill>
      <patternFill patternType="solid">
        <fgColor rgb="FFFCD5B4"/>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rgb="FF1F3864"/>
        <bgColor indexed="64"/>
      </patternFill>
    </fill>
    <fill>
      <patternFill patternType="solid">
        <fgColor rgb="FFD9EAF7"/>
        <bgColor indexed="64"/>
      </patternFill>
    </fill>
    <fill>
      <patternFill patternType="solid">
        <fgColor rgb="FFFFE699"/>
        <bgColor indexed="64"/>
      </patternFill>
    </fill>
    <fill>
      <patternFill patternType="solid">
        <fgColor rgb="FFE2EFDA"/>
        <bgColor indexed="64"/>
      </patternFill>
    </fill>
  </fills>
  <borders count="100">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rgb="FFFF0000"/>
      </bottom>
      <diagonal/>
    </border>
    <border>
      <left style="thin">
        <color auto="1"/>
      </left>
      <right/>
      <top/>
      <bottom style="medium">
        <color rgb="FFFF0000"/>
      </bottom>
      <diagonal/>
    </border>
    <border>
      <left/>
      <right style="thin">
        <color auto="1"/>
      </right>
      <top/>
      <bottom style="medium">
        <color rgb="FFFF0000"/>
      </bottom>
      <diagonal/>
    </border>
    <border>
      <left/>
      <right/>
      <top style="thin">
        <color theme="0" tint="-0.24994659260841701"/>
      </top>
      <bottom style="thin">
        <color theme="0" tint="-0.2499465926084170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8"/>
      </top>
      <bottom style="thin">
        <color indexed="8"/>
      </bottom>
      <diagonal/>
    </border>
    <border>
      <left/>
      <right/>
      <top style="hair">
        <color indexed="8"/>
      </top>
      <bottom style="hair">
        <color indexed="8"/>
      </bottom>
      <diagonal/>
    </border>
    <border>
      <left/>
      <right/>
      <top/>
      <bottom style="medium">
        <color indexed="18"/>
      </bottom>
      <diagonal/>
    </border>
    <border>
      <left style="medium">
        <color indexed="64"/>
      </left>
      <right style="medium">
        <color indexed="64"/>
      </right>
      <top/>
      <bottom/>
      <diagonal/>
    </border>
    <border>
      <left style="medium">
        <color indexed="64"/>
      </left>
      <right style="medium">
        <color indexed="64"/>
      </right>
      <top/>
      <bottom style="thick">
        <color indexed="37"/>
      </bottom>
      <diagonal/>
    </border>
    <border>
      <left style="thin">
        <color indexed="9"/>
      </left>
      <right style="thin">
        <color indexed="9"/>
      </right>
      <top style="thin">
        <color indexed="9"/>
      </top>
      <bottom style="thin">
        <color indexed="9"/>
      </bottom>
      <diagonal/>
    </border>
    <border>
      <left style="medium">
        <color indexed="9"/>
      </left>
      <right style="medium">
        <color indexed="9"/>
      </right>
      <top/>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right/>
      <top style="medium">
        <color indexed="26"/>
      </top>
      <bottom style="medium">
        <color indexed="26"/>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style="double">
        <color indexed="64"/>
      </left>
      <right style="double">
        <color indexed="64"/>
      </right>
      <top style="double">
        <color indexed="64"/>
      </top>
      <bottom style="double">
        <color indexed="64"/>
      </bottom>
      <diagonal/>
    </border>
    <border>
      <left/>
      <right/>
      <top style="medium">
        <color indexed="64"/>
      </top>
      <bottom style="thin">
        <color indexed="64"/>
      </bottom>
      <diagonal/>
    </border>
    <border>
      <left/>
      <right/>
      <top/>
      <bottom style="medium">
        <color indexed="61"/>
      </bottom>
      <diagonal/>
    </border>
    <border>
      <left style="thin">
        <color indexed="23"/>
      </left>
      <right style="thin">
        <color indexed="23"/>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hair">
        <color indexed="64"/>
      </bottom>
      <diagonal/>
    </border>
    <border>
      <left/>
      <right/>
      <top/>
      <bottom style="dotted">
        <color indexed="64"/>
      </bottom>
      <diagonal/>
    </border>
    <border>
      <left/>
      <right/>
      <top style="thin">
        <color theme="5"/>
      </top>
      <bottom style="thin">
        <color theme="5"/>
      </bottom>
      <diagonal/>
    </border>
    <border>
      <left/>
      <right/>
      <top style="thin">
        <color theme="5"/>
      </top>
      <bottom style="thin">
        <color theme="2"/>
      </bottom>
      <diagonal/>
    </border>
    <border>
      <left style="thin">
        <color indexed="8"/>
      </left>
      <right style="thin">
        <color indexed="8"/>
      </right>
      <top style="double">
        <color indexed="8"/>
      </top>
      <bottom style="thin">
        <color indexed="8"/>
      </bottom>
      <diagonal/>
    </border>
    <border>
      <left/>
      <right/>
      <top style="medium">
        <color indexed="64"/>
      </top>
      <bottom/>
      <diagonal/>
    </border>
    <border>
      <left/>
      <right style="thick">
        <color indexed="64"/>
      </right>
      <top style="thick">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n">
        <color indexed="41"/>
      </bottom>
      <diagonal/>
    </border>
    <border>
      <left style="medium">
        <color indexed="64"/>
      </left>
      <right style="medium">
        <color indexed="64"/>
      </right>
      <top style="medium">
        <color indexed="64"/>
      </top>
      <bottom style="medium">
        <color indexed="64"/>
      </bottom>
      <diagonal/>
    </border>
    <border>
      <left style="thin">
        <color indexed="10"/>
      </left>
      <right style="thin">
        <color indexed="10"/>
      </right>
      <top style="thin">
        <color indexed="10"/>
      </top>
      <bottom style="thin">
        <color indexed="10"/>
      </bottom>
      <diagonal/>
    </border>
    <border>
      <left/>
      <right/>
      <top/>
      <bottom style="double">
        <color indexed="52"/>
      </bottom>
      <diagonal/>
    </border>
    <border>
      <left style="thin">
        <color indexed="64"/>
      </left>
      <right style="medium">
        <color indexed="64"/>
      </right>
      <top/>
      <bottom style="hair">
        <color indexed="64"/>
      </bottom>
      <diagonal/>
    </border>
    <border>
      <left style="double">
        <color indexed="64"/>
      </left>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8"/>
      </bottom>
      <diagonal/>
    </border>
    <border>
      <left/>
      <right/>
      <top style="medium">
        <color indexed="23"/>
      </top>
      <bottom style="medium">
        <color indexed="23"/>
      </bottom>
      <diagonal/>
    </border>
    <border>
      <left/>
      <right/>
      <top/>
      <bottom style="double">
        <color indexed="8"/>
      </bottom>
      <diagonal/>
    </border>
    <border>
      <left/>
      <right/>
      <top style="medium">
        <color indexed="56"/>
      </top>
      <bottom style="medium">
        <color indexed="56"/>
      </bottom>
      <diagonal/>
    </border>
    <border>
      <left/>
      <right/>
      <top/>
      <bottom style="hair">
        <color indexed="64"/>
      </bottom>
      <diagonal/>
    </border>
    <border>
      <left/>
      <right/>
      <top style="hair">
        <color indexed="22"/>
      </top>
      <bottom/>
      <diagonal/>
    </border>
    <border>
      <left/>
      <right/>
      <top style="thin">
        <color theme="2"/>
      </top>
      <bottom style="thin">
        <color theme="2"/>
      </bottom>
      <diagonal/>
    </border>
    <border>
      <left/>
      <right/>
      <top/>
      <bottom style="thin">
        <color theme="2"/>
      </bottom>
      <diagonal/>
    </border>
    <border>
      <left style="thin">
        <color indexed="64"/>
      </left>
      <right style="thin">
        <color indexed="64"/>
      </right>
      <top style="thin">
        <color indexed="64"/>
      </top>
      <bottom style="double">
        <color indexed="64"/>
      </bottom>
      <diagonal/>
    </border>
    <border>
      <left/>
      <right/>
      <top/>
      <bottom style="medium">
        <color indexed="62"/>
      </bottom>
      <diagonal/>
    </border>
    <border>
      <left/>
      <right/>
      <top/>
      <bottom style="thick">
        <color indexed="18"/>
      </bottom>
      <diagonal/>
    </border>
    <border>
      <left/>
      <right/>
      <top style="thin">
        <color indexed="62"/>
      </top>
      <bottom style="double">
        <color indexed="62"/>
      </bottom>
      <diagonal/>
    </border>
    <border>
      <left style="thin">
        <color indexed="64"/>
      </left>
      <right style="thin">
        <color indexed="64"/>
      </right>
      <top style="double">
        <color indexed="64"/>
      </top>
      <bottom style="double">
        <color indexed="64"/>
      </bottom>
      <diagonal/>
    </border>
    <border>
      <left style="medium">
        <color indexed="9"/>
      </left>
      <right style="medium">
        <color indexed="49"/>
      </right>
      <top/>
      <bottom/>
      <diagonal/>
    </border>
    <border>
      <left style="thin">
        <color auto="1"/>
      </left>
      <right/>
      <top/>
      <bottom/>
      <diagonal/>
    </border>
    <border>
      <left/>
      <right style="thin">
        <color indexed="64"/>
      </right>
      <top style="medium">
        <color indexed="64"/>
      </top>
      <bottom/>
      <diagonal/>
    </border>
    <border>
      <left/>
      <right/>
      <top/>
      <bottom style="medium">
        <color rgb="FF808080"/>
      </bottom>
      <diagonal/>
    </border>
    <border>
      <left/>
      <right style="medium">
        <color rgb="FF808080"/>
      </right>
      <top/>
      <bottom style="medium">
        <color rgb="FF808080"/>
      </bottom>
      <diagonal/>
    </border>
    <border>
      <left style="medium">
        <color rgb="FF808080"/>
      </left>
      <right/>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right style="medium">
        <color rgb="FF808080"/>
      </right>
      <top/>
      <bottom/>
      <diagonal/>
    </border>
    <border>
      <left style="medium">
        <color indexed="56"/>
      </left>
      <right/>
      <top style="medium">
        <color indexed="56"/>
      </top>
      <bottom style="medium">
        <color indexed="56"/>
      </bottom>
      <diagonal/>
    </border>
    <border>
      <left style="medium">
        <color indexed="9"/>
      </left>
      <right/>
      <top style="medium">
        <color indexed="9"/>
      </top>
      <bottom style="medium">
        <color indexed="9"/>
      </bottom>
      <diagonal/>
    </border>
    <border>
      <left/>
      <right style="thin">
        <color indexed="9"/>
      </right>
      <top/>
      <bottom style="thin">
        <color indexed="9"/>
      </bottom>
      <diagonal/>
    </border>
    <border>
      <left style="thin">
        <color indexed="9"/>
      </left>
      <right style="thin">
        <color indexed="9"/>
      </right>
      <top/>
      <bottom style="thin">
        <color indexed="9"/>
      </bottom>
      <diagonal/>
    </border>
    <border>
      <left/>
      <right style="medium">
        <color rgb="FFBFBFBF"/>
      </right>
      <top style="medium">
        <color rgb="FFBFBFBF"/>
      </top>
      <bottom style="medium">
        <color rgb="FFBFBFBF"/>
      </bottom>
      <diagonal/>
    </border>
    <border>
      <left/>
      <right style="medium">
        <color rgb="FFBFBFBF"/>
      </right>
      <top/>
      <bottom style="medium">
        <color rgb="FFBFBFBF"/>
      </bottom>
      <diagonal/>
    </border>
    <border>
      <left/>
      <right/>
      <top/>
      <bottom style="medium">
        <color rgb="FFBFBFBF"/>
      </bottom>
      <diagonal/>
    </border>
    <border>
      <left style="thin">
        <color theme="1"/>
      </left>
      <right/>
      <top style="medium">
        <color rgb="FFFF0000"/>
      </top>
      <bottom/>
      <diagonal/>
    </border>
    <border>
      <left style="thin">
        <color theme="1"/>
      </left>
      <right/>
      <top/>
      <bottom/>
      <diagonal/>
    </border>
    <border>
      <left/>
      <right/>
      <top style="medium">
        <color rgb="FFFF0000"/>
      </top>
      <bottom style="medium">
        <color indexed="64"/>
      </bottom>
      <diagonal/>
    </border>
    <border>
      <left/>
      <right style="medium">
        <color rgb="FF808080"/>
      </right>
      <top style="medium">
        <color rgb="FF808080"/>
      </top>
      <bottom/>
      <diagonal/>
    </border>
    <border>
      <left/>
      <right style="thin">
        <color auto="1"/>
      </right>
      <top/>
      <bottom/>
      <diagonal/>
    </border>
    <border>
      <left/>
      <right/>
      <top style="medium">
        <color rgb="FFFF0000"/>
      </top>
      <bottom/>
      <diagonal/>
    </border>
    <border>
      <left style="thin">
        <color indexed="64"/>
      </left>
      <right/>
      <top style="medium">
        <color indexed="64"/>
      </top>
      <bottom/>
      <diagonal/>
    </border>
    <border>
      <left/>
      <right/>
      <top style="medium">
        <color rgb="FF808080"/>
      </top>
      <bottom style="medium">
        <color rgb="FFBFBFBF"/>
      </bottom>
      <diagonal/>
    </border>
  </borders>
  <cellStyleXfs count="3241">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166" fontId="4" fillId="0" borderId="0" applyFont="0" applyFill="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applyNumberFormat="0" applyFill="0" applyBorder="0" applyAlignment="0" applyProtection="0"/>
    <xf numFmtId="0" fontId="52" fillId="0" borderId="0"/>
    <xf numFmtId="0" fontId="53" fillId="0" borderId="0"/>
    <xf numFmtId="0" fontId="33" fillId="0" borderId="0"/>
    <xf numFmtId="0" fontId="33" fillId="0" borderId="0"/>
    <xf numFmtId="0" fontId="33" fillId="0" borderId="0"/>
    <xf numFmtId="9" fontId="33" fillId="0" borderId="0" applyFont="0" applyFill="0" applyBorder="0" applyAlignment="0" applyProtection="0"/>
    <xf numFmtId="9" fontId="1" fillId="0" borderId="0" applyFont="0" applyFill="0" applyBorder="0" applyAlignment="0" applyProtection="0"/>
    <xf numFmtId="0" fontId="33" fillId="0" borderId="0"/>
    <xf numFmtId="9" fontId="33" fillId="0" borderId="0" applyFont="0" applyFill="0" applyBorder="0" applyAlignment="0" applyProtection="0"/>
    <xf numFmtId="9" fontId="52" fillId="0" borderId="0" applyFont="0" applyFill="0" applyBorder="0" applyAlignment="0" applyProtection="0"/>
    <xf numFmtId="43" fontId="33" fillId="0" borderId="0" applyFont="0" applyFill="0" applyBorder="0" applyAlignment="0" applyProtection="0"/>
    <xf numFmtId="43" fontId="52" fillId="0" borderId="0" applyFont="0" applyFill="0" applyBorder="0" applyAlignment="0" applyProtection="0"/>
    <xf numFmtId="9" fontId="33" fillId="0" borderId="0" applyFont="0" applyFill="0" applyBorder="0" applyAlignment="0" applyProtection="0"/>
    <xf numFmtId="0" fontId="52" fillId="0" borderId="0"/>
    <xf numFmtId="0" fontId="33" fillId="0" borderId="0"/>
    <xf numFmtId="180" fontId="54" fillId="0" borderId="0"/>
    <xf numFmtId="0" fontId="33" fillId="0" borderId="0" applyNumberFormat="0" applyFill="0" applyBorder="0" applyAlignment="0" applyProtection="0"/>
    <xf numFmtId="0" fontId="55" fillId="0" borderId="0" applyNumberFormat="0" applyFill="0" applyBorder="0" applyAlignment="0" applyProtection="0"/>
    <xf numFmtId="0" fontId="56" fillId="0" borderId="0"/>
    <xf numFmtId="181" fontId="56" fillId="0" borderId="0"/>
    <xf numFmtId="182" fontId="33" fillId="0" borderId="0" applyFont="0" applyFill="0" applyBorder="0" applyProtection="0">
      <alignment horizontal="right"/>
    </xf>
    <xf numFmtId="182" fontId="33" fillId="0" borderId="0" applyFont="0" applyFill="0" applyBorder="0" applyProtection="0">
      <alignment horizontal="right"/>
    </xf>
    <xf numFmtId="182" fontId="33" fillId="0" borderId="0" applyFont="0" applyFill="0" applyBorder="0" applyProtection="0">
      <alignment horizontal="right"/>
    </xf>
    <xf numFmtId="183" fontId="56" fillId="0" borderId="0">
      <alignment horizontal="right"/>
    </xf>
    <xf numFmtId="184" fontId="56" fillId="9" borderId="0"/>
    <xf numFmtId="185" fontId="56" fillId="9" borderId="0"/>
    <xf numFmtId="186" fontId="56" fillId="9" borderId="0"/>
    <xf numFmtId="187" fontId="56" fillId="9" borderId="0">
      <alignment horizontal="right"/>
    </xf>
    <xf numFmtId="188" fontId="57" fillId="0" borderId="0" applyFont="0" applyFill="0" applyBorder="0" applyAlignment="0" applyProtection="0"/>
    <xf numFmtId="37" fontId="54" fillId="0" borderId="0"/>
    <xf numFmtId="189" fontId="54" fillId="0" borderId="0"/>
    <xf numFmtId="0" fontId="33" fillId="0" borderId="0">
      <alignment vertical="top"/>
    </xf>
    <xf numFmtId="190" fontId="58" fillId="0" borderId="0" applyFont="0" applyFill="0" applyBorder="0" applyAlignment="0" applyProtection="0"/>
    <xf numFmtId="0" fontId="59" fillId="0" borderId="0" applyNumberFormat="0" applyFill="0" applyBorder="0" applyAlignment="0" applyProtection="0">
      <alignment vertical="top"/>
      <protection locked="0"/>
    </xf>
    <xf numFmtId="191" fontId="58" fillId="0" borderId="0" applyFont="0" applyFill="0" applyBorder="0" applyAlignment="0" applyProtection="0"/>
    <xf numFmtId="166" fontId="58" fillId="0" borderId="0" applyFont="0" applyFill="0" applyBorder="0" applyAlignment="0" applyProtection="0"/>
    <xf numFmtId="0" fontId="60" fillId="0" borderId="0" applyNumberFormat="0" applyFill="0" applyBorder="0" applyAlignment="0" applyProtection="0">
      <alignment vertical="top"/>
      <protection locked="0"/>
    </xf>
    <xf numFmtId="192" fontId="58" fillId="0" borderId="0" applyFont="0" applyFill="0" applyBorder="0" applyAlignment="0" applyProtection="0"/>
    <xf numFmtId="0" fontId="39" fillId="0" borderId="19" applyNumberFormat="0" applyBorder="0" applyAlignment="0">
      <alignment horizontal="left"/>
    </xf>
    <xf numFmtId="38" fontId="61" fillId="0" borderId="0" applyFont="0" applyFill="0" applyBorder="0" applyAlignment="0" applyProtection="0"/>
    <xf numFmtId="40" fontId="61" fillId="0" borderId="0" applyFont="0" applyFill="0" applyBorder="0" applyAlignment="0" applyProtection="0"/>
    <xf numFmtId="0" fontId="33" fillId="0" borderId="0"/>
    <xf numFmtId="14" fontId="62" fillId="0" borderId="0"/>
    <xf numFmtId="193" fontId="63" fillId="0" borderId="0"/>
    <xf numFmtId="194" fontId="33" fillId="0" borderId="0" applyFont="0" applyFill="0" applyBorder="0" applyAlignment="0" applyProtection="0"/>
    <xf numFmtId="195" fontId="33" fillId="0" borderId="0" applyFon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applyFont="0" applyFill="0" applyBorder="0" applyAlignment="0" applyProtection="0"/>
    <xf numFmtId="196"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applyNumberFormat="0" applyFill="0" applyBorder="0" applyAlignment="0" applyProtection="0"/>
    <xf numFmtId="0" fontId="54"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3" fontId="5" fillId="0" borderId="0"/>
    <xf numFmtId="0" fontId="33" fillId="0" borderId="0" applyFont="0" applyFill="0" applyBorder="0" applyAlignment="0" applyProtection="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NumberFormat="0" applyFill="0" applyBorder="0" applyAlignment="0" applyProtection="0"/>
    <xf numFmtId="3" fontId="5" fillId="0" borderId="0"/>
    <xf numFmtId="3"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197" fontId="54" fillId="0" borderId="0"/>
    <xf numFmtId="3" fontId="5" fillId="0" borderId="0"/>
    <xf numFmtId="197" fontId="54" fillId="0" borderId="0"/>
    <xf numFmtId="198" fontId="54" fillId="0" borderId="0"/>
    <xf numFmtId="198" fontId="54" fillId="0" borderId="0"/>
    <xf numFmtId="197" fontId="54" fillId="0" borderId="0"/>
    <xf numFmtId="198" fontId="54" fillId="0" borderId="0"/>
    <xf numFmtId="198" fontId="54" fillId="0" borderId="0"/>
    <xf numFmtId="198" fontId="54" fillId="0" borderId="0"/>
    <xf numFmtId="197" fontId="54" fillId="0" borderId="0"/>
    <xf numFmtId="197" fontId="54" fillId="0" borderId="0"/>
    <xf numFmtId="198" fontId="54" fillId="0" borderId="0"/>
    <xf numFmtId="197" fontId="54" fillId="0" borderId="0"/>
    <xf numFmtId="198" fontId="54" fillId="0" borderId="0"/>
    <xf numFmtId="198" fontId="54" fillId="0" borderId="0"/>
    <xf numFmtId="197" fontId="54" fillId="0" borderId="0"/>
    <xf numFmtId="198" fontId="54" fillId="0" borderId="0"/>
    <xf numFmtId="197" fontId="54" fillId="0" borderId="0"/>
    <xf numFmtId="198" fontId="54" fillId="0" borderId="0"/>
    <xf numFmtId="198" fontId="54" fillId="0" borderId="0"/>
    <xf numFmtId="197" fontId="54" fillId="0" borderId="0"/>
    <xf numFmtId="197" fontId="54" fillId="0" borderId="0"/>
    <xf numFmtId="198" fontId="54" fillId="0" borderId="0"/>
    <xf numFmtId="0" fontId="54" fillId="0" borderId="0"/>
    <xf numFmtId="198" fontId="54" fillId="0" borderId="0"/>
    <xf numFmtId="197" fontId="54" fillId="0" borderId="0"/>
    <xf numFmtId="197" fontId="54" fillId="0" borderId="0"/>
    <xf numFmtId="198" fontId="54" fillId="0" borderId="0"/>
    <xf numFmtId="0" fontId="54" fillId="0" borderId="0"/>
    <xf numFmtId="198" fontId="54" fillId="0" borderId="0"/>
    <xf numFmtId="198" fontId="54" fillId="0" borderId="0"/>
    <xf numFmtId="199" fontId="33" fillId="0" borderId="0"/>
    <xf numFmtId="197" fontId="54" fillId="0" borderId="0"/>
    <xf numFmtId="198" fontId="54" fillId="0" borderId="0"/>
    <xf numFmtId="198" fontId="54" fillId="0" borderId="0"/>
    <xf numFmtId="197" fontId="54" fillId="0" borderId="0"/>
    <xf numFmtId="198" fontId="54" fillId="0" borderId="0"/>
    <xf numFmtId="198" fontId="54" fillId="0" borderId="0"/>
    <xf numFmtId="198" fontId="54" fillId="0" borderId="0"/>
    <xf numFmtId="197" fontId="54" fillId="0" borderId="0"/>
    <xf numFmtId="198" fontId="54" fillId="0" borderId="0"/>
    <xf numFmtId="198" fontId="54" fillId="0" borderId="0"/>
    <xf numFmtId="198" fontId="54" fillId="0" borderId="0"/>
    <xf numFmtId="197" fontId="54" fillId="0" borderId="0"/>
    <xf numFmtId="197" fontId="54" fillId="0" borderId="0"/>
    <xf numFmtId="197" fontId="54" fillId="0" borderId="0"/>
    <xf numFmtId="197" fontId="54" fillId="0" borderId="0"/>
    <xf numFmtId="197" fontId="54" fillId="0" borderId="0"/>
    <xf numFmtId="198" fontId="54" fillId="0" borderId="0"/>
    <xf numFmtId="198" fontId="54" fillId="0" borderId="0"/>
    <xf numFmtId="198" fontId="54" fillId="0" borderId="0"/>
    <xf numFmtId="197" fontId="54" fillId="0" borderId="0"/>
    <xf numFmtId="197" fontId="54" fillId="0" borderId="0"/>
    <xf numFmtId="197" fontId="54" fillId="0" borderId="0"/>
    <xf numFmtId="198" fontId="54" fillId="0" borderId="0"/>
    <xf numFmtId="198" fontId="54" fillId="0" borderId="0"/>
    <xf numFmtId="197" fontId="54" fillId="0" borderId="0"/>
    <xf numFmtId="0" fontId="33" fillId="0" borderId="0"/>
    <xf numFmtId="200" fontId="5" fillId="0" borderId="0"/>
    <xf numFmtId="200" fontId="5" fillId="0" borderId="0"/>
    <xf numFmtId="0" fontId="33" fillId="0" borderId="0"/>
    <xf numFmtId="3" fontId="5" fillId="0" borderId="0"/>
    <xf numFmtId="3"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3" fontId="5" fillId="0" borderId="0"/>
    <xf numFmtId="3" fontId="5" fillId="0" borderId="0"/>
    <xf numFmtId="3" fontId="5" fillId="0" borderId="0"/>
    <xf numFmtId="3" fontId="5" fillId="0" borderId="0"/>
    <xf numFmtId="3" fontId="5" fillId="0" borderId="0"/>
    <xf numFmtId="0" fontId="33" fillId="0" borderId="0" applyFont="0" applyFill="0" applyBorder="0" applyAlignment="0" applyProtection="0"/>
    <xf numFmtId="0" fontId="33" fillId="0" borderId="0"/>
    <xf numFmtId="3"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179" fontId="33" fillId="0" borderId="0" applyFont="0" applyFill="0" applyBorder="0" applyAlignment="0" applyProtection="0"/>
    <xf numFmtId="179" fontId="33" fillId="0" borderId="0" applyFont="0" applyFill="0" applyBorder="0" applyAlignment="0" applyProtection="0"/>
    <xf numFmtId="178" fontId="33" fillId="0" borderId="0" applyFont="0" applyFill="0" applyBorder="0" applyAlignment="0" applyProtection="0"/>
    <xf numFmtId="178" fontId="33" fillId="0" borderId="0" applyFont="0" applyFill="0" applyBorder="0" applyAlignment="0" applyProtection="0"/>
    <xf numFmtId="178" fontId="33" fillId="0" borderId="0" applyFont="0" applyFill="0" applyBorder="0" applyAlignment="0" applyProtection="0"/>
    <xf numFmtId="3" fontId="5" fillId="0" borderId="0"/>
    <xf numFmtId="0" fontId="33" fillId="0" borderId="0"/>
    <xf numFmtId="3" fontId="5" fillId="0" borderId="0"/>
    <xf numFmtId="0" fontId="33" fillId="0" borderId="0"/>
    <xf numFmtId="0" fontId="33" fillId="0" borderId="0"/>
    <xf numFmtId="0" fontId="33" fillId="0" borderId="0"/>
    <xf numFmtId="3" fontId="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64" fillId="0" borderId="0"/>
    <xf numFmtId="201" fontId="33" fillId="0" borderId="0" applyFont="0" applyFill="0" applyBorder="0" applyAlignment="0" applyProtection="0"/>
    <xf numFmtId="201" fontId="33" fillId="0" borderId="0" applyFont="0" applyFill="0" applyBorder="0" applyAlignment="0" applyProtection="0"/>
    <xf numFmtId="202" fontId="33" fillId="0" borderId="0" applyFont="0" applyFill="0" applyBorder="0" applyAlignment="0" applyProtection="0"/>
    <xf numFmtId="203" fontId="33" fillId="0" borderId="0" applyFont="0" applyFill="0" applyBorder="0" applyAlignment="0" applyProtection="0"/>
    <xf numFmtId="203" fontId="33" fillId="0" borderId="0" applyFont="0" applyFill="0" applyBorder="0" applyAlignment="0" applyProtection="0"/>
    <xf numFmtId="203" fontId="33" fillId="0" borderId="0" applyFont="0" applyFill="0" applyBorder="0" applyAlignment="0" applyProtection="0"/>
    <xf numFmtId="39" fontId="33" fillId="0" borderId="0" applyFont="0" applyFill="0" applyBorder="0" applyAlignment="0" applyProtection="0"/>
    <xf numFmtId="39" fontId="33" fillId="0" borderId="0" applyFont="0" applyFill="0" applyBorder="0" applyAlignment="0" applyProtection="0"/>
    <xf numFmtId="204" fontId="33" fillId="0" borderId="0" applyFont="0" applyFill="0" applyBorder="0" applyAlignment="0" applyProtection="0"/>
    <xf numFmtId="204" fontId="33" fillId="0" borderId="0" applyFont="0" applyFill="0" applyBorder="0" applyAlignment="0" applyProtection="0"/>
    <xf numFmtId="204" fontId="33" fillId="0" borderId="0" applyFont="0" applyFill="0" applyBorder="0" applyAlignment="0" applyProtection="0"/>
    <xf numFmtId="0" fontId="65" fillId="0" borderId="0" applyNumberFormat="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5" fillId="0" borderId="0" applyNumberFormat="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3" fontId="5"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205" fontId="66" fillId="0" borderId="0"/>
    <xf numFmtId="206" fontId="66" fillId="0" borderId="0"/>
    <xf numFmtId="0" fontId="66" fillId="0" borderId="0"/>
    <xf numFmtId="205" fontId="66" fillId="0" borderId="0"/>
    <xf numFmtId="206" fontId="66" fillId="0" borderId="0"/>
    <xf numFmtId="0" fontId="66" fillId="0" borderId="0"/>
    <xf numFmtId="0" fontId="33"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200" fontId="5" fillId="0" borderId="0"/>
    <xf numFmtId="200" fontId="5" fillId="0" borderId="0"/>
    <xf numFmtId="0" fontId="54" fillId="0" borderId="0"/>
    <xf numFmtId="0" fontId="5" fillId="0" borderId="0"/>
    <xf numFmtId="200" fontId="5" fillId="0" borderId="0"/>
    <xf numFmtId="200" fontId="5" fillId="0" borderId="0"/>
    <xf numFmtId="0" fontId="5" fillId="0" borderId="0"/>
    <xf numFmtId="0" fontId="5" fillId="0" borderId="0"/>
    <xf numFmtId="0" fontId="5" fillId="0" borderId="0"/>
    <xf numFmtId="0" fontId="5" fillId="0" borderId="0"/>
    <xf numFmtId="0" fontId="5" fillId="0" borderId="0"/>
    <xf numFmtId="0" fontId="5" fillId="0" borderId="0"/>
    <xf numFmtId="200" fontId="5" fillId="0" borderId="0"/>
    <xf numFmtId="200" fontId="5" fillId="0" borderId="0"/>
    <xf numFmtId="0" fontId="5" fillId="0" borderId="0"/>
    <xf numFmtId="0" fontId="5" fillId="0" borderId="0"/>
    <xf numFmtId="0" fontId="5" fillId="0" borderId="0"/>
    <xf numFmtId="0" fontId="67" fillId="0" borderId="0" applyFill="0" applyBorder="0" applyAlignment="0" applyProtection="0"/>
    <xf numFmtId="0" fontId="33" fillId="0" borderId="0"/>
    <xf numFmtId="0" fontId="33" fillId="0" borderId="0" applyNumberFormat="0" applyFill="0" applyBorder="0" applyAlignment="0" applyProtection="0"/>
    <xf numFmtId="207" fontId="33" fillId="0" borderId="0" applyFont="0" applyFill="0" applyBorder="0" applyAlignment="0" applyProtection="0"/>
    <xf numFmtId="3" fontId="5" fillId="0" borderId="0"/>
    <xf numFmtId="0" fontId="68" fillId="0" borderId="0"/>
    <xf numFmtId="0" fontId="5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3" fontId="5" fillId="0" borderId="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xf numFmtId="0" fontId="33" fillId="0" borderId="0"/>
    <xf numFmtId="0" fontId="33" fillId="0" borderId="0"/>
    <xf numFmtId="208"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10" fontId="54" fillId="0" borderId="0"/>
    <xf numFmtId="208"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0" fontId="33" fillId="0" borderId="0" applyNumberFormat="0" applyFill="0" applyBorder="0" applyAlignment="0" applyProtection="0"/>
    <xf numFmtId="0" fontId="33" fillId="0" borderId="0" applyNumberFormat="0" applyFill="0" applyBorder="0" applyAlignment="0" applyProtection="0"/>
    <xf numFmtId="0" fontId="69" fillId="0" borderId="0" applyNumberFormat="0" applyFill="0" applyBorder="0" applyAlignment="0" applyProtection="0"/>
    <xf numFmtId="0" fontId="33" fillId="13" borderId="0" applyNumberFormat="0" applyFont="0" applyAlignment="0" applyProtection="0"/>
    <xf numFmtId="0" fontId="33" fillId="0" borderId="0"/>
    <xf numFmtId="0" fontId="65" fillId="0" borderId="0" applyNumberFormat="0" applyFont="0" applyFill="0" applyBorder="0" applyAlignment="0" applyProtection="0"/>
    <xf numFmtId="0" fontId="65" fillId="0" borderId="0" applyNumberFormat="0" applyFont="0" applyFill="0" applyBorder="0" applyAlignment="0" applyProtection="0"/>
    <xf numFmtId="0" fontId="65" fillId="0" borderId="0" applyNumberFormat="0" applyFont="0" applyFill="0" applyBorder="0" applyAlignment="0" applyProtection="0"/>
    <xf numFmtId="0" fontId="65" fillId="0" borderId="0" applyNumberFormat="0" applyFont="0" applyFill="0" applyBorder="0" applyAlignment="0" applyProtection="0"/>
    <xf numFmtId="0" fontId="5" fillId="0" borderId="0"/>
    <xf numFmtId="0" fontId="5" fillId="0" borderId="0"/>
    <xf numFmtId="0" fontId="33" fillId="0" borderId="0"/>
    <xf numFmtId="211" fontId="54" fillId="0" borderId="0"/>
    <xf numFmtId="211" fontId="54" fillId="0" borderId="0"/>
    <xf numFmtId="212" fontId="54" fillId="0" borderId="0"/>
    <xf numFmtId="212" fontId="54" fillId="0" borderId="0"/>
    <xf numFmtId="211" fontId="54" fillId="0" borderId="0"/>
    <xf numFmtId="212" fontId="54" fillId="0" borderId="0"/>
    <xf numFmtId="212" fontId="54" fillId="0" borderId="0"/>
    <xf numFmtId="212" fontId="54" fillId="0" borderId="0"/>
    <xf numFmtId="211" fontId="54" fillId="0" borderId="0"/>
    <xf numFmtId="211" fontId="54" fillId="0" borderId="0"/>
    <xf numFmtId="213" fontId="33" fillId="0" borderId="0"/>
    <xf numFmtId="213" fontId="33" fillId="0" borderId="0"/>
    <xf numFmtId="214" fontId="54" fillId="0" borderId="0"/>
    <xf numFmtId="214" fontId="54" fillId="0" borderId="0"/>
    <xf numFmtId="213" fontId="33" fillId="0" borderId="0"/>
    <xf numFmtId="214" fontId="54" fillId="0" borderId="0"/>
    <xf numFmtId="214" fontId="54" fillId="0" borderId="0"/>
    <xf numFmtId="214" fontId="54" fillId="0" borderId="0"/>
    <xf numFmtId="213" fontId="33" fillId="0" borderId="0"/>
    <xf numFmtId="213" fontId="33" fillId="0" borderId="0"/>
    <xf numFmtId="214" fontId="54" fillId="0" borderId="0"/>
    <xf numFmtId="213" fontId="33" fillId="0" borderId="0"/>
    <xf numFmtId="214" fontId="54" fillId="0" borderId="0"/>
    <xf numFmtId="214" fontId="54" fillId="0" borderId="0"/>
    <xf numFmtId="213" fontId="33" fillId="0" borderId="0"/>
    <xf numFmtId="214" fontId="54" fillId="0" borderId="0"/>
    <xf numFmtId="213" fontId="33" fillId="0" borderId="0"/>
    <xf numFmtId="214" fontId="54" fillId="0" borderId="0"/>
    <xf numFmtId="214" fontId="54" fillId="0" borderId="0"/>
    <xf numFmtId="213" fontId="33" fillId="0" borderId="0"/>
    <xf numFmtId="213" fontId="33" fillId="0" borderId="0"/>
    <xf numFmtId="214" fontId="54" fillId="0" borderId="0"/>
    <xf numFmtId="0" fontId="33" fillId="0" borderId="0"/>
    <xf numFmtId="214" fontId="54" fillId="0" borderId="0"/>
    <xf numFmtId="213" fontId="33" fillId="0" borderId="0"/>
    <xf numFmtId="213" fontId="33" fillId="0" borderId="0"/>
    <xf numFmtId="214" fontId="54" fillId="0" borderId="0"/>
    <xf numFmtId="0" fontId="33" fillId="0" borderId="0"/>
    <xf numFmtId="214" fontId="54" fillId="0" borderId="0"/>
    <xf numFmtId="214" fontId="54" fillId="0" borderId="0"/>
    <xf numFmtId="215" fontId="33" fillId="0" borderId="0"/>
    <xf numFmtId="213" fontId="33" fillId="0" borderId="0"/>
    <xf numFmtId="214" fontId="54" fillId="0" borderId="0"/>
    <xf numFmtId="214" fontId="54" fillId="0" borderId="0"/>
    <xf numFmtId="213" fontId="33" fillId="0" borderId="0"/>
    <xf numFmtId="214" fontId="54" fillId="0" borderId="0"/>
    <xf numFmtId="214" fontId="54" fillId="0" borderId="0"/>
    <xf numFmtId="214" fontId="54" fillId="0" borderId="0"/>
    <xf numFmtId="213" fontId="33" fillId="0" borderId="0"/>
    <xf numFmtId="214" fontId="54" fillId="0" borderId="0"/>
    <xf numFmtId="214" fontId="54" fillId="0" borderId="0"/>
    <xf numFmtId="214" fontId="54" fillId="0" borderId="0"/>
    <xf numFmtId="213" fontId="33" fillId="0" borderId="0"/>
    <xf numFmtId="213" fontId="33" fillId="0" borderId="0"/>
    <xf numFmtId="213" fontId="33" fillId="0" borderId="0"/>
    <xf numFmtId="213" fontId="33" fillId="0" borderId="0"/>
    <xf numFmtId="213" fontId="33" fillId="0" borderId="0"/>
    <xf numFmtId="214" fontId="54" fillId="0" borderId="0"/>
    <xf numFmtId="214" fontId="54" fillId="0" borderId="0"/>
    <xf numFmtId="214" fontId="54" fillId="0" borderId="0"/>
    <xf numFmtId="213" fontId="33" fillId="0" borderId="0"/>
    <xf numFmtId="213" fontId="33" fillId="0" borderId="0"/>
    <xf numFmtId="213" fontId="33" fillId="0" borderId="0"/>
    <xf numFmtId="214" fontId="54" fillId="0" borderId="0"/>
    <xf numFmtId="214" fontId="54" fillId="0" borderId="0"/>
    <xf numFmtId="213" fontId="33" fillId="0" borderId="0"/>
    <xf numFmtId="212" fontId="54" fillId="0" borderId="0"/>
    <xf numFmtId="211" fontId="54" fillId="0" borderId="0"/>
    <xf numFmtId="212" fontId="54" fillId="0" borderId="0"/>
    <xf numFmtId="212" fontId="54" fillId="0" borderId="0"/>
    <xf numFmtId="211" fontId="54" fillId="0" borderId="0"/>
    <xf numFmtId="212" fontId="54" fillId="0" borderId="0"/>
    <xf numFmtId="211" fontId="54" fillId="0" borderId="0"/>
    <xf numFmtId="212" fontId="54" fillId="0" borderId="0"/>
    <xf numFmtId="212" fontId="54" fillId="0" borderId="0"/>
    <xf numFmtId="211" fontId="54" fillId="0" borderId="0"/>
    <xf numFmtId="211" fontId="54" fillId="0" borderId="0"/>
    <xf numFmtId="212" fontId="54" fillId="0" borderId="0"/>
    <xf numFmtId="0" fontId="54" fillId="0" borderId="0"/>
    <xf numFmtId="212" fontId="54" fillId="0" borderId="0"/>
    <xf numFmtId="211" fontId="54" fillId="0" borderId="0"/>
    <xf numFmtId="211" fontId="54" fillId="0" borderId="0"/>
    <xf numFmtId="212" fontId="54" fillId="0" borderId="0"/>
    <xf numFmtId="0" fontId="54" fillId="0" borderId="0"/>
    <xf numFmtId="212" fontId="54" fillId="0" borderId="0"/>
    <xf numFmtId="212" fontId="54" fillId="0" borderId="0"/>
    <xf numFmtId="216" fontId="33" fillId="0" borderId="0"/>
    <xf numFmtId="211" fontId="54" fillId="0" borderId="0"/>
    <xf numFmtId="212" fontId="54" fillId="0" borderId="0"/>
    <xf numFmtId="212" fontId="54" fillId="0" borderId="0"/>
    <xf numFmtId="211" fontId="54" fillId="0" borderId="0"/>
    <xf numFmtId="212" fontId="54" fillId="0" borderId="0"/>
    <xf numFmtId="212" fontId="54" fillId="0" borderId="0"/>
    <xf numFmtId="212" fontId="54" fillId="0" borderId="0"/>
    <xf numFmtId="211" fontId="54" fillId="0" borderId="0"/>
    <xf numFmtId="212" fontId="54" fillId="0" borderId="0"/>
    <xf numFmtId="212" fontId="54" fillId="0" borderId="0"/>
    <xf numFmtId="212" fontId="54" fillId="0" borderId="0"/>
    <xf numFmtId="211" fontId="54" fillId="0" borderId="0"/>
    <xf numFmtId="211" fontId="54" fillId="0" borderId="0"/>
    <xf numFmtId="211" fontId="54" fillId="0" borderId="0"/>
    <xf numFmtId="211" fontId="54" fillId="0" borderId="0"/>
    <xf numFmtId="211" fontId="54" fillId="0" borderId="0"/>
    <xf numFmtId="212" fontId="54" fillId="0" borderId="0"/>
    <xf numFmtId="212" fontId="54" fillId="0" borderId="0"/>
    <xf numFmtId="212" fontId="54" fillId="0" borderId="0"/>
    <xf numFmtId="211" fontId="54" fillId="0" borderId="0"/>
    <xf numFmtId="211" fontId="54" fillId="0" borderId="0"/>
    <xf numFmtId="211" fontId="54" fillId="0" borderId="0"/>
    <xf numFmtId="212" fontId="54" fillId="0" borderId="0"/>
    <xf numFmtId="212" fontId="54" fillId="0" borderId="0"/>
    <xf numFmtId="211" fontId="54" fillId="0" borderId="0"/>
    <xf numFmtId="0" fontId="33" fillId="0" borderId="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3" fontId="5" fillId="0" borderId="0"/>
    <xf numFmtId="0" fontId="33" fillId="0" borderId="0" applyNumberFormat="0" applyFill="0" applyBorder="0" applyAlignment="0" applyProtection="0"/>
    <xf numFmtId="0" fontId="33" fillId="0" borderId="0" applyNumberFormat="0" applyFill="0" applyBorder="0" applyAlignment="0" applyProtection="0"/>
    <xf numFmtId="0" fontId="70" fillId="0" borderId="0"/>
    <xf numFmtId="0" fontId="33" fillId="0" borderId="0" applyFont="0" applyFill="0" applyBorder="0" applyAlignment="0" applyProtection="0"/>
    <xf numFmtId="0" fontId="33" fillId="0" borderId="0"/>
    <xf numFmtId="0" fontId="33" fillId="0" borderId="0"/>
    <xf numFmtId="3" fontId="5" fillId="0" borderId="0"/>
    <xf numFmtId="0" fontId="33" fillId="0" borderId="0" applyNumberFormat="0" applyFill="0" applyBorder="0" applyAlignment="0" applyProtection="0"/>
    <xf numFmtId="210" fontId="54" fillId="0" borderId="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54"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180" fontId="54"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3" fontId="5" fillId="0" borderId="0"/>
    <xf numFmtId="0" fontId="33" fillId="0" borderId="0"/>
    <xf numFmtId="217"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3" fontId="5" fillId="0" borderId="0"/>
    <xf numFmtId="0" fontId="33" fillId="0" borderId="0"/>
    <xf numFmtId="0" fontId="33" fillId="0" borderId="0"/>
    <xf numFmtId="218" fontId="33" fillId="0" borderId="0" applyFont="0" applyFill="0" applyBorder="0" applyAlignment="0" applyProtection="0"/>
    <xf numFmtId="218" fontId="33" fillId="0" borderId="0" applyFont="0" applyFill="0" applyBorder="0" applyAlignment="0" applyProtection="0"/>
    <xf numFmtId="219" fontId="33" fillId="0" borderId="0" applyFont="0" applyFill="0" applyBorder="0" applyAlignment="0" applyProtection="0"/>
    <xf numFmtId="219" fontId="33" fillId="0" borderId="0" applyFont="0" applyFill="0" applyBorder="0" applyAlignment="0" applyProtection="0"/>
    <xf numFmtId="220" fontId="33" fillId="0" borderId="0" applyFont="0" applyFill="0" applyBorder="0" applyAlignment="0" applyProtection="0"/>
    <xf numFmtId="221" fontId="33" fillId="0" borderId="0" applyFont="0" applyFill="0" applyBorder="0" applyAlignment="0" applyProtection="0"/>
    <xf numFmtId="221" fontId="33" fillId="0" borderId="0" applyFont="0" applyFill="0" applyBorder="0" applyAlignment="0" applyProtection="0"/>
    <xf numFmtId="222" fontId="33" fillId="0" borderId="0" applyFont="0" applyFill="0" applyBorder="0" applyProtection="0">
      <alignment horizontal="right"/>
    </xf>
    <xf numFmtId="222" fontId="33" fillId="0" borderId="0" applyFont="0" applyFill="0" applyBorder="0" applyProtection="0">
      <alignment horizontal="right"/>
    </xf>
    <xf numFmtId="223" fontId="33" fillId="0" borderId="0" applyFont="0" applyFill="0" applyBorder="0" applyAlignment="0" applyProtection="0"/>
    <xf numFmtId="0" fontId="33" fillId="0" borderId="0"/>
    <xf numFmtId="0" fontId="33" fillId="0" borderId="0"/>
    <xf numFmtId="0" fontId="33" fillId="0" borderId="0"/>
    <xf numFmtId="0" fontId="33" fillId="0" borderId="0"/>
    <xf numFmtId="3" fontId="5" fillId="0" borderId="0"/>
    <xf numFmtId="0" fontId="33" fillId="0" borderId="0"/>
    <xf numFmtId="0" fontId="33" fillId="0" borderId="0"/>
    <xf numFmtId="205" fontId="66" fillId="0" borderId="0"/>
    <xf numFmtId="205" fontId="66" fillId="0" borderId="0"/>
    <xf numFmtId="196" fontId="5" fillId="0" borderId="0"/>
    <xf numFmtId="196" fontId="5" fillId="0" borderId="0"/>
    <xf numFmtId="196" fontId="5" fillId="0" borderId="0"/>
    <xf numFmtId="196" fontId="5" fillId="0" borderId="0"/>
    <xf numFmtId="206" fontId="66" fillId="0" borderId="0"/>
    <xf numFmtId="196" fontId="5" fillId="0" borderId="0"/>
    <xf numFmtId="0" fontId="66" fillId="0" borderId="0"/>
    <xf numFmtId="196" fontId="5" fillId="0" borderId="0"/>
    <xf numFmtId="196" fontId="5" fillId="0" borderId="0"/>
    <xf numFmtId="196" fontId="5" fillId="0" borderId="0"/>
    <xf numFmtId="196" fontId="5" fillId="0" borderId="0"/>
    <xf numFmtId="196" fontId="5" fillId="0" borderId="0"/>
    <xf numFmtId="196" fontId="5" fillId="0" borderId="0"/>
    <xf numFmtId="205" fontId="66" fillId="0" borderId="0"/>
    <xf numFmtId="196" fontId="5" fillId="0" borderId="0"/>
    <xf numFmtId="196" fontId="5" fillId="0" borderId="0"/>
    <xf numFmtId="196" fontId="5" fillId="0" borderId="0"/>
    <xf numFmtId="196" fontId="5" fillId="0" borderId="0"/>
    <xf numFmtId="196" fontId="5" fillId="0" borderId="0"/>
    <xf numFmtId="196" fontId="5" fillId="0" borderId="0"/>
    <xf numFmtId="205" fontId="66" fillId="0" borderId="0"/>
    <xf numFmtId="196" fontId="5" fillId="0" borderId="0"/>
    <xf numFmtId="196" fontId="5" fillId="0" borderId="0"/>
    <xf numFmtId="205" fontId="66" fillId="0" borderId="0"/>
    <xf numFmtId="206" fontId="66" fillId="0" borderId="0"/>
    <xf numFmtId="0" fontId="66" fillId="0" borderId="0"/>
    <xf numFmtId="196"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applyNumberFormat="0" applyFill="0" applyBorder="0" applyAlignment="0" applyProtection="0"/>
    <xf numFmtId="210" fontId="54" fillId="0" borderId="0"/>
    <xf numFmtId="210" fontId="54" fillId="0" borderId="0"/>
    <xf numFmtId="210" fontId="54" fillId="0" borderId="0"/>
    <xf numFmtId="210" fontId="54" fillId="0" borderId="0"/>
    <xf numFmtId="210" fontId="54" fillId="0" borderId="0"/>
    <xf numFmtId="210" fontId="54" fillId="0" borderId="0"/>
    <xf numFmtId="3" fontId="5" fillId="0" borderId="0"/>
    <xf numFmtId="0" fontId="33" fillId="0" borderId="0" applyNumberFormat="0" applyFill="0" applyBorder="0" applyAlignment="0" applyProtection="0"/>
    <xf numFmtId="0" fontId="33" fillId="0" borderId="0" applyNumberFormat="0" applyFill="0" applyBorder="0" applyAlignment="0" applyProtection="0"/>
    <xf numFmtId="224" fontId="33" fillId="0" borderId="0" applyFont="0" applyFill="0" applyBorder="0" applyAlignment="0" applyProtection="0"/>
    <xf numFmtId="224" fontId="33" fillId="0" borderId="0" applyFont="0" applyFill="0" applyBorder="0" applyAlignment="0" applyProtection="0"/>
    <xf numFmtId="194" fontId="33" fillId="0" borderId="0" applyFont="0" applyFill="0" applyBorder="0" applyAlignment="0" applyProtection="0"/>
    <xf numFmtId="225" fontId="33" fillId="0" borderId="0" applyFont="0" applyFill="0" applyBorder="0" applyAlignment="0" applyProtection="0"/>
    <xf numFmtId="225" fontId="33" fillId="0" borderId="0" applyFont="0" applyFill="0" applyBorder="0" applyAlignment="0" applyProtection="0"/>
    <xf numFmtId="195" fontId="33" fillId="0" borderId="0" applyFont="0" applyFill="0" applyBorder="0" applyAlignment="0" applyProtection="0"/>
    <xf numFmtId="0" fontId="33" fillId="0" borderId="0"/>
    <xf numFmtId="0" fontId="33" fillId="0" borderId="0"/>
    <xf numFmtId="0" fontId="33" fillId="0" borderId="0" applyFont="0" applyFill="0" applyBorder="0" applyAlignment="0" applyProtection="0"/>
    <xf numFmtId="3" fontId="5" fillId="0" borderId="0"/>
    <xf numFmtId="3" fontId="5" fillId="0" borderId="0"/>
    <xf numFmtId="0" fontId="33"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NumberFormat="0" applyFill="0" applyBorder="0" applyAlignment="0" applyProtection="0"/>
    <xf numFmtId="193" fontId="54" fillId="0" borderId="0"/>
    <xf numFmtId="193" fontId="54" fillId="0" borderId="0"/>
    <xf numFmtId="226" fontId="54" fillId="0" borderId="0"/>
    <xf numFmtId="0" fontId="54" fillId="0" borderId="0"/>
    <xf numFmtId="226" fontId="54" fillId="0" borderId="0"/>
    <xf numFmtId="226" fontId="54" fillId="0" borderId="0"/>
    <xf numFmtId="226" fontId="54" fillId="0" borderId="0"/>
    <xf numFmtId="226" fontId="54" fillId="0" borderId="0"/>
    <xf numFmtId="0" fontId="54" fillId="0" borderId="0"/>
    <xf numFmtId="226" fontId="54" fillId="0" borderId="0"/>
    <xf numFmtId="0" fontId="54" fillId="0" borderId="0"/>
    <xf numFmtId="0" fontId="54" fillId="0" borderId="0"/>
    <xf numFmtId="193" fontId="54" fillId="0" borderId="0"/>
    <xf numFmtId="0" fontId="54" fillId="0" borderId="0"/>
    <xf numFmtId="0" fontId="54" fillId="0" borderId="0"/>
    <xf numFmtId="0" fontId="54" fillId="0" borderId="0"/>
    <xf numFmtId="193" fontId="54" fillId="0" borderId="0"/>
    <xf numFmtId="193" fontId="54" fillId="0" borderId="0"/>
    <xf numFmtId="0" fontId="54" fillId="0" borderId="0"/>
    <xf numFmtId="193" fontId="54" fillId="0" borderId="0"/>
    <xf numFmtId="193" fontId="54" fillId="0" borderId="0"/>
    <xf numFmtId="0" fontId="54" fillId="0" borderId="0"/>
    <xf numFmtId="0" fontId="54" fillId="0" borderId="0"/>
    <xf numFmtId="193" fontId="54" fillId="0" borderId="0"/>
    <xf numFmtId="0" fontId="54" fillId="0" borderId="0"/>
    <xf numFmtId="193" fontId="54" fillId="0" borderId="0"/>
    <xf numFmtId="0" fontId="54" fillId="0" borderId="0"/>
    <xf numFmtId="0" fontId="54" fillId="0" borderId="0"/>
    <xf numFmtId="193" fontId="54" fillId="0" borderId="0"/>
    <xf numFmtId="193" fontId="54" fillId="0" borderId="0"/>
    <xf numFmtId="0" fontId="54" fillId="0" borderId="0"/>
    <xf numFmtId="0" fontId="54" fillId="0" borderId="0"/>
    <xf numFmtId="193" fontId="54" fillId="0" borderId="0"/>
    <xf numFmtId="193" fontId="54" fillId="0" borderId="0"/>
    <xf numFmtId="0" fontId="54" fillId="0" borderId="0"/>
    <xf numFmtId="0" fontId="54" fillId="0" borderId="0"/>
    <xf numFmtId="0" fontId="54" fillId="0" borderId="0"/>
    <xf numFmtId="193" fontId="54" fillId="0" borderId="0"/>
    <xf numFmtId="0" fontId="54" fillId="0" borderId="0"/>
    <xf numFmtId="0" fontId="54" fillId="0" borderId="0"/>
    <xf numFmtId="193" fontId="54" fillId="0" borderId="0"/>
    <xf numFmtId="0" fontId="54" fillId="0" borderId="0"/>
    <xf numFmtId="0" fontId="54" fillId="0" borderId="0"/>
    <xf numFmtId="0" fontId="54" fillId="0" borderId="0"/>
    <xf numFmtId="193" fontId="54" fillId="0" borderId="0"/>
    <xf numFmtId="0" fontId="54" fillId="0" borderId="0"/>
    <xf numFmtId="0" fontId="54" fillId="0" borderId="0"/>
    <xf numFmtId="0" fontId="54" fillId="0" borderId="0"/>
    <xf numFmtId="193" fontId="54" fillId="0" borderId="0"/>
    <xf numFmtId="193" fontId="54" fillId="0" borderId="0"/>
    <xf numFmtId="193" fontId="54" fillId="0" borderId="0"/>
    <xf numFmtId="193" fontId="54" fillId="0" borderId="0"/>
    <xf numFmtId="193" fontId="54" fillId="0" borderId="0"/>
    <xf numFmtId="0" fontId="54" fillId="0" borderId="0"/>
    <xf numFmtId="0" fontId="54" fillId="0" borderId="0"/>
    <xf numFmtId="0" fontId="54" fillId="0" borderId="0"/>
    <xf numFmtId="193" fontId="54" fillId="0" borderId="0"/>
    <xf numFmtId="226" fontId="54" fillId="0" borderId="0"/>
    <xf numFmtId="0" fontId="54" fillId="0" borderId="0"/>
    <xf numFmtId="226" fontId="54" fillId="0" borderId="0"/>
    <xf numFmtId="226" fontId="54" fillId="0" borderId="0"/>
    <xf numFmtId="226" fontId="54" fillId="0" borderId="0"/>
    <xf numFmtId="226" fontId="54" fillId="0" borderId="0"/>
    <xf numFmtId="0" fontId="54" fillId="0" borderId="0"/>
    <xf numFmtId="226" fontId="54" fillId="0" borderId="0"/>
    <xf numFmtId="193" fontId="54" fillId="0" borderId="0"/>
    <xf numFmtId="193" fontId="54" fillId="0" borderId="0"/>
    <xf numFmtId="0" fontId="54" fillId="0" borderId="0"/>
    <xf numFmtId="0" fontId="54" fillId="0" borderId="0"/>
    <xf numFmtId="193" fontId="54" fillId="0" borderId="0"/>
    <xf numFmtId="0" fontId="33" fillId="0" borderId="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227" fontId="30" fillId="0" borderId="0"/>
    <xf numFmtId="227" fontId="30" fillId="0" borderId="0"/>
    <xf numFmtId="227" fontId="30" fillId="0" borderId="0"/>
    <xf numFmtId="227" fontId="30" fillId="0" borderId="0"/>
    <xf numFmtId="0" fontId="33" fillId="0" borderId="0"/>
    <xf numFmtId="208"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8" fontId="54" fillId="0" borderId="0"/>
    <xf numFmtId="208" fontId="54" fillId="0" borderId="0"/>
    <xf numFmtId="209" fontId="54" fillId="0" borderId="0"/>
    <xf numFmtId="0" fontId="54" fillId="0" borderId="0"/>
    <xf numFmtId="209" fontId="54" fillId="0" borderId="0"/>
    <xf numFmtId="209" fontId="54" fillId="0" borderId="0"/>
    <xf numFmtId="208"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8" fontId="54" fillId="0" borderId="0"/>
    <xf numFmtId="208" fontId="54" fillId="0" borderId="0"/>
    <xf numFmtId="209" fontId="54" fillId="0" borderId="0"/>
    <xf numFmtId="209" fontId="54" fillId="0" borderId="0"/>
    <xf numFmtId="209" fontId="54" fillId="0" borderId="0"/>
    <xf numFmtId="208" fontId="54" fillId="0" borderId="0"/>
    <xf numFmtId="208" fontId="54" fillId="0" borderId="0"/>
    <xf numFmtId="208" fontId="54" fillId="0" borderId="0"/>
    <xf numFmtId="209" fontId="54" fillId="0" borderId="0"/>
    <xf numFmtId="209" fontId="54" fillId="0" borderId="0"/>
    <xf numFmtId="208" fontId="54" fillId="0" borderId="0"/>
    <xf numFmtId="3"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71" fillId="0" borderId="0" applyNumberFormat="0" applyFill="0" applyBorder="0" applyProtection="0">
      <alignment vertical="top"/>
    </xf>
    <xf numFmtId="0" fontId="71" fillId="0" borderId="0" applyNumberFormat="0" applyFill="0" applyBorder="0" applyAlignment="0" applyProtection="0">
      <alignment vertical="top"/>
    </xf>
    <xf numFmtId="0" fontId="33" fillId="0" borderId="0"/>
    <xf numFmtId="0" fontId="72" fillId="0" borderId="27" applyNumberFormat="0" applyFill="0" applyAlignment="0" applyProtection="0"/>
    <xf numFmtId="0" fontId="72" fillId="0" borderId="28" applyNumberFormat="0" applyFill="0" applyAlignment="0" applyProtection="0"/>
    <xf numFmtId="0" fontId="72" fillId="0" borderId="28" applyNumberFormat="0" applyFill="0" applyAlignment="0" applyProtection="0"/>
    <xf numFmtId="0" fontId="73" fillId="0" borderId="29" applyNumberFormat="0" applyFill="0" applyProtection="0">
      <alignment horizontal="center"/>
    </xf>
    <xf numFmtId="0" fontId="73" fillId="0" borderId="0" applyNumberFormat="0" applyFill="0" applyBorder="0" applyProtection="0">
      <alignment horizontal="left"/>
    </xf>
    <xf numFmtId="0" fontId="74" fillId="0" borderId="0" applyNumberFormat="0" applyFill="0" applyProtection="0">
      <alignment horizontal="centerContinuous"/>
    </xf>
    <xf numFmtId="0" fontId="74" fillId="0" borderId="0" applyNumberFormat="0" applyFill="0" applyBorder="0" applyProtection="0">
      <alignment horizontal="centerContinuous"/>
    </xf>
    <xf numFmtId="0" fontId="74" fillId="0" borderId="0" applyNumberFormat="0" applyFill="0" applyBorder="0" applyProtection="0">
      <alignment horizontal="centerContinuous"/>
    </xf>
    <xf numFmtId="0" fontId="33" fillId="0" borderId="0"/>
    <xf numFmtId="0" fontId="33" fillId="0" borderId="0"/>
    <xf numFmtId="0" fontId="33" fillId="0" borderId="0"/>
    <xf numFmtId="0" fontId="33" fillId="0" borderId="0"/>
    <xf numFmtId="0" fontId="33" fillId="0" borderId="0"/>
    <xf numFmtId="3" fontId="5"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applyNumberFormat="0" applyFill="0" applyBorder="0" applyAlignment="0" applyProtection="0"/>
    <xf numFmtId="0" fontId="54"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xf numFmtId="0" fontId="64"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0" fontId="70" fillId="0" borderId="0" applyFont="0" applyFill="0" applyBorder="0" applyAlignment="0" applyProtection="0"/>
    <xf numFmtId="0" fontId="33" fillId="0" borderId="0"/>
    <xf numFmtId="164" fontId="33" fillId="0" borderId="0" applyFont="0" applyFill="0" applyBorder="0" applyAlignment="0" applyProtection="0"/>
    <xf numFmtId="165" fontId="33" fillId="0" borderId="0" applyFont="0" applyFill="0" applyBorder="0" applyAlignment="0" applyProtection="0"/>
    <xf numFmtId="0" fontId="70" fillId="0" borderId="0" applyFont="0" applyFill="0" applyBorder="0" applyAlignment="0" applyProtection="0"/>
    <xf numFmtId="0" fontId="33"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9" fontId="76" fillId="0" borderId="0" applyFont="0" applyFill="0" applyBorder="0" applyAlignment="0" applyProtection="0"/>
    <xf numFmtId="0" fontId="52" fillId="14" borderId="0" applyNumberFormat="0" applyBorder="0" applyAlignment="0" applyProtection="0"/>
    <xf numFmtId="0" fontId="70" fillId="0" borderId="0"/>
    <xf numFmtId="170" fontId="76" fillId="0" borderId="0" applyFont="0" applyFill="0" applyBorder="0" applyAlignment="0" applyProtection="0"/>
    <xf numFmtId="10" fontId="76" fillId="0" borderId="0" applyFont="0" applyFill="0" applyBorder="0" applyAlignment="0" applyProtection="0"/>
    <xf numFmtId="0" fontId="77" fillId="0" borderId="0" applyFill="0" applyBorder="0">
      <alignment vertical="center"/>
    </xf>
    <xf numFmtId="0" fontId="30" fillId="0" borderId="0" applyFill="0" applyBorder="0">
      <alignment vertical="center"/>
    </xf>
    <xf numFmtId="228" fontId="30" fillId="0" borderId="0" applyFont="0" applyFill="0" applyBorder="0" applyAlignment="0" applyProtection="0"/>
    <xf numFmtId="193" fontId="76" fillId="0" borderId="0" applyFont="0" applyFill="0" applyBorder="0" applyAlignment="0" applyProtection="0"/>
    <xf numFmtId="171" fontId="78" fillId="0" borderId="0">
      <alignment horizontal="right"/>
    </xf>
    <xf numFmtId="3" fontId="54" fillId="0" borderId="0"/>
    <xf numFmtId="229" fontId="54" fillId="0" borderId="0" applyBorder="0"/>
    <xf numFmtId="230" fontId="30" fillId="0" borderId="3" applyFont="0" applyFill="0" applyBorder="0" applyAlignment="0" applyProtection="0">
      <alignment horizontal="right"/>
    </xf>
    <xf numFmtId="0" fontId="33" fillId="0" borderId="0" applyNumberFormat="0" applyFont="0" applyBorder="0"/>
    <xf numFmtId="39" fontId="79" fillId="0" borderId="0" applyFont="0" applyFill="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5"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6"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19"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0" fontId="52" fillId="20" borderId="0" applyNumberFormat="0" applyBorder="0" applyAlignment="0" applyProtection="0"/>
    <xf numFmtId="215" fontId="79" fillId="0" borderId="0" applyFont="0" applyFill="0" applyBorder="0" applyAlignment="0" applyProtection="0"/>
    <xf numFmtId="190" fontId="33" fillId="0" borderId="0" applyFont="0" applyFill="0" applyBorder="0" applyAlignment="0" applyProtection="0"/>
    <xf numFmtId="6" fontId="61" fillId="0" borderId="0" applyFont="0" applyFill="0" applyBorder="0" applyAlignment="0" applyProtection="0"/>
    <xf numFmtId="6" fontId="61" fillId="0" borderId="0" applyFont="0" applyFill="0" applyBorder="0" applyAlignment="0" applyProtection="0"/>
    <xf numFmtId="210" fontId="33" fillId="0" borderId="0" applyFont="0" applyFill="0" applyBorder="0" applyAlignment="0" applyProtection="0"/>
    <xf numFmtId="205" fontId="80" fillId="0" borderId="0" applyFont="0" applyFill="0" applyBorder="0" applyAlignment="0" applyProtection="0"/>
    <xf numFmtId="205" fontId="80" fillId="0" borderId="0" applyFont="0" applyFill="0" applyBorder="0" applyAlignment="0" applyProtection="0"/>
    <xf numFmtId="231" fontId="33" fillId="0" borderId="0" applyFont="0" applyFill="0" applyBorder="0" applyAlignment="0" applyProtection="0"/>
    <xf numFmtId="6" fontId="61" fillId="0" borderId="0" applyFont="0" applyFill="0" applyBorder="0" applyAlignment="0" applyProtection="0"/>
    <xf numFmtId="6" fontId="61" fillId="0" borderId="0" applyFont="0" applyFill="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2"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23"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18"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52" fillId="14" borderId="0" applyNumberFormat="0" applyBorder="0" applyAlignment="0" applyProtection="0"/>
    <xf numFmtId="0" fontId="81" fillId="24" borderId="0" applyNumberFormat="0" applyBorder="0" applyAlignment="0" applyProtection="0"/>
    <xf numFmtId="0" fontId="81" fillId="24" borderId="0" applyNumberFormat="0" applyBorder="0" applyAlignment="0" applyProtection="0"/>
    <xf numFmtId="0" fontId="81" fillId="24" borderId="0" applyNumberFormat="0" applyBorder="0" applyAlignment="0" applyProtection="0"/>
    <xf numFmtId="0" fontId="81" fillId="24" borderId="0" applyNumberFormat="0" applyBorder="0" applyAlignment="0" applyProtection="0"/>
    <xf numFmtId="0" fontId="81" fillId="24" borderId="0" applyNumberFormat="0" applyBorder="0" applyAlignment="0" applyProtection="0"/>
    <xf numFmtId="0" fontId="81" fillId="24" borderId="0" applyNumberFormat="0" applyBorder="0" applyAlignment="0" applyProtection="0"/>
    <xf numFmtId="0" fontId="81" fillId="24" borderId="0" applyNumberFormat="0" applyBorder="0" applyAlignment="0" applyProtection="0"/>
    <xf numFmtId="0" fontId="81" fillId="22" borderId="0" applyNumberFormat="0" applyBorder="0" applyAlignment="0" applyProtection="0"/>
    <xf numFmtId="0" fontId="81" fillId="22" borderId="0" applyNumberFormat="0" applyBorder="0" applyAlignment="0" applyProtection="0"/>
    <xf numFmtId="0" fontId="81" fillId="22" borderId="0" applyNumberFormat="0" applyBorder="0" applyAlignment="0" applyProtection="0"/>
    <xf numFmtId="0" fontId="81" fillId="22" borderId="0" applyNumberFormat="0" applyBorder="0" applyAlignment="0" applyProtection="0"/>
    <xf numFmtId="0" fontId="81" fillId="22" borderId="0" applyNumberFormat="0" applyBorder="0" applyAlignment="0" applyProtection="0"/>
    <xf numFmtId="0" fontId="81" fillId="22" borderId="0" applyNumberFormat="0" applyBorder="0" applyAlignment="0" applyProtection="0"/>
    <xf numFmtId="0" fontId="81" fillId="22" borderId="0" applyNumberFormat="0" applyBorder="0" applyAlignment="0" applyProtection="0"/>
    <xf numFmtId="0" fontId="81" fillId="23" borderId="0" applyNumberFormat="0" applyBorder="0" applyAlignment="0" applyProtection="0"/>
    <xf numFmtId="0" fontId="81" fillId="23" borderId="0" applyNumberFormat="0" applyBorder="0" applyAlignment="0" applyProtection="0"/>
    <xf numFmtId="0" fontId="81" fillId="23" borderId="0" applyNumberFormat="0" applyBorder="0" applyAlignment="0" applyProtection="0"/>
    <xf numFmtId="0" fontId="81" fillId="23" borderId="0" applyNumberFormat="0" applyBorder="0" applyAlignment="0" applyProtection="0"/>
    <xf numFmtId="0" fontId="81" fillId="23" borderId="0" applyNumberFormat="0" applyBorder="0" applyAlignment="0" applyProtection="0"/>
    <xf numFmtId="0" fontId="81" fillId="23" borderId="0" applyNumberFormat="0" applyBorder="0" applyAlignment="0" applyProtection="0"/>
    <xf numFmtId="0" fontId="81" fillId="23"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7" borderId="0" applyNumberFormat="0" applyBorder="0" applyAlignment="0" applyProtection="0"/>
    <xf numFmtId="0" fontId="81" fillId="27" borderId="0" applyNumberFormat="0" applyBorder="0" applyAlignment="0" applyProtection="0"/>
    <xf numFmtId="0" fontId="81" fillId="27" borderId="0" applyNumberFormat="0" applyBorder="0" applyAlignment="0" applyProtection="0"/>
    <xf numFmtId="0" fontId="81" fillId="27" borderId="0" applyNumberFormat="0" applyBorder="0" applyAlignment="0" applyProtection="0"/>
    <xf numFmtId="0" fontId="81" fillId="27" borderId="0" applyNumberFormat="0" applyBorder="0" applyAlignment="0" applyProtection="0"/>
    <xf numFmtId="0" fontId="81" fillId="27" borderId="0" applyNumberFormat="0" applyBorder="0" applyAlignment="0" applyProtection="0"/>
    <xf numFmtId="0" fontId="81" fillId="27" borderId="0" applyNumberFormat="0" applyBorder="0" applyAlignment="0" applyProtection="0"/>
    <xf numFmtId="179" fontId="33" fillId="0" borderId="30" applyNumberFormat="0" applyBorder="0" applyAlignment="0" applyProtection="0"/>
    <xf numFmtId="0" fontId="6" fillId="9" borderId="31" applyBorder="0">
      <alignment horizontal="center"/>
    </xf>
    <xf numFmtId="0" fontId="52" fillId="28" borderId="0" applyNumberFormat="0" applyBorder="0" applyAlignment="0" applyProtection="0"/>
    <xf numFmtId="0" fontId="52" fillId="28" borderId="0" applyNumberFormat="0" applyBorder="0" applyAlignment="0" applyProtection="0"/>
    <xf numFmtId="0" fontId="81" fillId="29"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81" fillId="33"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52" fillId="31" borderId="0" applyNumberFormat="0" applyBorder="0" applyAlignment="0" applyProtection="0"/>
    <xf numFmtId="0" fontId="52" fillId="35" borderId="0" applyNumberFormat="0" applyBorder="0" applyAlignment="0" applyProtection="0"/>
    <xf numFmtId="0" fontId="81" fillId="32"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81" fillId="32"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52" fillId="37" borderId="0" applyNumberFormat="0" applyBorder="0" applyAlignment="0" applyProtection="0"/>
    <xf numFmtId="0" fontId="52" fillId="28" borderId="0" applyNumberFormat="0" applyBorder="0" applyAlignment="0" applyProtection="0"/>
    <xf numFmtId="0" fontId="81" fillId="29"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81" fillId="26" borderId="0" applyNumberFormat="0" applyBorder="0" applyAlignment="0" applyProtection="0"/>
    <xf numFmtId="0" fontId="52" fillId="31" borderId="0" applyNumberFormat="0" applyBorder="0" applyAlignment="0" applyProtection="0"/>
    <xf numFmtId="0" fontId="52" fillId="38" borderId="0" applyNumberFormat="0" applyBorder="0" applyAlignment="0" applyProtection="0"/>
    <xf numFmtId="0" fontId="81" fillId="38"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232" fontId="30" fillId="0" borderId="0" applyFont="0" applyFill="0" applyBorder="0" applyAlignment="0" applyProtection="0">
      <protection hidden="1"/>
    </xf>
    <xf numFmtId="232" fontId="82" fillId="40" borderId="0" applyFont="0" applyFill="0" applyBorder="0" applyAlignment="0" applyProtection="0">
      <protection hidden="1"/>
    </xf>
    <xf numFmtId="233" fontId="30" fillId="0" borderId="0" applyFont="0" applyFill="0" applyBorder="0" applyAlignment="0" applyProtection="0">
      <protection hidden="1"/>
    </xf>
    <xf numFmtId="0" fontId="83" fillId="9" borderId="0" applyFont="0" applyFill="0" applyBorder="0" applyAlignment="0" applyProtection="0">
      <protection locked="0"/>
    </xf>
    <xf numFmtId="234" fontId="30" fillId="0" borderId="0" applyFill="0" applyBorder="0" applyProtection="0">
      <alignment horizontal="right"/>
    </xf>
    <xf numFmtId="235" fontId="84" fillId="0" borderId="3">
      <alignment horizontal="centerContinuous"/>
    </xf>
    <xf numFmtId="0" fontId="33" fillId="41" borderId="0" applyFont="0" applyBorder="0"/>
    <xf numFmtId="236" fontId="85" fillId="42" borderId="0" applyNumberFormat="0" applyFont="0" applyBorder="0" applyAlignment="0">
      <alignment horizontal="right"/>
    </xf>
    <xf numFmtId="235" fontId="86" fillId="42" borderId="19" applyFont="0">
      <alignment horizontal="right"/>
    </xf>
    <xf numFmtId="0" fontId="30" fillId="0" borderId="0" applyNumberForma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xf numFmtId="175" fontId="87" fillId="43" borderId="0">
      <alignment horizontal="left"/>
    </xf>
    <xf numFmtId="0" fontId="88" fillId="0" borderId="0">
      <alignment horizontal="right"/>
    </xf>
    <xf numFmtId="0" fontId="89" fillId="0" borderId="0"/>
    <xf numFmtId="0" fontId="82" fillId="0" borderId="0">
      <alignment horizontal="center" wrapText="1"/>
      <protection locked="0"/>
    </xf>
    <xf numFmtId="0" fontId="33" fillId="0" borderId="0" applyNumberFormat="0" applyFill="0" applyBorder="0" applyAlignment="0" applyProtection="0"/>
    <xf numFmtId="0" fontId="33" fillId="0" borderId="0" applyNumberFormat="0" applyFill="0" applyBorder="0" applyAlignment="0" applyProtection="0"/>
    <xf numFmtId="0" fontId="90" fillId="0" borderId="0" applyNumberFormat="0" applyFill="0" applyBorder="0" applyAlignment="0" applyProtection="0"/>
    <xf numFmtId="0" fontId="33" fillId="0" borderId="0" applyFill="0" applyBorder="0">
      <alignment vertical="center"/>
    </xf>
    <xf numFmtId="0" fontId="91" fillId="0" borderId="32" applyNumberFormat="0" applyFill="0" applyBorder="0" applyAlignment="0" applyProtection="0"/>
    <xf numFmtId="0" fontId="31" fillId="0" borderId="32" applyNumberFormat="0" applyFill="0" applyBorder="0" applyAlignment="0" applyProtection="0"/>
    <xf numFmtId="0" fontId="35" fillId="0" borderId="32" applyNumberFormat="0" applyFill="0" applyBorder="0" applyAlignment="0" applyProtection="0"/>
    <xf numFmtId="0" fontId="30" fillId="0" borderId="32" applyNumberFormat="0" applyFill="0" applyAlignment="0" applyProtection="0"/>
    <xf numFmtId="0" fontId="92" fillId="0" borderId="0"/>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0" fontId="94" fillId="0" borderId="0" applyNumberFormat="0" applyFill="0" applyBorder="0" applyAlignment="0" applyProtection="0">
      <alignment horizontal="right"/>
    </xf>
    <xf numFmtId="179" fontId="93" fillId="0" borderId="0" applyNumberFormat="0" applyFill="0" applyBorder="0" applyAlignment="0" applyProtection="0"/>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79" fontId="93" fillId="0" borderId="0" applyNumberFormat="0" applyFill="0" applyBorder="0" applyAlignment="0" applyProtection="0"/>
    <xf numFmtId="179" fontId="93" fillId="0" borderId="0" applyNumberFormat="0" applyFill="0" applyBorder="0" applyAlignment="0" applyProtection="0"/>
    <xf numFmtId="10" fontId="94" fillId="0" borderId="0" applyNumberFormat="0" applyFill="0" applyBorder="0" applyAlignment="0" applyProtection="0">
      <alignment horizontal="right"/>
    </xf>
    <xf numFmtId="179" fontId="93" fillId="0" borderId="0" applyNumberFormat="0" applyFill="0" applyBorder="0" applyAlignment="0" applyProtection="0"/>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79" fontId="93" fillId="0" borderId="0" applyNumberFormat="0" applyFill="0" applyBorder="0" applyAlignment="0" applyProtection="0"/>
    <xf numFmtId="179" fontId="93" fillId="0" borderId="0" applyNumberFormat="0" applyFill="0" applyBorder="0" applyAlignment="0" applyProtection="0"/>
    <xf numFmtId="10" fontId="94" fillId="0" borderId="0" applyNumberFormat="0" applyFill="0" applyBorder="0" applyAlignment="0" applyProtection="0">
      <alignment horizontal="right"/>
    </xf>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79" fontId="93" fillId="0" borderId="0" applyNumberFormat="0" applyFill="0" applyBorder="0" applyAlignment="0" applyProtection="0"/>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79" fontId="93" fillId="0" borderId="0" applyNumberFormat="0" applyFill="0" applyBorder="0" applyAlignment="0" applyProtection="0"/>
    <xf numFmtId="10" fontId="94" fillId="0" borderId="0" applyNumberFormat="0" applyFill="0" applyBorder="0" applyAlignment="0" applyProtection="0">
      <alignment horizontal="right"/>
    </xf>
    <xf numFmtId="179" fontId="93" fillId="0" borderId="0" applyNumberFormat="0" applyFill="0" applyBorder="0" applyAlignment="0" applyProtection="0"/>
    <xf numFmtId="179" fontId="93" fillId="0" borderId="0" applyNumberFormat="0" applyFill="0" applyBorder="0" applyAlignment="0" applyProtection="0"/>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79" fontId="93" fillId="0" borderId="0" applyNumberFormat="0" applyFill="0" applyBorder="0" applyAlignment="0" applyProtection="0"/>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10" fontId="94" fillId="0" borderId="0" applyNumberFormat="0" applyFill="0" applyBorder="0" applyAlignment="0" applyProtection="0">
      <alignment horizontal="right"/>
    </xf>
    <xf numFmtId="0" fontId="95" fillId="16" borderId="0" applyNumberFormat="0" applyBorder="0" applyAlignment="0" applyProtection="0"/>
    <xf numFmtId="0" fontId="95" fillId="16" borderId="0" applyNumberFormat="0" applyBorder="0" applyAlignment="0" applyProtection="0"/>
    <xf numFmtId="0" fontId="95" fillId="16" borderId="0" applyNumberFormat="0" applyBorder="0" applyAlignment="0" applyProtection="0"/>
    <xf numFmtId="0" fontId="95" fillId="16" borderId="0" applyNumberFormat="0" applyBorder="0" applyAlignment="0" applyProtection="0"/>
    <xf numFmtId="0" fontId="95" fillId="16" borderId="0" applyNumberFormat="0" applyBorder="0" applyAlignment="0" applyProtection="0"/>
    <xf numFmtId="0" fontId="95" fillId="16" borderId="0" applyNumberFormat="0" applyBorder="0" applyAlignment="0" applyProtection="0"/>
    <xf numFmtId="0" fontId="95" fillId="16" borderId="0" applyNumberFormat="0" applyBorder="0" applyAlignment="0" applyProtection="0"/>
    <xf numFmtId="237" fontId="82" fillId="0" borderId="0" applyFont="0" applyFill="0" applyBorder="0" applyAlignment="0" applyProtection="0"/>
    <xf numFmtId="238" fontId="96" fillId="0" borderId="0" applyFont="0" applyFill="0" applyBorder="0" applyAlignment="0" applyProtection="0">
      <protection hidden="1"/>
    </xf>
    <xf numFmtId="38" fontId="82" fillId="0" borderId="0" applyFill="0" applyBorder="0" applyAlignment="0" applyProtection="0">
      <protection locked="0"/>
    </xf>
    <xf numFmtId="0" fontId="59" fillId="0" borderId="0" applyNumberFormat="0" applyFill="0" applyBorder="0" applyAlignment="0" applyProtection="0">
      <alignment vertical="top"/>
      <protection locked="0"/>
    </xf>
    <xf numFmtId="239" fontId="82" fillId="0" borderId="0" applyFont="0" applyFill="0" applyBorder="0" applyAlignment="0" applyProtection="0"/>
    <xf numFmtId="14" fontId="97" fillId="0" borderId="0" applyNumberFormat="0" applyFill="0" applyBorder="0" applyAlignment="0" applyProtection="0">
      <alignment horizontal="center"/>
    </xf>
    <xf numFmtId="0" fontId="98" fillId="44" borderId="33">
      <alignment horizontal="center"/>
    </xf>
    <xf numFmtId="0" fontId="99" fillId="0" borderId="0" applyNumberFormat="0" applyFill="0" applyBorder="0" applyAlignment="0" applyProtection="0"/>
    <xf numFmtId="0" fontId="100" fillId="0" borderId="3" applyNumberFormat="0" applyFill="0" applyAlignment="0" applyProtection="0"/>
    <xf numFmtId="240" fontId="101" fillId="45" borderId="0" applyFont="0" applyFill="0" applyBorder="0" applyAlignment="0" applyProtection="0"/>
    <xf numFmtId="196" fontId="33" fillId="0" borderId="0" applyFont="0" applyFill="0" applyBorder="0" applyAlignment="0" applyProtection="0"/>
    <xf numFmtId="196" fontId="33" fillId="0" borderId="0" applyFont="0" applyFill="0" applyBorder="0" applyAlignment="0" applyProtection="0"/>
    <xf numFmtId="0" fontId="70" fillId="0" borderId="0" applyFont="0" applyFill="0" applyBorder="0" applyAlignment="0" applyProtection="0"/>
    <xf numFmtId="41" fontId="33" fillId="0" borderId="0" applyFont="0" applyFill="0" applyBorder="0" applyAlignment="0" applyProtection="0"/>
    <xf numFmtId="0" fontId="102" fillId="0" borderId="0"/>
    <xf numFmtId="2" fontId="30" fillId="46" borderId="0" applyNumberFormat="0" applyFont="0" applyBorder="0" applyAlignment="0" applyProtection="0"/>
    <xf numFmtId="0" fontId="103" fillId="0" borderId="0" applyFill="0" applyBorder="0" applyAlignment="0"/>
    <xf numFmtId="38" fontId="104" fillId="41" borderId="34">
      <alignment horizontal="right"/>
    </xf>
    <xf numFmtId="0" fontId="33" fillId="47" borderId="0"/>
    <xf numFmtId="0" fontId="105" fillId="48" borderId="35" applyNumberFormat="0" applyAlignment="0" applyProtection="0"/>
    <xf numFmtId="0" fontId="105" fillId="48" borderId="35" applyNumberFormat="0" applyAlignment="0" applyProtection="0"/>
    <xf numFmtId="0" fontId="105" fillId="48" borderId="35" applyNumberFormat="0" applyAlignment="0" applyProtection="0"/>
    <xf numFmtId="0" fontId="105" fillId="48" borderId="35" applyNumberFormat="0" applyAlignment="0" applyProtection="0"/>
    <xf numFmtId="0" fontId="105" fillId="48" borderId="35" applyNumberFormat="0" applyAlignment="0" applyProtection="0"/>
    <xf numFmtId="0" fontId="105" fillId="48" borderId="35" applyNumberFormat="0" applyAlignment="0" applyProtection="0"/>
    <xf numFmtId="0" fontId="105" fillId="48" borderId="35" applyNumberFormat="0" applyAlignment="0" applyProtection="0"/>
    <xf numFmtId="3" fontId="106" fillId="0" borderId="0" applyNumberFormat="0" applyFill="0" applyBorder="0" applyAlignment="0" applyProtection="0"/>
    <xf numFmtId="0" fontId="33" fillId="49" borderId="36">
      <alignment horizontal="left"/>
      <protection locked="0"/>
    </xf>
    <xf numFmtId="237" fontId="82" fillId="0" borderId="0" applyFont="0" applyFill="0" applyBorder="0" applyAlignment="0" applyProtection="0">
      <protection locked="0"/>
    </xf>
    <xf numFmtId="0" fontId="107" fillId="0" borderId="0"/>
    <xf numFmtId="1" fontId="108" fillId="0" borderId="0"/>
    <xf numFmtId="237" fontId="82" fillId="0" borderId="37" applyFont="0" applyFill="0" applyAlignment="0" applyProtection="0"/>
    <xf numFmtId="0" fontId="109" fillId="50" borderId="38" applyNumberFormat="0" applyAlignment="0" applyProtection="0"/>
    <xf numFmtId="0" fontId="109" fillId="50" borderId="38" applyNumberFormat="0" applyAlignment="0" applyProtection="0"/>
    <xf numFmtId="0" fontId="109" fillId="50" borderId="38" applyNumberFormat="0" applyAlignment="0" applyProtection="0"/>
    <xf numFmtId="0" fontId="109" fillId="50" borderId="38" applyNumberFormat="0" applyAlignment="0" applyProtection="0"/>
    <xf numFmtId="0" fontId="109" fillId="50" borderId="38" applyNumberFormat="0" applyAlignment="0" applyProtection="0"/>
    <xf numFmtId="0" fontId="109" fillId="50" borderId="38" applyNumberFormat="0" applyAlignment="0" applyProtection="0"/>
    <xf numFmtId="0" fontId="109" fillId="50" borderId="38" applyNumberFormat="0" applyAlignment="0" applyProtection="0"/>
    <xf numFmtId="179" fontId="30" fillId="0" borderId="0" applyNumberFormat="0" applyFont="0" applyAlignment="0" applyProtection="0"/>
    <xf numFmtId="0" fontId="110" fillId="41" borderId="39">
      <alignment horizontal="left" vertical="center"/>
    </xf>
    <xf numFmtId="0" fontId="31" fillId="51" borderId="40" applyFont="0" applyFill="0" applyBorder="0"/>
    <xf numFmtId="0" fontId="30" fillId="0" borderId="23"/>
    <xf numFmtId="0" fontId="111" fillId="41" borderId="0" applyNumberFormat="0" applyBorder="0" applyAlignment="0" applyProtection="0">
      <alignment horizontal="left"/>
      <protection locked="0"/>
    </xf>
    <xf numFmtId="1" fontId="112" fillId="0" borderId="0">
      <alignment vertical="center"/>
    </xf>
    <xf numFmtId="1" fontId="112" fillId="0" borderId="0">
      <alignment vertical="center"/>
    </xf>
    <xf numFmtId="0" fontId="62" fillId="0" borderId="0">
      <alignment horizontal="center" wrapText="1"/>
      <protection hidden="1"/>
    </xf>
    <xf numFmtId="0" fontId="113" fillId="0" borderId="0">
      <alignment horizontal="right" vertical="center"/>
    </xf>
    <xf numFmtId="0" fontId="31" fillId="0" borderId="0" applyFill="0" applyBorder="0">
      <alignment horizontal="center" vertical="center"/>
    </xf>
    <xf numFmtId="0" fontId="31" fillId="0" borderId="0" applyFill="0" applyBorder="0">
      <alignment horizontal="left" vertical="center"/>
    </xf>
    <xf numFmtId="1" fontId="112" fillId="0" borderId="0">
      <alignment vertical="center"/>
    </xf>
    <xf numFmtId="241" fontId="114" fillId="0" borderId="0"/>
    <xf numFmtId="241" fontId="114" fillId="0" borderId="0"/>
    <xf numFmtId="241" fontId="114" fillId="0" borderId="0"/>
    <xf numFmtId="241" fontId="114" fillId="0" borderId="0"/>
    <xf numFmtId="241" fontId="114" fillId="0" borderId="0"/>
    <xf numFmtId="241" fontId="114" fillId="0" borderId="0"/>
    <xf numFmtId="241" fontId="114" fillId="0" borderId="0"/>
    <xf numFmtId="241" fontId="114" fillId="0" borderId="0"/>
    <xf numFmtId="242" fontId="115" fillId="0" borderId="0" applyFont="0"/>
    <xf numFmtId="243" fontId="116" fillId="0" borderId="0" applyFont="0" applyFill="0" applyBorder="0" applyAlignment="0" applyProtection="0">
      <alignment horizontal="right"/>
    </xf>
    <xf numFmtId="244" fontId="33" fillId="0" borderId="0" applyFont="0" applyFill="0" applyBorder="0" applyAlignment="0" applyProtection="0"/>
    <xf numFmtId="43" fontId="52" fillId="0" borderId="0" applyFont="0" applyFill="0" applyBorder="0" applyAlignment="0" applyProtection="0"/>
    <xf numFmtId="43" fontId="3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117"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117"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6" fontId="117" fillId="0" borderId="0" applyFont="0" applyFill="0" applyBorder="0" applyAlignment="0" applyProtection="0"/>
    <xf numFmtId="166" fontId="117"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0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18" fillId="0" borderId="0" applyFont="0" applyFill="0" applyBorder="0" applyAlignment="0" applyProtection="0"/>
    <xf numFmtId="43" fontId="119" fillId="0" borderId="0" applyFont="0" applyFill="0" applyBorder="0" applyAlignment="0" applyProtection="0"/>
    <xf numFmtId="43" fontId="11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33" fillId="0" borderId="0" applyFont="0" applyFill="0" applyBorder="0" applyAlignment="0" applyProtection="0"/>
    <xf numFmtId="43" fontId="3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5" fontId="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20" fillId="0" borderId="0" applyFont="0" applyFill="0" applyBorder="0" applyAlignment="0" applyProtection="0"/>
    <xf numFmtId="43" fontId="52" fillId="0" borderId="0" applyFont="0" applyFill="0" applyBorder="0" applyAlignment="0" applyProtection="0"/>
    <xf numFmtId="245" fontId="33" fillId="0" borderId="0" applyFont="0" applyFill="0" applyBorder="0" applyAlignment="0" applyProtection="0"/>
    <xf numFmtId="245" fontId="33" fillId="0" borderId="0" applyFont="0" applyFill="0" applyBorder="0" applyAlignment="0" applyProtection="0"/>
    <xf numFmtId="246" fontId="121" fillId="0" borderId="0"/>
    <xf numFmtId="193" fontId="33" fillId="0" borderId="0" applyFont="0" applyFill="0" applyBorder="0" applyAlignment="0" applyProtection="0"/>
    <xf numFmtId="193" fontId="33" fillId="0" borderId="0" applyFont="0" applyFill="0" applyBorder="0" applyAlignment="0" applyProtection="0"/>
    <xf numFmtId="193" fontId="33" fillId="0" borderId="0" applyFont="0" applyFill="0" applyBorder="0" applyAlignment="0" applyProtection="0"/>
    <xf numFmtId="179" fontId="122" fillId="0" borderId="0" applyFont="0" applyFill="0" applyBorder="0" applyAlignment="0" applyProtection="0"/>
    <xf numFmtId="39" fontId="122" fillId="0" borderId="0" applyFont="0" applyFill="0" applyBorder="0" applyAlignment="0" applyProtection="0"/>
    <xf numFmtId="3" fontId="33" fillId="0" borderId="0" applyFont="0" applyFill="0" applyBorder="0" applyAlignment="0" applyProtection="0"/>
    <xf numFmtId="0" fontId="123" fillId="0" borderId="0"/>
    <xf numFmtId="0" fontId="124" fillId="0" borderId="0"/>
    <xf numFmtId="3" fontId="33" fillId="0" borderId="0" applyFont="0" applyFill="0" applyBorder="0" applyAlignment="0" applyProtection="0"/>
    <xf numFmtId="0" fontId="123" fillId="0" borderId="0"/>
    <xf numFmtId="0" fontId="124" fillId="0" borderId="0"/>
    <xf numFmtId="242" fontId="125" fillId="0" borderId="0" applyFont="0" applyFill="0" applyBorder="0" applyProtection="0">
      <alignment horizontal="right"/>
    </xf>
    <xf numFmtId="0" fontId="126" fillId="52" borderId="0">
      <alignment horizontal="center" vertical="center" wrapText="1"/>
    </xf>
    <xf numFmtId="0" fontId="33" fillId="52" borderId="0">
      <alignment horizontal="center" vertical="center" wrapText="1"/>
    </xf>
    <xf numFmtId="0" fontId="33" fillId="52" borderId="0">
      <alignment horizontal="center" vertical="center" wrapText="1"/>
    </xf>
    <xf numFmtId="0" fontId="33" fillId="52" borderId="0">
      <alignment horizontal="center" vertical="center" wrapText="1"/>
    </xf>
    <xf numFmtId="193" fontId="127" fillId="53" borderId="0" applyNumberFormat="0" applyFont="0" applyBorder="0" applyAlignment="0"/>
    <xf numFmtId="0" fontId="128" fillId="0" borderId="0" applyNumberFormat="0" applyFill="0" applyBorder="0">
      <alignment horizontal="right"/>
    </xf>
    <xf numFmtId="0" fontId="129" fillId="52" borderId="0">
      <alignment horizontal="center" vertical="center" wrapText="1"/>
    </xf>
    <xf numFmtId="0" fontId="130" fillId="0" borderId="0">
      <alignment horizontal="left" vertical="center" indent="1"/>
    </xf>
    <xf numFmtId="0" fontId="131" fillId="0" borderId="0" applyNumberFormat="0" applyAlignment="0">
      <alignment horizontal="left"/>
    </xf>
    <xf numFmtId="0" fontId="132" fillId="54" borderId="41">
      <alignment vertical="center"/>
    </xf>
    <xf numFmtId="0" fontId="133" fillId="0" borderId="0">
      <alignment horizontal="left"/>
    </xf>
    <xf numFmtId="0" fontId="134" fillId="0" borderId="0"/>
    <xf numFmtId="0" fontId="135" fillId="0" borderId="0">
      <alignment horizontal="left"/>
    </xf>
    <xf numFmtId="247" fontId="62" fillId="0" borderId="0" applyFill="0" applyBorder="0">
      <alignment horizontal="right"/>
      <protection locked="0"/>
    </xf>
    <xf numFmtId="227" fontId="136" fillId="0" borderId="0" applyFill="0" applyBorder="0">
      <alignment horizontal="right"/>
      <protection locked="0"/>
    </xf>
    <xf numFmtId="248" fontId="30" fillId="0" borderId="42" applyFont="0" applyFill="0" applyBorder="0" applyAlignment="0" applyProtection="0"/>
    <xf numFmtId="249" fontId="33" fillId="0" borderId="0">
      <alignment horizontal="center"/>
    </xf>
    <xf numFmtId="250" fontId="30" fillId="0" borderId="0" applyFont="0" applyFill="0" applyBorder="0" applyAlignment="0"/>
    <xf numFmtId="8" fontId="33" fillId="0" borderId="0" applyFont="0" applyFill="0" applyBorder="0" applyAlignment="0"/>
    <xf numFmtId="251" fontId="116" fillId="0" borderId="0" applyFont="0" applyFill="0" applyBorder="0" applyAlignment="0" applyProtection="0">
      <alignment horizontal="right"/>
    </xf>
    <xf numFmtId="44" fontId="99" fillId="0" borderId="0" applyFont="0" applyFill="0" applyBorder="0" applyAlignment="0" applyProtection="0"/>
    <xf numFmtId="44" fontId="33" fillId="0" borderId="0" applyFont="0" applyFill="0" applyBorder="0" applyAlignment="0" applyProtection="0"/>
    <xf numFmtId="252" fontId="33" fillId="0" borderId="0" applyFont="0" applyFill="0" applyBorder="0" applyAlignment="0" applyProtection="0"/>
    <xf numFmtId="252" fontId="33" fillId="0" borderId="0" applyFont="0" applyFill="0" applyBorder="0" applyAlignment="0" applyProtection="0"/>
    <xf numFmtId="253" fontId="121" fillId="0" borderId="0"/>
    <xf numFmtId="0" fontId="62" fillId="0" borderId="0" applyFont="0" applyFill="0" applyBorder="0" applyAlignment="0">
      <protection locked="0"/>
    </xf>
    <xf numFmtId="0" fontId="137" fillId="0" borderId="0"/>
    <xf numFmtId="0" fontId="137" fillId="0" borderId="0"/>
    <xf numFmtId="0" fontId="33" fillId="0" borderId="0" applyFont="0" applyFill="0" applyBorder="0" applyAlignment="0" applyProtection="0"/>
    <xf numFmtId="167" fontId="33" fillId="0" borderId="0" applyFont="0" applyFill="0" applyBorder="0" applyAlignment="0" applyProtection="0"/>
    <xf numFmtId="1" fontId="33" fillId="0" borderId="0" applyFont="0" applyFill="0" applyBorder="0" applyAlignment="0" applyProtection="0"/>
    <xf numFmtId="10" fontId="33" fillId="0" borderId="0" applyFont="0" applyFill="0" applyBorder="0" applyAlignment="0" applyProtection="0"/>
    <xf numFmtId="254" fontId="33" fillId="0" borderId="0" applyFont="0" applyFill="0" applyBorder="0" applyAlignment="0" applyProtection="0"/>
    <xf numFmtId="4" fontId="33" fillId="0" borderId="0" applyFont="0" applyFill="0" applyBorder="0" applyAlignment="0" applyProtection="0"/>
    <xf numFmtId="2" fontId="33" fillId="0" borderId="0" applyFont="0" applyFill="0" applyBorder="0" applyAlignment="0" applyProtection="0"/>
    <xf numFmtId="255" fontId="33" fillId="0" borderId="0" applyFont="0" applyFill="0" applyBorder="0" applyAlignment="0" applyProtection="0"/>
    <xf numFmtId="170" fontId="33" fillId="0" borderId="0" applyFont="0" applyFill="0" applyBorder="0" applyAlignment="0" applyProtection="0"/>
    <xf numFmtId="9" fontId="33" fillId="0" borderId="0" applyFont="0" applyFill="0" applyBorder="0" applyAlignment="0" applyProtection="0"/>
    <xf numFmtId="175" fontId="33" fillId="0" borderId="0" applyFont="0" applyFill="0" applyBorder="0" applyAlignment="0" applyProtection="0"/>
    <xf numFmtId="171" fontId="33" fillId="0" borderId="0" applyFont="0" applyFill="0" applyBorder="0" applyAlignment="0" applyProtection="0"/>
    <xf numFmtId="256" fontId="33" fillId="0" borderId="0" applyFont="0" applyFill="0" applyBorder="0" applyAlignment="0" applyProtection="0"/>
    <xf numFmtId="8" fontId="33" fillId="0" borderId="0" applyFont="0" applyFill="0" applyBorder="0" applyAlignment="0" applyProtection="0"/>
    <xf numFmtId="257" fontId="33" fillId="0" borderId="0" applyFont="0" applyFill="0" applyBorder="0" applyAlignment="0" applyProtection="0"/>
    <xf numFmtId="244" fontId="33" fillId="0" borderId="0" applyFont="0" applyFill="0" applyBorder="0" applyAlignment="0" applyProtection="0"/>
    <xf numFmtId="49" fontId="33" fillId="0" borderId="0" applyFont="0" applyFill="0" applyBorder="0" applyAlignment="0" applyProtection="0"/>
    <xf numFmtId="37" fontId="33" fillId="0" borderId="0" applyFont="0" applyFill="0" applyBorder="0" applyAlignment="0" applyProtection="0"/>
    <xf numFmtId="43" fontId="33" fillId="0" borderId="0" applyFont="0" applyFill="0" applyBorder="0" applyAlignment="0" applyProtection="0"/>
    <xf numFmtId="3" fontId="33" fillId="0" borderId="0" applyFont="0" applyFill="0" applyBorder="0" applyAlignment="0" applyProtection="0"/>
    <xf numFmtId="15" fontId="33" fillId="0" borderId="0" applyFont="0" applyFill="0" applyBorder="0" applyAlignment="0" applyProtection="0"/>
    <xf numFmtId="179" fontId="33" fillId="0" borderId="0" applyFont="0" applyFill="0" applyBorder="0" applyAlignment="0" applyProtection="0"/>
    <xf numFmtId="39" fontId="33" fillId="0" borderId="0" applyFont="0" applyFill="0" applyBorder="0" applyAlignment="0" applyProtection="0"/>
    <xf numFmtId="15" fontId="138" fillId="0" borderId="0" applyFont="0" applyFill="0" applyBorder="0" applyAlignment="0" applyProtection="0"/>
    <xf numFmtId="258" fontId="56" fillId="9" borderId="2">
      <alignment horizontal="right"/>
    </xf>
    <xf numFmtId="258" fontId="56" fillId="9" borderId="2">
      <alignment horizontal="right"/>
    </xf>
    <xf numFmtId="0" fontId="139" fillId="44" borderId="0" applyAlignment="0">
      <protection locked="0"/>
    </xf>
    <xf numFmtId="0" fontId="70" fillId="0" borderId="0" applyFont="0" applyFill="0" applyBorder="0" applyAlignment="0" applyProtection="0"/>
    <xf numFmtId="0" fontId="137" fillId="0" borderId="43"/>
    <xf numFmtId="3" fontId="140" fillId="0" borderId="0">
      <alignment vertical="center"/>
    </xf>
    <xf numFmtId="49" fontId="30" fillId="55" borderId="20">
      <alignment vertical="top"/>
    </xf>
    <xf numFmtId="38" fontId="141" fillId="47" borderId="34">
      <protection locked="0"/>
    </xf>
    <xf numFmtId="0" fontId="33" fillId="9" borderId="7" applyFont="0" applyFill="0" applyBorder="0"/>
    <xf numFmtId="0" fontId="33" fillId="9" borderId="7" applyFont="0" applyFill="0" applyBorder="0"/>
    <xf numFmtId="0" fontId="33" fillId="9" borderId="7" applyFont="0" applyFill="0" applyBorder="0"/>
    <xf numFmtId="0" fontId="33" fillId="9" borderId="7" applyFont="0" applyFill="0" applyBorder="0"/>
    <xf numFmtId="15" fontId="142" fillId="0" borderId="0" applyFont="0" applyFill="0" applyBorder="0" applyAlignment="0" applyProtection="0"/>
    <xf numFmtId="15" fontId="31" fillId="0" borderId="0" applyFill="0" applyBorder="0" applyAlignment="0"/>
    <xf numFmtId="259" fontId="31" fillId="43" borderId="0" applyFont="0" applyFill="0" applyBorder="0" applyAlignment="0" applyProtection="0"/>
    <xf numFmtId="260" fontId="97" fillId="43" borderId="24" applyFont="0" applyFill="0" applyBorder="0" applyAlignment="0" applyProtection="0"/>
    <xf numFmtId="260" fontId="30" fillId="43" borderId="0" applyFont="0" applyFill="0" applyBorder="0" applyAlignment="0" applyProtection="0"/>
    <xf numFmtId="17" fontId="31" fillId="0" borderId="0" applyFill="0" applyBorder="0">
      <alignment horizontal="right"/>
    </xf>
    <xf numFmtId="261" fontId="31" fillId="0" borderId="3"/>
    <xf numFmtId="262" fontId="142" fillId="0" borderId="0" applyFont="0" applyFill="0" applyBorder="0" applyAlignment="0" applyProtection="0"/>
    <xf numFmtId="263" fontId="116" fillId="0" borderId="0" applyFont="0" applyFill="0" applyBorder="0" applyAlignment="0" applyProtection="0"/>
    <xf numFmtId="262" fontId="142" fillId="0" borderId="0" applyFont="0" applyFill="0" applyBorder="0" applyAlignment="0" applyProtection="0"/>
    <xf numFmtId="260" fontId="31" fillId="0" borderId="0" applyFill="0" applyBorder="0">
      <alignment horizontal="right"/>
    </xf>
    <xf numFmtId="14" fontId="143" fillId="0" borderId="0" applyFont="0" applyFill="0" applyBorder="0" applyAlignment="0" applyProtection="0">
      <alignment horizontal="center"/>
    </xf>
    <xf numFmtId="264" fontId="143" fillId="0" borderId="0" applyFont="0" applyFill="0" applyBorder="0" applyAlignment="0" applyProtection="0">
      <alignment horizontal="center"/>
    </xf>
    <xf numFmtId="39" fontId="94" fillId="0" borderId="0" applyFont="0" applyFill="0" applyBorder="0" applyProtection="0">
      <alignment horizontal="right"/>
    </xf>
    <xf numFmtId="0" fontId="5" fillId="0" borderId="0"/>
    <xf numFmtId="0" fontId="79" fillId="0" borderId="0"/>
    <xf numFmtId="2" fontId="104" fillId="56" borderId="0">
      <alignment horizontal="left"/>
      <protection hidden="1"/>
    </xf>
    <xf numFmtId="265" fontId="33" fillId="0" borderId="0" applyFont="0" applyFill="0" applyBorder="0" applyAlignment="0" applyProtection="0"/>
    <xf numFmtId="4" fontId="124" fillId="0" borderId="0" applyFont="0" applyFill="0" applyBorder="0" applyAlignment="0" applyProtection="0"/>
    <xf numFmtId="0" fontId="144" fillId="0" borderId="0">
      <protection locked="0"/>
    </xf>
    <xf numFmtId="15" fontId="115" fillId="0" borderId="44" applyFont="0" applyFill="0" applyBorder="0" applyAlignment="0" applyProtection="0">
      <alignment horizontal="center"/>
      <protection hidden="1"/>
    </xf>
    <xf numFmtId="8" fontId="82" fillId="0" borderId="0" applyFont="0" applyFill="0" applyBorder="0" applyAlignment="0" applyProtection="0"/>
    <xf numFmtId="170" fontId="121" fillId="0" borderId="0"/>
    <xf numFmtId="0" fontId="33" fillId="0" borderId="0"/>
    <xf numFmtId="0" fontId="33" fillId="0" borderId="0"/>
    <xf numFmtId="0" fontId="33" fillId="0" borderId="0"/>
    <xf numFmtId="7" fontId="30" fillId="0" borderId="0"/>
    <xf numFmtId="6" fontId="82" fillId="0" borderId="0" applyFont="0" applyFill="0" applyBorder="0" applyAlignment="0" applyProtection="0"/>
    <xf numFmtId="266" fontId="116" fillId="0" borderId="45" applyNumberFormat="0" applyFont="0" applyFill="0" applyAlignment="0" applyProtection="0"/>
    <xf numFmtId="0" fontId="145" fillId="0" borderId="0" applyFill="0" applyBorder="0" applyAlignment="0" applyProtection="0"/>
    <xf numFmtId="0" fontId="79" fillId="0" borderId="43"/>
    <xf numFmtId="0" fontId="79" fillId="0" borderId="43"/>
    <xf numFmtId="267" fontId="146" fillId="45" borderId="0" applyNumberFormat="0" applyBorder="0" applyAlignment="0" applyProtection="0">
      <alignment horizontal="right"/>
    </xf>
    <xf numFmtId="167" fontId="147" fillId="0" borderId="0" applyFill="0" applyBorder="0" applyAlignment="0" applyProtection="0"/>
    <xf numFmtId="167" fontId="147" fillId="0" borderId="0" applyFill="0" applyBorder="0" applyAlignment="0" applyProtection="0"/>
    <xf numFmtId="167" fontId="33" fillId="0" borderId="0" applyFill="0" applyBorder="0" applyAlignment="0" applyProtection="0"/>
    <xf numFmtId="168" fontId="147" fillId="0" borderId="0" applyFill="0" applyBorder="0" applyAlignment="0" applyProtection="0"/>
    <xf numFmtId="168" fontId="147" fillId="0" borderId="0" applyFill="0" applyBorder="0" applyAlignment="0" applyProtection="0"/>
    <xf numFmtId="168" fontId="33" fillId="0" borderId="0" applyFill="0" applyBorder="0" applyAlignment="0" applyProtection="0"/>
    <xf numFmtId="43" fontId="147" fillId="0" borderId="0" applyFill="0" applyBorder="0" applyAlignment="0" applyProtection="0"/>
    <xf numFmtId="43" fontId="33" fillId="0" borderId="0" applyFill="0" applyBorder="0" applyAlignment="0" applyProtection="0"/>
    <xf numFmtId="43" fontId="147" fillId="0" borderId="0" applyFill="0" applyBorder="0" applyAlignment="0" applyProtection="0"/>
    <xf numFmtId="167" fontId="148" fillId="0" borderId="0" applyFill="0" applyBorder="0" applyAlignment="0" applyProtection="0"/>
    <xf numFmtId="167" fontId="148" fillId="0" borderId="0" applyFill="0" applyBorder="0" applyAlignment="0" applyProtection="0"/>
    <xf numFmtId="168" fontId="148" fillId="0" borderId="0" applyFill="0" applyBorder="0" applyAlignment="0" applyProtection="0"/>
    <xf numFmtId="168" fontId="148" fillId="0" borderId="0" applyFill="0" applyBorder="0" applyAlignment="0" applyProtection="0"/>
    <xf numFmtId="43" fontId="148" fillId="0" borderId="0" applyFill="0" applyBorder="0" applyAlignment="0" applyProtection="0"/>
    <xf numFmtId="43" fontId="148" fillId="0" borderId="0" applyFill="0" applyBorder="0" applyAlignment="0" applyProtection="0"/>
    <xf numFmtId="268" fontId="147" fillId="0" borderId="0" applyFill="0" applyBorder="0" applyAlignment="0" applyProtection="0"/>
    <xf numFmtId="268" fontId="147" fillId="0" borderId="0" applyFill="0" applyBorder="0" applyAlignment="0" applyProtection="0"/>
    <xf numFmtId="268" fontId="33" fillId="0" borderId="0" applyFill="0" applyBorder="0" applyAlignment="0" applyProtection="0"/>
    <xf numFmtId="268" fontId="148" fillId="0" borderId="0" applyFill="0" applyBorder="0" applyAlignment="0" applyProtection="0"/>
    <xf numFmtId="268" fontId="148" fillId="0" borderId="0" applyFill="0" applyBorder="0" applyAlignment="0" applyProtection="0"/>
    <xf numFmtId="268" fontId="39" fillId="0" borderId="0" applyFill="0" applyBorder="0" applyAlignment="0" applyProtection="0"/>
    <xf numFmtId="15" fontId="147" fillId="0" borderId="0" applyFont="0" applyFill="0" applyBorder="0" applyProtection="0"/>
    <xf numFmtId="15" fontId="147" fillId="0" borderId="0" applyFont="0" applyFill="0" applyBorder="0" applyProtection="0"/>
    <xf numFmtId="0" fontId="147" fillId="0" borderId="0" applyFill="0" applyBorder="0" applyProtection="0"/>
    <xf numFmtId="0" fontId="147" fillId="0" borderId="0" applyFill="0" applyBorder="0" applyProtection="0"/>
    <xf numFmtId="0" fontId="33" fillId="0" borderId="0" applyFill="0" applyBorder="0" applyProtection="0"/>
    <xf numFmtId="9" fontId="147" fillId="0" borderId="0" applyFill="0" applyBorder="0" applyAlignment="0" applyProtection="0"/>
    <xf numFmtId="9" fontId="147" fillId="0" borderId="0" applyFill="0" applyBorder="0" applyAlignment="0" applyProtection="0"/>
    <xf numFmtId="170" fontId="147" fillId="0" borderId="0" applyFill="0" applyBorder="0" applyAlignment="0" applyProtection="0"/>
    <xf numFmtId="170" fontId="147" fillId="0" borderId="0" applyFill="0" applyBorder="0" applyAlignment="0" applyProtection="0"/>
    <xf numFmtId="170" fontId="33" fillId="0" borderId="0" applyFill="0" applyBorder="0" applyAlignment="0" applyProtection="0"/>
    <xf numFmtId="10" fontId="147" fillId="0" borderId="0" applyFill="0" applyBorder="0" applyAlignment="0" applyProtection="0"/>
    <xf numFmtId="10" fontId="147" fillId="0" borderId="0" applyFill="0" applyBorder="0" applyAlignment="0" applyProtection="0"/>
    <xf numFmtId="0" fontId="147" fillId="0" borderId="0" applyNumberFormat="0" applyFill="0" applyBorder="0" applyProtection="0">
      <alignment horizontal="right"/>
    </xf>
    <xf numFmtId="0" fontId="147" fillId="0" borderId="0" applyNumberFormat="0" applyFill="0" applyBorder="0" applyProtection="0">
      <alignment horizontal="right"/>
    </xf>
    <xf numFmtId="0" fontId="33" fillId="0" borderId="0" applyNumberFormat="0" applyFill="0" applyBorder="0" applyProtection="0">
      <alignment horizontal="right"/>
    </xf>
    <xf numFmtId="0" fontId="149" fillId="57" borderId="0" applyNumberFormat="0" applyBorder="0" applyAlignment="0" applyProtection="0"/>
    <xf numFmtId="0" fontId="149" fillId="58" borderId="0" applyNumberFormat="0" applyBorder="0" applyAlignment="0" applyProtection="0"/>
    <xf numFmtId="0" fontId="149" fillId="59" borderId="0" applyNumberFormat="0" applyBorder="0" applyAlignment="0" applyProtection="0"/>
    <xf numFmtId="0" fontId="150" fillId="0" borderId="0">
      <protection locked="0"/>
    </xf>
    <xf numFmtId="0" fontId="150" fillId="0" borderId="0">
      <protection locked="0"/>
    </xf>
    <xf numFmtId="0" fontId="151" fillId="60" borderId="0"/>
    <xf numFmtId="0" fontId="152" fillId="0" borderId="0" applyNumberFormat="0" applyAlignment="0">
      <alignment horizontal="left"/>
    </xf>
    <xf numFmtId="0" fontId="83" fillId="0" borderId="0" applyFont="0" applyFill="0" applyBorder="0" applyProtection="0">
      <alignment horizontal="left"/>
      <protection locked="0"/>
    </xf>
    <xf numFmtId="0" fontId="82" fillId="61" borderId="34" applyNumberFormat="0" applyFont="0" applyAlignment="0">
      <protection locked="0"/>
    </xf>
    <xf numFmtId="269" fontId="56" fillId="0" borderId="0"/>
    <xf numFmtId="270" fontId="56" fillId="0" borderId="0"/>
    <xf numFmtId="271" fontId="56" fillId="0" borderId="0"/>
    <xf numFmtId="272" fontId="56" fillId="0" borderId="0"/>
    <xf numFmtId="269" fontId="56" fillId="62" borderId="0"/>
    <xf numFmtId="273" fontId="56" fillId="0" borderId="0"/>
    <xf numFmtId="274" fontId="75" fillId="0" borderId="0" applyFont="0" applyFill="0" applyBorder="0" applyProtection="0">
      <alignment horizontal="left"/>
      <protection locked="0"/>
    </xf>
    <xf numFmtId="275" fontId="56" fillId="0" borderId="0"/>
    <xf numFmtId="276" fontId="75" fillId="0" borderId="0" applyFont="0" applyFill="0" applyBorder="0" applyProtection="0">
      <alignment horizontal="left"/>
      <protection locked="0"/>
    </xf>
    <xf numFmtId="193" fontId="117" fillId="0" borderId="0"/>
    <xf numFmtId="277" fontId="96" fillId="0" borderId="0" applyFont="0" applyFill="0" applyBorder="0" applyAlignment="0" applyProtection="0">
      <alignment horizontal="center"/>
      <protection hidden="1"/>
    </xf>
    <xf numFmtId="0" fontId="70" fillId="0" borderId="0"/>
    <xf numFmtId="37" fontId="153" fillId="0" borderId="0"/>
    <xf numFmtId="49" fontId="33" fillId="0" borderId="0" applyFont="0" applyFill="0" applyBorder="0" applyProtection="0">
      <alignment horizontal="right"/>
    </xf>
    <xf numFmtId="49" fontId="33" fillId="0" borderId="0" applyFont="0" applyFill="0" applyBorder="0" applyProtection="0">
      <alignment horizontal="right"/>
    </xf>
    <xf numFmtId="49" fontId="33" fillId="0" borderId="0" applyFont="0" applyFill="0" applyBorder="0" applyProtection="0">
      <alignment horizontal="right"/>
    </xf>
    <xf numFmtId="49" fontId="33" fillId="0" borderId="0" applyFont="0" applyFill="0" applyBorder="0" applyProtection="0">
      <alignment horizontal="right"/>
    </xf>
    <xf numFmtId="49" fontId="33" fillId="0" borderId="23" applyFont="0" applyFill="0" applyBorder="0" applyAlignment="0"/>
    <xf numFmtId="49" fontId="33" fillId="0" borderId="23" applyFont="0" applyFill="0" applyBorder="0" applyAlignment="0"/>
    <xf numFmtId="49" fontId="33" fillId="0" borderId="23" applyFont="0" applyFill="0" applyBorder="0" applyAlignment="0"/>
    <xf numFmtId="49" fontId="33" fillId="0" borderId="23" applyFont="0" applyFill="0" applyBorder="0" applyAlignment="0"/>
    <xf numFmtId="49" fontId="33" fillId="0" borderId="23" applyFont="0" applyFill="0" applyBorder="0" applyAlignment="0"/>
    <xf numFmtId="49" fontId="33" fillId="0" borderId="23" applyFont="0" applyFill="0" applyBorder="0" applyAlignment="0"/>
    <xf numFmtId="49" fontId="33" fillId="0" borderId="23" applyFont="0" applyFill="0" applyBorder="0" applyAlignment="0"/>
    <xf numFmtId="49" fontId="33" fillId="0" borderId="23" applyFont="0" applyFill="0" applyBorder="0" applyAlignment="0"/>
    <xf numFmtId="49" fontId="33" fillId="0" borderId="23" applyFont="0" applyFill="0" applyBorder="0" applyAlignment="0"/>
    <xf numFmtId="278" fontId="33" fillId="0" borderId="0" applyNumberFormat="0" applyFont="0" applyFill="0" applyBorder="0" applyAlignment="0" applyProtection="0"/>
    <xf numFmtId="278" fontId="33" fillId="0" borderId="0" applyFont="0" applyFill="0" applyBorder="0" applyAlignment="0" applyProtection="0"/>
    <xf numFmtId="278" fontId="33" fillId="0" borderId="0" applyFont="0" applyFill="0" applyBorder="0" applyAlignment="0" applyProtection="0"/>
    <xf numFmtId="278" fontId="33" fillId="0" borderId="0" applyFont="0" applyFill="0" applyBorder="0" applyAlignment="0" applyProtection="0"/>
    <xf numFmtId="244" fontId="75" fillId="0" borderId="0" applyFon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0" fontId="154" fillId="0" borderId="0" applyNumberFormat="0" applyFill="0" applyBorder="0" applyAlignment="0" applyProtection="0"/>
    <xf numFmtId="279" fontId="30" fillId="63" borderId="6" applyNumberFormat="0" applyFont="0" applyBorder="0" applyAlignment="0" applyProtection="0">
      <alignment horizontal="right"/>
    </xf>
    <xf numFmtId="0" fontId="155" fillId="0" borderId="0" applyNumberFormat="0" applyFill="0" applyBorder="0"/>
    <xf numFmtId="280" fontId="156" fillId="0" borderId="0" applyFont="0" applyFill="0" applyBorder="0" applyAlignment="0" applyProtection="0"/>
    <xf numFmtId="4" fontId="157" fillId="0" borderId="0" applyFont="0" applyFill="0" applyBorder="0" applyAlignment="0" applyProtection="0"/>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10" fontId="33" fillId="0" borderId="0">
      <protection locked="0"/>
    </xf>
    <xf numFmtId="2" fontId="33" fillId="0" borderId="25" applyFill="0" applyBorder="0"/>
    <xf numFmtId="2" fontId="33" fillId="0" borderId="25" applyFill="0" applyBorder="0"/>
    <xf numFmtId="2" fontId="33" fillId="0" borderId="25" applyFill="0" applyBorder="0"/>
    <xf numFmtId="2" fontId="33" fillId="0" borderId="25" applyFill="0" applyBorder="0"/>
    <xf numFmtId="281" fontId="115" fillId="0" borderId="44" applyFont="0" applyFill="0" applyBorder="0" applyAlignment="0" applyProtection="0">
      <alignment horizontal="right"/>
      <protection hidden="1"/>
    </xf>
    <xf numFmtId="0" fontId="144" fillId="0" borderId="0">
      <protection locked="0"/>
    </xf>
    <xf numFmtId="179" fontId="75" fillId="0" borderId="0" applyFont="0" applyFill="0" applyBorder="0" applyAlignment="0" applyProtection="0">
      <alignment horizontal="right"/>
    </xf>
    <xf numFmtId="0" fontId="7" fillId="0" borderId="46">
      <alignment horizontal="left" vertical="top"/>
    </xf>
    <xf numFmtId="0" fontId="7" fillId="0" borderId="46">
      <alignment horizontal="right" vertical="top"/>
    </xf>
    <xf numFmtId="0" fontId="8" fillId="0" borderId="47">
      <alignment horizontal="left" vertical="top"/>
    </xf>
    <xf numFmtId="0" fontId="8" fillId="0" borderId="47">
      <alignment horizontal="right" vertical="top"/>
    </xf>
    <xf numFmtId="0" fontId="144" fillId="0" borderId="0">
      <protection locked="0"/>
    </xf>
    <xf numFmtId="2" fontId="33" fillId="0" borderId="0" applyFont="0" applyFill="0" applyBorder="0" applyAlignment="0" applyProtection="0"/>
    <xf numFmtId="282" fontId="33" fillId="43" borderId="0" applyFont="0" applyFill="0" applyBorder="0" applyAlignment="0"/>
    <xf numFmtId="2" fontId="33" fillId="0" borderId="0" applyFont="0" applyFill="0" applyBorder="0" applyAlignment="0" applyProtection="0"/>
    <xf numFmtId="0" fontId="59" fillId="0" borderId="0" applyNumberFormat="0" applyFill="0" applyBorder="0" applyAlignment="0" applyProtection="0">
      <alignment vertical="top"/>
      <protection locked="0"/>
    </xf>
    <xf numFmtId="0" fontId="158" fillId="0" borderId="0">
      <alignment horizontal="left"/>
    </xf>
    <xf numFmtId="0" fontId="159" fillId="0" borderId="0">
      <alignment horizontal="left"/>
    </xf>
    <xf numFmtId="0" fontId="160" fillId="0" borderId="0">
      <alignment horizontal="left"/>
    </xf>
    <xf numFmtId="0" fontId="160" fillId="0" borderId="0">
      <alignment horizontal="left"/>
    </xf>
    <xf numFmtId="0" fontId="160" fillId="0" borderId="0" applyFill="0" applyBorder="0" applyProtection="0">
      <alignment horizontal="left"/>
    </xf>
    <xf numFmtId="1" fontId="30" fillId="0" borderId="0" applyNumberFormat="0" applyBorder="0" applyAlignment="0" applyProtection="0"/>
    <xf numFmtId="0" fontId="161" fillId="0" borderId="48"/>
    <xf numFmtId="0" fontId="161" fillId="0" borderId="43"/>
    <xf numFmtId="0" fontId="161" fillId="64" borderId="43"/>
    <xf numFmtId="283" fontId="31" fillId="0" borderId="0" applyBorder="0" applyProtection="0"/>
    <xf numFmtId="37" fontId="162" fillId="43" borderId="49" applyNumberFormat="0" applyBorder="0">
      <alignment horizontal="center"/>
    </xf>
    <xf numFmtId="284" fontId="56" fillId="9" borderId="2">
      <alignment horizontal="right"/>
    </xf>
    <xf numFmtId="284" fontId="56" fillId="9" borderId="2">
      <alignment horizontal="right"/>
    </xf>
    <xf numFmtId="285" fontId="163" fillId="0" borderId="0">
      <alignment vertical="center"/>
    </xf>
    <xf numFmtId="0" fontId="82" fillId="0" borderId="0">
      <alignment horizontal="right"/>
    </xf>
    <xf numFmtId="2" fontId="33" fillId="43" borderId="22" applyFill="0" applyBorder="0" applyProtection="0">
      <alignment horizontal="center"/>
    </xf>
    <xf numFmtId="1" fontId="164" fillId="0" borderId="0" applyNumberFormat="0" applyFill="0" applyBorder="0" applyAlignment="0" applyProtection="0">
      <alignment horizontal="centerContinuous"/>
    </xf>
    <xf numFmtId="0" fontId="165" fillId="17" borderId="0" applyNumberFormat="0" applyBorder="0" applyAlignment="0" applyProtection="0"/>
    <xf numFmtId="0" fontId="165" fillId="17" borderId="0" applyNumberFormat="0" applyBorder="0" applyAlignment="0" applyProtection="0"/>
    <xf numFmtId="0" fontId="165" fillId="17" borderId="0" applyNumberFormat="0" applyBorder="0" applyAlignment="0" applyProtection="0"/>
    <xf numFmtId="0" fontId="165" fillId="17" borderId="0" applyNumberFormat="0" applyBorder="0" applyAlignment="0" applyProtection="0"/>
    <xf numFmtId="0" fontId="165" fillId="17" borderId="0" applyNumberFormat="0" applyBorder="0" applyAlignment="0" applyProtection="0"/>
    <xf numFmtId="0" fontId="165" fillId="17" borderId="0" applyNumberFormat="0" applyBorder="0" applyAlignment="0" applyProtection="0"/>
    <xf numFmtId="0" fontId="165" fillId="17" borderId="0" applyNumberFormat="0" applyBorder="0" applyAlignment="0" applyProtection="0"/>
    <xf numFmtId="286" fontId="5" fillId="23" borderId="50" applyNumberFormat="0" applyFont="0" applyBorder="0" applyAlignment="0">
      <protection locked="0"/>
    </xf>
    <xf numFmtId="286" fontId="33" fillId="23" borderId="50" applyNumberFormat="0" applyFont="0" applyBorder="0" applyAlignment="0">
      <protection locked="0"/>
    </xf>
    <xf numFmtId="286" fontId="33" fillId="23" borderId="50" applyNumberFormat="0" applyFont="0" applyBorder="0" applyAlignment="0">
      <protection locked="0"/>
    </xf>
    <xf numFmtId="286" fontId="33" fillId="23" borderId="50" applyNumberFormat="0" applyFont="0" applyBorder="0" applyAlignment="0">
      <protection locked="0"/>
    </xf>
    <xf numFmtId="38" fontId="30" fillId="9" borderId="0" applyNumberFormat="0" applyBorder="0" applyAlignment="0" applyProtection="0"/>
    <xf numFmtId="38" fontId="30" fillId="9" borderId="0" applyNumberFormat="0" applyBorder="0" applyAlignment="0" applyProtection="0"/>
    <xf numFmtId="38" fontId="30" fillId="9" borderId="0" applyNumberFormat="0" applyBorder="0" applyAlignment="0" applyProtection="0"/>
    <xf numFmtId="38" fontId="30" fillId="9" borderId="0" applyNumberFormat="0" applyBorder="0" applyAlignment="0" applyProtection="0"/>
    <xf numFmtId="38" fontId="30" fillId="9" borderId="0" applyNumberFormat="0" applyBorder="0" applyAlignment="0" applyProtection="0"/>
    <xf numFmtId="38" fontId="30" fillId="9" borderId="0" applyNumberFormat="0" applyBorder="0" applyAlignment="0" applyProtection="0"/>
    <xf numFmtId="38" fontId="30" fillId="9" borderId="0" applyNumberFormat="0" applyBorder="0" applyAlignment="0" applyProtection="0"/>
    <xf numFmtId="38" fontId="30" fillId="9" borderId="0" applyNumberFormat="0" applyBorder="0" applyAlignment="0" applyProtection="0"/>
    <xf numFmtId="38" fontId="30" fillId="9" borderId="0" applyNumberFormat="0" applyBorder="0" applyAlignment="0" applyProtection="0"/>
    <xf numFmtId="0" fontId="166" fillId="0" borderId="0" applyFill="0" applyBorder="0" applyAlignment="0" applyProtection="0"/>
    <xf numFmtId="287" fontId="167" fillId="0" borderId="0" applyFill="0" applyBorder="0" applyAlignment="0" applyProtection="0"/>
    <xf numFmtId="188" fontId="168" fillId="0" borderId="0" applyAlignment="0">
      <alignment horizontal="left"/>
      <protection locked="0"/>
    </xf>
    <xf numFmtId="0" fontId="169" fillId="0" borderId="0" applyNumberFormat="0">
      <alignment horizontal="right"/>
    </xf>
    <xf numFmtId="0" fontId="170" fillId="0" borderId="0" applyNumberFormat="0">
      <alignment horizontal="right"/>
    </xf>
    <xf numFmtId="0" fontId="170" fillId="0" borderId="0" applyNumberFormat="0">
      <alignment horizontal="left"/>
    </xf>
    <xf numFmtId="0" fontId="169" fillId="0" borderId="0" applyNumberFormat="0">
      <alignment horizontal="left"/>
    </xf>
    <xf numFmtId="0" fontId="171" fillId="0" borderId="0" applyNumberFormat="0">
      <alignment horizontal="left" vertical="top"/>
    </xf>
    <xf numFmtId="49" fontId="77" fillId="0" borderId="0">
      <alignment horizontal="right"/>
    </xf>
    <xf numFmtId="49" fontId="77" fillId="0" borderId="0">
      <alignment horizontal="right"/>
    </xf>
    <xf numFmtId="49" fontId="172" fillId="0" borderId="0">
      <alignment horizontal="right"/>
    </xf>
    <xf numFmtId="285" fontId="173" fillId="0" borderId="0">
      <alignment vertical="center"/>
    </xf>
    <xf numFmtId="288" fontId="33" fillId="0" borderId="0">
      <protection locked="0"/>
    </xf>
    <xf numFmtId="288" fontId="33" fillId="0" borderId="0">
      <protection locked="0"/>
    </xf>
    <xf numFmtId="289" fontId="116" fillId="0" borderId="0" applyFont="0" applyFill="0" applyBorder="0" applyAlignment="0" applyProtection="0">
      <alignment horizontal="right"/>
    </xf>
    <xf numFmtId="179" fontId="97" fillId="0" borderId="0" applyNumberFormat="0" applyFill="0" applyBorder="0" applyAlignment="0" applyProtection="0"/>
    <xf numFmtId="37" fontId="137" fillId="0" borderId="0"/>
    <xf numFmtId="0" fontId="174" fillId="0" borderId="0">
      <alignment horizontal="left"/>
    </xf>
    <xf numFmtId="0" fontId="174" fillId="0" borderId="0">
      <alignment horizontal="left"/>
    </xf>
    <xf numFmtId="0" fontId="175" fillId="0" borderId="0" applyProtection="0">
      <alignment horizontal="right"/>
    </xf>
    <xf numFmtId="0" fontId="176" fillId="0" borderId="51" applyNumberFormat="0" applyAlignment="0" applyProtection="0">
      <alignment horizontal="left" vertical="center"/>
    </xf>
    <xf numFmtId="0" fontId="176" fillId="0" borderId="19">
      <alignment horizontal="left" vertical="center"/>
    </xf>
    <xf numFmtId="37" fontId="177" fillId="0" borderId="0"/>
    <xf numFmtId="0" fontId="178" fillId="0" borderId="0">
      <alignment horizontal="left" vertical="center"/>
    </xf>
    <xf numFmtId="0" fontId="179" fillId="0" borderId="52" applyNumberFormat="0" applyFill="0" applyAlignment="0" applyProtection="0"/>
    <xf numFmtId="0" fontId="179" fillId="0" borderId="52" applyNumberFormat="0" applyFill="0" applyAlignment="0" applyProtection="0"/>
    <xf numFmtId="0" fontId="179" fillId="0" borderId="52" applyNumberFormat="0" applyFill="0" applyAlignment="0" applyProtection="0"/>
    <xf numFmtId="0" fontId="179" fillId="0" borderId="52" applyNumberFormat="0" applyFill="0" applyAlignment="0" applyProtection="0"/>
    <xf numFmtId="0" fontId="179" fillId="0" borderId="52" applyNumberFormat="0" applyFill="0" applyAlignment="0" applyProtection="0"/>
    <xf numFmtId="0" fontId="179" fillId="0" borderId="52" applyNumberFormat="0" applyFill="0" applyAlignment="0" applyProtection="0"/>
    <xf numFmtId="0" fontId="179" fillId="0" borderId="52" applyNumberFormat="0" applyFill="0" applyAlignment="0" applyProtection="0"/>
    <xf numFmtId="0" fontId="180" fillId="0" borderId="0">
      <alignment horizontal="left"/>
    </xf>
    <xf numFmtId="0" fontId="181" fillId="0" borderId="1">
      <alignment horizontal="left" vertical="top"/>
    </xf>
    <xf numFmtId="0" fontId="182" fillId="0" borderId="53" applyNumberFormat="0" applyFill="0" applyAlignment="0" applyProtection="0"/>
    <xf numFmtId="0" fontId="182" fillId="0" borderId="53" applyNumberFormat="0" applyFill="0" applyAlignment="0" applyProtection="0"/>
    <xf numFmtId="0" fontId="182" fillId="0" borderId="53" applyNumberFormat="0" applyFill="0" applyAlignment="0" applyProtection="0"/>
    <xf numFmtId="0" fontId="182" fillId="0" borderId="53" applyNumberFormat="0" applyFill="0" applyAlignment="0" applyProtection="0"/>
    <xf numFmtId="0" fontId="182" fillId="0" borderId="53" applyNumberFormat="0" applyFill="0" applyAlignment="0" applyProtection="0"/>
    <xf numFmtId="0" fontId="182" fillId="0" borderId="53" applyNumberFormat="0" applyFill="0" applyAlignment="0" applyProtection="0"/>
    <xf numFmtId="0" fontId="182" fillId="0" borderId="53" applyNumberFormat="0" applyFill="0" applyAlignment="0" applyProtection="0"/>
    <xf numFmtId="0" fontId="183" fillId="0" borderId="0">
      <alignment horizontal="left"/>
    </xf>
    <xf numFmtId="0" fontId="183" fillId="0" borderId="0">
      <alignment horizontal="left"/>
    </xf>
    <xf numFmtId="0" fontId="184" fillId="0" borderId="1">
      <alignment horizontal="left" vertical="top"/>
    </xf>
    <xf numFmtId="0" fontId="185" fillId="0" borderId="54" applyNumberFormat="0" applyFill="0" applyAlignment="0" applyProtection="0"/>
    <xf numFmtId="0" fontId="185" fillId="0" borderId="54" applyNumberFormat="0" applyFill="0" applyAlignment="0" applyProtection="0"/>
    <xf numFmtId="0" fontId="185" fillId="0" borderId="54" applyNumberFormat="0" applyFill="0" applyAlignment="0" applyProtection="0"/>
    <xf numFmtId="0" fontId="186" fillId="0" borderId="0" applyNumberFormat="0" applyFill="0" applyBorder="0" applyAlignment="0" applyProtection="0"/>
    <xf numFmtId="0" fontId="185" fillId="0" borderId="54" applyNumberFormat="0" applyFill="0" applyAlignment="0" applyProtection="0"/>
    <xf numFmtId="0" fontId="185" fillId="0" borderId="54" applyNumberFormat="0" applyFill="0" applyAlignment="0" applyProtection="0"/>
    <xf numFmtId="0" fontId="185" fillId="0" borderId="54" applyNumberFormat="0" applyFill="0" applyAlignment="0" applyProtection="0"/>
    <xf numFmtId="0" fontId="186" fillId="0" borderId="0" applyNumberFormat="0" applyFill="0" applyBorder="0" applyAlignment="0" applyProtection="0"/>
    <xf numFmtId="0" fontId="185" fillId="0" borderId="54" applyNumberFormat="0" applyFill="0" applyAlignment="0" applyProtection="0"/>
    <xf numFmtId="0" fontId="185" fillId="0" borderId="54" applyNumberFormat="0" applyFill="0" applyAlignment="0" applyProtection="0"/>
    <xf numFmtId="0" fontId="185" fillId="0" borderId="54" applyNumberFormat="0" applyFill="0" applyAlignment="0" applyProtection="0"/>
    <xf numFmtId="0" fontId="185" fillId="0" borderId="54" applyNumberFormat="0" applyFill="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87" fillId="0" borderId="0">
      <alignment horizontal="left"/>
    </xf>
    <xf numFmtId="0" fontId="185" fillId="0" borderId="0" applyNumberFormat="0" applyFill="0" applyBorder="0" applyAlignment="0" applyProtection="0"/>
    <xf numFmtId="0" fontId="185" fillId="0" borderId="0" applyNumberFormat="0" applyFill="0" applyBorder="0" applyAlignment="0" applyProtection="0"/>
    <xf numFmtId="0" fontId="185" fillId="0" borderId="0" applyNumberFormat="0" applyFill="0" applyBorder="0" applyAlignment="0" applyProtection="0"/>
    <xf numFmtId="0" fontId="185" fillId="0" borderId="0" applyNumberFormat="0" applyFill="0" applyBorder="0" applyAlignment="0" applyProtection="0"/>
    <xf numFmtId="0" fontId="185" fillId="0" borderId="0" applyNumberFormat="0" applyFill="0" applyBorder="0" applyAlignment="0" applyProtection="0"/>
    <xf numFmtId="0" fontId="185" fillId="0" borderId="0" applyNumberFormat="0" applyFill="0" applyBorder="0" applyAlignment="0" applyProtection="0"/>
    <xf numFmtId="0" fontId="185" fillId="0" borderId="0" applyNumberFormat="0" applyFill="0" applyBorder="0" applyAlignment="0" applyProtection="0"/>
    <xf numFmtId="0" fontId="188" fillId="0" borderId="0"/>
    <xf numFmtId="0" fontId="189" fillId="0" borderId="0"/>
    <xf numFmtId="0" fontId="190" fillId="0" borderId="0">
      <alignment horizontal="left" vertical="center"/>
    </xf>
    <xf numFmtId="0" fontId="191" fillId="65" borderId="0">
      <protection locked="0"/>
    </xf>
    <xf numFmtId="242" fontId="192" fillId="0" borderId="55" applyNumberFormat="0" applyProtection="0">
      <alignment horizontal="right"/>
    </xf>
    <xf numFmtId="290" fontId="192" fillId="0" borderId="55" applyNumberFormat="0" applyProtection="0">
      <alignment horizontal="right"/>
    </xf>
    <xf numFmtId="193" fontId="192" fillId="0" borderId="55" applyNumberFormat="0" applyProtection="0">
      <alignment horizontal="right"/>
    </xf>
    <xf numFmtId="193" fontId="192" fillId="0" borderId="55" applyNumberFormat="0" applyProtection="0">
      <alignment horizontal="right"/>
    </xf>
    <xf numFmtId="193" fontId="192" fillId="0" borderId="55" applyNumberFormat="0" applyProtection="0">
      <alignment horizontal="right"/>
    </xf>
    <xf numFmtId="291" fontId="192" fillId="0" borderId="55" applyNumberFormat="0" applyProtection="0">
      <alignment horizontal="right"/>
    </xf>
    <xf numFmtId="0" fontId="150" fillId="0" borderId="0">
      <protection locked="0"/>
    </xf>
    <xf numFmtId="0" fontId="150" fillId="0" borderId="0">
      <protection locked="0"/>
    </xf>
    <xf numFmtId="0" fontId="193" fillId="0" borderId="0">
      <alignment horizontal="left"/>
    </xf>
    <xf numFmtId="0" fontId="33" fillId="0" borderId="0" applyNumberFormat="0" applyFill="0" applyBorder="0" applyProtection="0">
      <alignment wrapText="1"/>
    </xf>
    <xf numFmtId="0" fontId="33" fillId="0" borderId="0" applyNumberFormat="0" applyFill="0" applyBorder="0" applyProtection="0">
      <alignment horizontal="justify" vertical="top" wrapText="1"/>
    </xf>
    <xf numFmtId="261" fontId="194" fillId="0" borderId="51">
      <alignment horizontal="left" vertical="center"/>
    </xf>
    <xf numFmtId="261" fontId="194" fillId="0" borderId="56">
      <alignment horizontal="center" vertical="center"/>
    </xf>
    <xf numFmtId="175" fontId="195" fillId="0" borderId="0" applyNumberFormat="0" applyFont="0" applyFill="0" applyBorder="0" applyAlignment="0">
      <alignment horizontal="left"/>
    </xf>
    <xf numFmtId="292" fontId="90" fillId="0" borderId="20"/>
    <xf numFmtId="0" fontId="196" fillId="0" borderId="0" applyNumberFormat="0" applyFill="0" applyBorder="0" applyAlignment="0" applyProtection="0">
      <alignment horizontal="center" vertical="top" wrapText="1"/>
    </xf>
    <xf numFmtId="0" fontId="197" fillId="0" borderId="0" applyNumberFormat="0" applyFill="0" applyBorder="0" applyAlignment="0" applyProtection="0"/>
    <xf numFmtId="0" fontId="198" fillId="0" borderId="0" applyNumberFormat="0" applyFill="0" applyBorder="0" applyAlignment="0" applyProtection="0">
      <alignment vertical="top"/>
      <protection locked="0"/>
    </xf>
    <xf numFmtId="193" fontId="199" fillId="47" borderId="0" applyNumberFormat="0" applyFill="0" applyBorder="0" applyAlignment="0"/>
    <xf numFmtId="0" fontId="200" fillId="0" borderId="0" applyNumberFormat="0" applyFill="0" applyBorder="0" applyAlignment="0" applyProtection="0">
      <alignment vertical="top"/>
      <protection locked="0"/>
    </xf>
    <xf numFmtId="0" fontId="201"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38" fontId="33" fillId="0" borderId="0"/>
    <xf numFmtId="170" fontId="33" fillId="0" borderId="0"/>
    <xf numFmtId="237" fontId="82" fillId="0" borderId="0" applyFont="0" applyFill="0" applyBorder="0" applyAlignment="0" applyProtection="0"/>
    <xf numFmtId="38" fontId="82" fillId="0" borderId="0" applyFill="0" applyBorder="0" applyAlignment="0" applyProtection="0">
      <alignment horizontal="right"/>
      <protection locked="0"/>
    </xf>
    <xf numFmtId="0" fontId="203" fillId="0" borderId="0" applyFont="0" applyBorder="0" applyAlignment="0"/>
    <xf numFmtId="0" fontId="75" fillId="0" borderId="0" applyFill="0" applyBorder="0"/>
    <xf numFmtId="0" fontId="203" fillId="0" borderId="0"/>
    <xf numFmtId="257" fontId="77" fillId="0" borderId="0" applyBorder="0" applyAlignment="0"/>
    <xf numFmtId="10" fontId="30" fillId="43" borderId="20" applyNumberFormat="0" applyBorder="0" applyAlignment="0" applyProtection="0"/>
    <xf numFmtId="10" fontId="30" fillId="43" borderId="20" applyNumberFormat="0" applyBorder="0" applyAlignment="0" applyProtection="0"/>
    <xf numFmtId="10" fontId="30" fillId="43" borderId="20" applyNumberFormat="0" applyBorder="0" applyAlignment="0" applyProtection="0"/>
    <xf numFmtId="10" fontId="30" fillId="43" borderId="20" applyNumberFormat="0" applyBorder="0" applyAlignment="0" applyProtection="0"/>
    <xf numFmtId="10" fontId="30" fillId="43" borderId="20" applyNumberFormat="0" applyBorder="0" applyAlignment="0" applyProtection="0"/>
    <xf numFmtId="10" fontId="30" fillId="43" borderId="20" applyNumberFormat="0" applyBorder="0" applyAlignment="0" applyProtection="0"/>
    <xf numFmtId="10" fontId="30" fillId="43" borderId="20" applyNumberFormat="0" applyBorder="0" applyAlignment="0" applyProtection="0"/>
    <xf numFmtId="10" fontId="30" fillId="43" borderId="20" applyNumberFormat="0" applyBorder="0" applyAlignment="0" applyProtection="0"/>
    <xf numFmtId="10" fontId="30" fillId="43" borderId="20" applyNumberFormat="0" applyBorder="0" applyAlignment="0" applyProtection="0"/>
    <xf numFmtId="37" fontId="204" fillId="0" borderId="0" applyFill="0" applyBorder="0" applyAlignment="0" applyProtection="0"/>
    <xf numFmtId="37" fontId="204" fillId="0" borderId="0" applyFill="0" applyBorder="0" applyAlignment="0" applyProtection="0"/>
    <xf numFmtId="37" fontId="204" fillId="0" borderId="0" applyFill="0" applyBorder="0" applyAlignment="0" applyProtection="0"/>
    <xf numFmtId="37" fontId="204" fillId="0" borderId="0" applyFill="0" applyBorder="0" applyAlignment="0" applyProtection="0"/>
    <xf numFmtId="0" fontId="205" fillId="20" borderId="35" applyNumberFormat="0" applyAlignment="0" applyProtection="0"/>
    <xf numFmtId="0" fontId="205" fillId="20" borderId="35" applyNumberFormat="0" applyAlignment="0" applyProtection="0"/>
    <xf numFmtId="0" fontId="205" fillId="20" borderId="35" applyNumberFormat="0" applyAlignment="0" applyProtection="0"/>
    <xf numFmtId="0" fontId="62" fillId="66" borderId="0" applyNumberFormat="0" applyFont="0" applyBorder="0" applyAlignment="0" applyProtection="0"/>
    <xf numFmtId="8" fontId="30" fillId="43" borderId="0" applyFont="0" applyBorder="0" applyAlignment="0" applyProtection="0">
      <protection locked="0"/>
    </xf>
    <xf numFmtId="260" fontId="30" fillId="43" borderId="0" applyFont="0" applyBorder="0" applyAlignment="0" applyProtection="0">
      <protection locked="0"/>
    </xf>
    <xf numFmtId="282" fontId="30" fillId="43" borderId="0" applyFont="0" applyBorder="0" applyAlignment="0">
      <protection locked="0"/>
    </xf>
    <xf numFmtId="193" fontId="30" fillId="43" borderId="0">
      <protection locked="0"/>
    </xf>
    <xf numFmtId="293" fontId="30" fillId="43" borderId="0" applyFont="0" applyBorder="0" applyAlignment="0">
      <protection locked="0"/>
    </xf>
    <xf numFmtId="10" fontId="30" fillId="43" borderId="0">
      <protection locked="0"/>
    </xf>
    <xf numFmtId="193" fontId="206" fillId="43" borderId="0" applyNumberFormat="0" applyBorder="0" applyAlignment="0">
      <protection locked="0"/>
    </xf>
    <xf numFmtId="179" fontId="207" fillId="0" borderId="0" applyBorder="0"/>
    <xf numFmtId="0" fontId="33" fillId="0" borderId="0" applyNumberFormat="0" applyFill="0" applyBorder="0" applyAlignment="0">
      <protection locked="0"/>
    </xf>
    <xf numFmtId="43" fontId="75" fillId="45" borderId="0" applyBorder="0">
      <protection locked="0"/>
    </xf>
    <xf numFmtId="294" fontId="30" fillId="45" borderId="0" applyBorder="0">
      <protection locked="0"/>
    </xf>
    <xf numFmtId="295" fontId="97" fillId="45" borderId="0">
      <alignment horizontal="left"/>
      <protection locked="0"/>
    </xf>
    <xf numFmtId="0" fontId="97" fillId="45" borderId="0" applyBorder="0">
      <alignment horizontal="left"/>
      <protection locked="0"/>
    </xf>
    <xf numFmtId="296" fontId="208" fillId="0" borderId="0"/>
    <xf numFmtId="10" fontId="97" fillId="45" borderId="0">
      <alignment horizontal="left"/>
      <protection locked="0"/>
    </xf>
    <xf numFmtId="297" fontId="209" fillId="0" borderId="0"/>
    <xf numFmtId="1" fontId="33" fillId="0" borderId="0" applyFont="0" applyFill="0" applyBorder="0" applyAlignment="0"/>
    <xf numFmtId="1" fontId="33" fillId="0" borderId="0" applyFont="0" applyFill="0" applyBorder="0" applyAlignment="0"/>
    <xf numFmtId="1" fontId="33" fillId="0" borderId="0" applyFont="0" applyFill="0" applyBorder="0" applyAlignment="0"/>
    <xf numFmtId="1" fontId="33" fillId="0" borderId="0" applyFont="0" applyFill="0" applyBorder="0" applyAlignment="0"/>
    <xf numFmtId="170" fontId="33" fillId="0" borderId="0" applyFill="0"/>
    <xf numFmtId="170" fontId="33" fillId="0" borderId="0" applyFill="0"/>
    <xf numFmtId="170" fontId="33" fillId="0" borderId="0" applyFill="0"/>
    <xf numFmtId="226" fontId="62" fillId="0" borderId="0" applyFill="0" applyBorder="0">
      <alignment horizontal="right"/>
      <protection locked="0"/>
    </xf>
    <xf numFmtId="298" fontId="136" fillId="0" borderId="0" applyFill="0" applyBorder="0">
      <alignment horizontal="right"/>
      <protection locked="0"/>
    </xf>
    <xf numFmtId="0" fontId="210" fillId="0" borderId="0" applyFill="0" applyBorder="0"/>
    <xf numFmtId="0" fontId="211" fillId="0" borderId="0" applyFill="0" applyBorder="0"/>
    <xf numFmtId="0" fontId="5" fillId="0" borderId="0" applyFill="0" applyBorder="0"/>
    <xf numFmtId="299" fontId="33" fillId="67" borderId="0" applyBorder="0"/>
    <xf numFmtId="0" fontId="211" fillId="0" borderId="0" applyFill="0" applyBorder="0">
      <alignment horizontal="right"/>
    </xf>
    <xf numFmtId="0" fontId="55" fillId="68" borderId="43">
      <alignment horizontal="left" vertical="center" wrapText="1"/>
    </xf>
    <xf numFmtId="193" fontId="212" fillId="0" borderId="0"/>
    <xf numFmtId="37" fontId="213" fillId="0" borderId="0" applyBorder="0"/>
    <xf numFmtId="0" fontId="83" fillId="0" borderId="0" applyFont="0" applyFill="0" applyBorder="0" applyAlignment="0" applyProtection="0">
      <protection hidden="1"/>
    </xf>
    <xf numFmtId="0" fontId="214" fillId="68" borderId="43"/>
    <xf numFmtId="179" fontId="75" fillId="0" borderId="0" applyNumberFormat="0" applyAlignment="0">
      <alignment horizontal="left"/>
    </xf>
    <xf numFmtId="37" fontId="33" fillId="0" borderId="0" applyNumberFormat="0" applyFill="0" applyBorder="0" applyAlignment="0" applyProtection="0"/>
    <xf numFmtId="10" fontId="215" fillId="69" borderId="57" applyNumberFormat="0"/>
    <xf numFmtId="0" fontId="216" fillId="0" borderId="58" applyNumberFormat="0" applyFill="0" applyAlignment="0" applyProtection="0"/>
    <xf numFmtId="0" fontId="216" fillId="0" borderId="58" applyNumberFormat="0" applyFill="0" applyAlignment="0" applyProtection="0"/>
    <xf numFmtId="0" fontId="216" fillId="0" borderId="58" applyNumberFormat="0" applyFill="0" applyAlignment="0" applyProtection="0"/>
    <xf numFmtId="0" fontId="216" fillId="0" borderId="58" applyNumberFormat="0" applyFill="0" applyAlignment="0" applyProtection="0"/>
    <xf numFmtId="0" fontId="216" fillId="0" borderId="58" applyNumberFormat="0" applyFill="0" applyAlignment="0" applyProtection="0"/>
    <xf numFmtId="0" fontId="216" fillId="0" borderId="58" applyNumberFormat="0" applyFill="0" applyAlignment="0" applyProtection="0"/>
    <xf numFmtId="0" fontId="216" fillId="0" borderId="58" applyNumberFormat="0" applyFill="0" applyAlignment="0" applyProtection="0"/>
    <xf numFmtId="38" fontId="217" fillId="0" borderId="0" applyNumberFormat="0" applyFill="0" applyBorder="0" applyAlignment="0" applyProtection="0"/>
    <xf numFmtId="170" fontId="82" fillId="0" borderId="0" applyFont="0" applyFill="0" applyBorder="0" applyAlignment="0" applyProtection="0">
      <alignment horizontal="right"/>
    </xf>
    <xf numFmtId="300" fontId="56" fillId="0" borderId="0">
      <alignment horizontal="right"/>
    </xf>
    <xf numFmtId="301" fontId="56" fillId="0" borderId="0">
      <alignment horizontal="right"/>
    </xf>
    <xf numFmtId="14" fontId="31" fillId="0" borderId="3" applyFont="0" applyFill="0" applyBorder="0" applyAlignment="0" applyProtection="0"/>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0" fontId="56" fillId="0" borderId="0">
      <alignment horizontal="right"/>
    </xf>
    <xf numFmtId="1" fontId="218" fillId="0" borderId="20" applyNumberFormat="0" applyFill="0" applyBorder="0" applyAlignment="0" applyProtection="0">
      <alignment horizontal="justify"/>
      <protection locked="0"/>
    </xf>
    <xf numFmtId="0" fontId="30" fillId="0" borderId="0"/>
    <xf numFmtId="0" fontId="219" fillId="0" borderId="0"/>
    <xf numFmtId="0" fontId="220" fillId="0" borderId="0"/>
    <xf numFmtId="188" fontId="221" fillId="0" borderId="0" applyFill="0" applyBorder="0" applyAlignment="0" applyProtection="0">
      <alignment horizontal="right"/>
    </xf>
    <xf numFmtId="188" fontId="221" fillId="0" borderId="0" applyFill="0" applyBorder="0" applyAlignment="0" applyProtection="0"/>
    <xf numFmtId="0" fontId="33" fillId="0" borderId="12" applyNumberFormat="0" applyFont="0" applyAlignment="0"/>
    <xf numFmtId="0" fontId="33" fillId="0" borderId="12" applyNumberFormat="0" applyFont="0" applyAlignment="0"/>
    <xf numFmtId="0" fontId="33" fillId="0" borderId="12" applyNumberFormat="0" applyFont="0" applyAlignment="0"/>
    <xf numFmtId="0" fontId="33" fillId="0" borderId="12" applyNumberFormat="0" applyFont="0" applyAlignment="0"/>
    <xf numFmtId="0" fontId="33" fillId="0" borderId="51" applyNumberFormat="0" applyFont="0" applyFill="0" applyAlignment="0"/>
    <xf numFmtId="0" fontId="33" fillId="0" borderId="51" applyNumberFormat="0" applyFont="0" applyFill="0" applyAlignment="0"/>
    <xf numFmtId="0" fontId="33" fillId="0" borderId="51" applyNumberFormat="0" applyFont="0" applyFill="0" applyAlignment="0"/>
    <xf numFmtId="0" fontId="33" fillId="0" borderId="51" applyNumberFormat="0" applyFont="0" applyFill="0" applyAlignment="0"/>
    <xf numFmtId="302" fontId="194" fillId="0" borderId="19">
      <alignment horizontal="right" vertical="center"/>
    </xf>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303" fontId="56" fillId="0" borderId="0">
      <alignment horizontal="right"/>
    </xf>
    <xf numFmtId="304" fontId="222" fillId="0" borderId="0" applyFont="0" applyFill="0" applyBorder="0" applyAlignment="0" applyProtection="0">
      <alignment horizontal="center"/>
      <protection hidden="1"/>
    </xf>
    <xf numFmtId="305" fontId="222" fillId="0" borderId="0" applyFont="0" applyFill="0" applyBorder="0" applyAlignment="0" applyProtection="0">
      <alignment horizontal="center"/>
      <protection hidden="1"/>
    </xf>
    <xf numFmtId="0" fontId="223" fillId="0" borderId="12"/>
    <xf numFmtId="0" fontId="33" fillId="0" borderId="0" applyFont="0" applyFill="0" applyBorder="0" applyAlignment="0" applyProtection="0"/>
    <xf numFmtId="0" fontId="33" fillId="0" borderId="0" applyFont="0" applyFill="0" applyBorder="0" applyAlignment="0" applyProtection="0"/>
    <xf numFmtId="306" fontId="33" fillId="0" borderId="0" applyFont="0" applyFill="0" applyBorder="0" applyAlignment="0" applyProtection="0"/>
    <xf numFmtId="0" fontId="33" fillId="0" borderId="0" applyFont="0" applyFill="0" applyBorder="0" applyAlignment="0" applyProtection="0"/>
    <xf numFmtId="0" fontId="144" fillId="0" borderId="0">
      <protection locked="0"/>
    </xf>
    <xf numFmtId="236" fontId="78" fillId="0" borderId="0">
      <alignment horizontal="right"/>
    </xf>
    <xf numFmtId="307" fontId="82" fillId="0" borderId="0"/>
    <xf numFmtId="308" fontId="82" fillId="0" borderId="0" applyFont="0" applyFill="0" applyBorder="0" applyAlignment="0" applyProtection="0"/>
    <xf numFmtId="0" fontId="115" fillId="0" borderId="59" applyFont="0" applyFill="0" applyBorder="0" applyAlignment="0" applyProtection="0">
      <alignment horizontal="center"/>
      <protection hidden="1"/>
    </xf>
    <xf numFmtId="309" fontId="30" fillId="9" borderId="0" applyFont="0" applyBorder="0" applyAlignment="0" applyProtection="0">
      <alignment horizontal="right"/>
      <protection hidden="1"/>
    </xf>
    <xf numFmtId="0" fontId="224" fillId="13" borderId="0" applyNumberFormat="0" applyBorder="0" applyAlignment="0" applyProtection="0"/>
    <xf numFmtId="0" fontId="224" fillId="13" borderId="0" applyNumberFormat="0" applyBorder="0" applyAlignment="0" applyProtection="0"/>
    <xf numFmtId="0" fontId="224" fillId="13" borderId="0" applyNumberFormat="0" applyBorder="0" applyAlignment="0" applyProtection="0"/>
    <xf numFmtId="0" fontId="224" fillId="13" borderId="0" applyNumberFormat="0" applyBorder="0" applyAlignment="0" applyProtection="0"/>
    <xf numFmtId="0" fontId="224" fillId="13" borderId="0" applyNumberFormat="0" applyBorder="0" applyAlignment="0" applyProtection="0"/>
    <xf numFmtId="0" fontId="224" fillId="13" borderId="0" applyNumberFormat="0" applyBorder="0" applyAlignment="0" applyProtection="0"/>
    <xf numFmtId="0" fontId="224" fillId="13" borderId="0" applyNumberFormat="0" applyBorder="0" applyAlignment="0" applyProtection="0"/>
    <xf numFmtId="0" fontId="225" fillId="0" borderId="0"/>
    <xf numFmtId="0" fontId="75" fillId="0" borderId="0"/>
    <xf numFmtId="37" fontId="226" fillId="0" borderId="0"/>
    <xf numFmtId="310" fontId="33" fillId="0" borderId="0" applyFont="0" applyFill="0" applyBorder="0" applyAlignment="0" applyProtection="0"/>
    <xf numFmtId="37" fontId="66" fillId="0" borderId="0" applyFont="0" applyFill="0" applyBorder="0" applyProtection="0">
      <alignment horizontal="right"/>
    </xf>
    <xf numFmtId="37" fontId="204" fillId="0" borderId="0"/>
    <xf numFmtId="0" fontId="33" fillId="0" borderId="0"/>
    <xf numFmtId="311" fontId="61" fillId="0" borderId="0"/>
    <xf numFmtId="312" fontId="30" fillId="0" borderId="0" applyFont="0" applyFill="0" applyBorder="0" applyAlignment="0" applyProtection="0">
      <alignment horizontal="right"/>
    </xf>
    <xf numFmtId="0" fontId="227" fillId="0" borderId="0"/>
    <xf numFmtId="313" fontId="33" fillId="0" borderId="0" applyFont="0" applyFill="0" applyBorder="0" applyAlignment="0" applyProtection="0"/>
    <xf numFmtId="313" fontId="33" fillId="0" borderId="0" applyFont="0" applyFill="0" applyBorder="0" applyAlignment="0" applyProtection="0"/>
    <xf numFmtId="1" fontId="228" fillId="0" borderId="0" applyFill="0" applyBorder="0"/>
    <xf numFmtId="37" fontId="97" fillId="45" borderId="0" applyFont="0" applyFill="0" applyBorder="0" applyAlignment="0" applyProtection="0"/>
    <xf numFmtId="193" fontId="33" fillId="0" borderId="0" applyFont="0" applyFill="0" applyBorder="0" applyAlignment="0"/>
    <xf numFmtId="40" fontId="30" fillId="0" borderId="0" applyFont="0" applyFill="0" applyBorder="0" applyAlignment="0"/>
    <xf numFmtId="237" fontId="30" fillId="0" borderId="0" applyFont="0" applyFill="0" applyBorder="0" applyAlignment="0"/>
    <xf numFmtId="0" fontId="33" fillId="0" borderId="0"/>
    <xf numFmtId="0" fontId="33" fillId="0" borderId="0"/>
    <xf numFmtId="0" fontId="33" fillId="0" borderId="0"/>
    <xf numFmtId="0" fontId="33" fillId="0" borderId="0"/>
    <xf numFmtId="0" fontId="33" fillId="0" borderId="0"/>
    <xf numFmtId="0" fontId="1" fillId="0" borderId="0"/>
    <xf numFmtId="0" fontId="33" fillId="0" borderId="0"/>
    <xf numFmtId="0" fontId="33" fillId="0" borderId="0"/>
    <xf numFmtId="0" fontId="52" fillId="0" borderId="0"/>
    <xf numFmtId="0" fontId="33" fillId="0" borderId="0"/>
    <xf numFmtId="0" fontId="33" fillId="0" borderId="0"/>
    <xf numFmtId="0" fontId="52" fillId="0" borderId="0"/>
    <xf numFmtId="0" fontId="33" fillId="0" borderId="0"/>
    <xf numFmtId="0" fontId="52" fillId="0" borderId="0"/>
    <xf numFmtId="0" fontId="33" fillId="0" borderId="0"/>
    <xf numFmtId="0" fontId="33" fillId="0" borderId="0"/>
    <xf numFmtId="0" fontId="33" fillId="0" borderId="0"/>
    <xf numFmtId="0" fontId="33" fillId="0" borderId="0"/>
    <xf numFmtId="0" fontId="33"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2" fillId="0" borderId="0"/>
    <xf numFmtId="0" fontId="5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2" fillId="0" borderId="0"/>
    <xf numFmtId="0" fontId="52" fillId="0" borderId="0"/>
    <xf numFmtId="0" fontId="33" fillId="0" borderId="0"/>
    <xf numFmtId="0" fontId="33" fillId="0" borderId="0"/>
    <xf numFmtId="0" fontId="33" fillId="0" borderId="0"/>
    <xf numFmtId="0" fontId="52" fillId="0" borderId="0"/>
    <xf numFmtId="0" fontId="33" fillId="0" borderId="0"/>
    <xf numFmtId="0" fontId="33" fillId="0" borderId="0"/>
    <xf numFmtId="0" fontId="33" fillId="0" borderId="0"/>
    <xf numFmtId="0" fontId="33" fillId="0" borderId="0"/>
    <xf numFmtId="0" fontId="33" fillId="0" borderId="0"/>
    <xf numFmtId="0" fontId="33" fillId="0" borderId="0"/>
    <xf numFmtId="0" fontId="52" fillId="0" borderId="0"/>
    <xf numFmtId="0" fontId="52" fillId="0" borderId="0"/>
    <xf numFmtId="0" fontId="1" fillId="0" borderId="0"/>
    <xf numFmtId="0" fontId="33" fillId="0" borderId="0"/>
    <xf numFmtId="0" fontId="33" fillId="0" borderId="0"/>
    <xf numFmtId="0" fontId="33" fillId="0" borderId="0"/>
    <xf numFmtId="0" fontId="33" fillId="0" borderId="0"/>
    <xf numFmtId="0" fontId="33" fillId="0" borderId="0"/>
    <xf numFmtId="0" fontId="52" fillId="0" borderId="0"/>
    <xf numFmtId="0" fontId="33" fillId="0" borderId="0"/>
    <xf numFmtId="0" fontId="33" fillId="0" borderId="0"/>
    <xf numFmtId="0" fontId="33" fillId="0" borderId="0"/>
    <xf numFmtId="0" fontId="33" fillId="0" borderId="0"/>
    <xf numFmtId="0" fontId="52" fillId="0" borderId="0"/>
    <xf numFmtId="0" fontId="52" fillId="0" borderId="0"/>
    <xf numFmtId="0" fontId="33" fillId="0" borderId="0"/>
    <xf numFmtId="0" fontId="52" fillId="0" borderId="0"/>
    <xf numFmtId="0" fontId="33" fillId="0" borderId="0"/>
    <xf numFmtId="0" fontId="33" fillId="0" borderId="0"/>
    <xf numFmtId="0" fontId="33" fillId="0" borderId="0"/>
    <xf numFmtId="0" fontId="52" fillId="0" borderId="0"/>
    <xf numFmtId="0" fontId="33" fillId="0" borderId="0"/>
    <xf numFmtId="0" fontId="52" fillId="0" borderId="0"/>
    <xf numFmtId="0" fontId="229"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17" fillId="0" borderId="0"/>
    <xf numFmtId="0" fontId="33" fillId="0" borderId="0"/>
    <xf numFmtId="0" fontId="103" fillId="0" borderId="0"/>
    <xf numFmtId="0" fontId="103" fillId="0" borderId="0"/>
    <xf numFmtId="0" fontId="1" fillId="0" borderId="0"/>
    <xf numFmtId="0" fontId="33"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3" fillId="0" borderId="0"/>
    <xf numFmtId="0" fontId="1" fillId="0" borderId="0"/>
    <xf numFmtId="0" fontId="1" fillId="0" borderId="0"/>
    <xf numFmtId="0" fontId="1"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3" fillId="0" borderId="0" applyFill="0" applyBorder="0" applyAlignment="0" applyProtection="0"/>
    <xf numFmtId="0" fontId="1" fillId="0" borderId="0"/>
    <xf numFmtId="0" fontId="1" fillId="0" borderId="0"/>
    <xf numFmtId="0" fontId="230"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181" fontId="33" fillId="0" borderId="0"/>
    <xf numFmtId="0" fontId="33" fillId="0" borderId="0"/>
    <xf numFmtId="0" fontId="52" fillId="0" borderId="0"/>
    <xf numFmtId="0" fontId="52" fillId="0" borderId="0"/>
    <xf numFmtId="0" fontId="52" fillId="0" borderId="0"/>
    <xf numFmtId="0" fontId="3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1" fillId="0" borderId="0"/>
    <xf numFmtId="0" fontId="1" fillId="0" borderId="0"/>
    <xf numFmtId="0" fontId="33" fillId="0" borderId="0"/>
    <xf numFmtId="0" fontId="33" fillId="0" borderId="0"/>
    <xf numFmtId="0" fontId="231" fillId="0" borderId="0"/>
    <xf numFmtId="0" fontId="231" fillId="0" borderId="0"/>
    <xf numFmtId="0" fontId="231" fillId="0" borderId="0"/>
    <xf numFmtId="0" fontId="1" fillId="0" borderId="0"/>
    <xf numFmtId="0" fontId="9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3" fontId="31" fillId="0" borderId="0" applyNumberFormat="0" applyFill="0" applyBorder="0" applyAlignment="0" applyProtection="0"/>
    <xf numFmtId="2" fontId="62" fillId="0" borderId="0" applyBorder="0" applyProtection="0"/>
    <xf numFmtId="0" fontId="232" fillId="0" borderId="60">
      <alignment horizontal="left"/>
    </xf>
    <xf numFmtId="49" fontId="233" fillId="0" borderId="60">
      <alignment horizontal="left"/>
    </xf>
    <xf numFmtId="314" fontId="33" fillId="0" borderId="60">
      <alignment horizontal="left"/>
    </xf>
    <xf numFmtId="1" fontId="234" fillId="0" borderId="0"/>
    <xf numFmtId="315" fontId="30" fillId="0" borderId="0" applyFont="0" applyFill="0" applyBorder="0" applyAlignment="0" applyProtection="0"/>
    <xf numFmtId="316" fontId="82" fillId="70" borderId="0" applyFill="0">
      <alignment horizontal="right"/>
    </xf>
    <xf numFmtId="0" fontId="157" fillId="0" borderId="0"/>
    <xf numFmtId="0" fontId="33" fillId="0" borderId="0"/>
    <xf numFmtId="0" fontId="183" fillId="0" borderId="0"/>
    <xf numFmtId="0" fontId="183" fillId="0" borderId="0"/>
    <xf numFmtId="0" fontId="183" fillId="0" borderId="0"/>
    <xf numFmtId="0" fontId="183" fillId="0" borderId="0"/>
    <xf numFmtId="193" fontId="30" fillId="0" borderId="0"/>
    <xf numFmtId="0" fontId="235" fillId="0" borderId="0"/>
    <xf numFmtId="317" fontId="30" fillId="0" borderId="0" applyFont="0" applyFill="0" applyBorder="0" applyAlignment="0" applyProtection="0"/>
    <xf numFmtId="318" fontId="30" fillId="0" borderId="0" applyFont="0" applyFill="0" applyBorder="0" applyAlignment="0" applyProtection="0"/>
    <xf numFmtId="0" fontId="75" fillId="0" borderId="0"/>
    <xf numFmtId="0" fontId="33" fillId="71" borderId="61" applyNumberFormat="0" applyFont="0" applyAlignment="0" applyProtection="0"/>
    <xf numFmtId="0" fontId="33" fillId="71" borderId="61" applyNumberFormat="0" applyFont="0" applyAlignment="0" applyProtection="0"/>
    <xf numFmtId="0" fontId="33" fillId="71" borderId="61" applyNumberFormat="0" applyFont="0" applyAlignment="0" applyProtection="0"/>
    <xf numFmtId="0" fontId="33" fillId="71" borderId="61" applyNumberFormat="0" applyFont="0" applyAlignment="0" applyProtection="0"/>
    <xf numFmtId="0" fontId="64" fillId="71" borderId="61" applyNumberFormat="0" applyFont="0" applyAlignment="0" applyProtection="0"/>
    <xf numFmtId="0" fontId="64" fillId="71" borderId="61" applyNumberFormat="0" applyFont="0" applyAlignment="0" applyProtection="0"/>
    <xf numFmtId="0" fontId="64" fillId="71" borderId="61" applyNumberFormat="0" applyFont="0" applyAlignment="0" applyProtection="0"/>
    <xf numFmtId="0" fontId="236" fillId="0" borderId="23"/>
    <xf numFmtId="319" fontId="30" fillId="0" borderId="0" applyFont="0" applyFill="0" applyBorder="0" applyAlignment="0" applyProtection="0"/>
    <xf numFmtId="320" fontId="76" fillId="0" borderId="0"/>
    <xf numFmtId="9" fontId="62" fillId="0" borderId="0" applyNumberFormat="0"/>
    <xf numFmtId="321" fontId="237" fillId="0" borderId="0" applyFont="0" applyFill="0" applyBorder="0" applyAlignment="0" applyProtection="0"/>
    <xf numFmtId="0" fontId="33" fillId="0" borderId="0" applyFont="0" applyFill="0" applyBorder="0" applyAlignment="0"/>
    <xf numFmtId="0" fontId="33" fillId="0" borderId="0" applyFont="0" applyFill="0" applyBorder="0" applyAlignment="0"/>
    <xf numFmtId="0" fontId="33" fillId="0" borderId="0" applyFont="0" applyFill="0" applyBorder="0" applyAlignment="0"/>
    <xf numFmtId="0" fontId="33" fillId="0" borderId="0" applyFont="0" applyFill="0" applyBorder="0" applyAlignment="0"/>
    <xf numFmtId="40" fontId="211" fillId="0" borderId="0" applyFill="0" applyBorder="0" applyProtection="0">
      <alignment horizontal="right"/>
    </xf>
    <xf numFmtId="38" fontId="33" fillId="0" borderId="0" applyFont="0" applyFill="0" applyBorder="0" applyAlignment="0"/>
    <xf numFmtId="38" fontId="33" fillId="0" borderId="0" applyFont="0" applyFill="0" applyBorder="0" applyAlignment="0"/>
    <xf numFmtId="38" fontId="33" fillId="0" borderId="0" applyFont="0" applyFill="0" applyBorder="0" applyAlignment="0"/>
    <xf numFmtId="38" fontId="33" fillId="0" borderId="0" applyFont="0" applyFill="0" applyBorder="0" applyAlignment="0"/>
    <xf numFmtId="40" fontId="33" fillId="0" borderId="0" applyFont="0" applyFill="0" applyBorder="0" applyProtection="0">
      <alignment horizontal="right"/>
    </xf>
    <xf numFmtId="40" fontId="33" fillId="0" borderId="0" applyFont="0" applyFill="0" applyBorder="0" applyProtection="0">
      <alignment horizontal="right"/>
    </xf>
    <xf numFmtId="40" fontId="33" fillId="0" borderId="0" applyFont="0" applyFill="0" applyBorder="0" applyProtection="0">
      <alignment horizontal="right"/>
    </xf>
    <xf numFmtId="40" fontId="33" fillId="0" borderId="0" applyFont="0" applyFill="0" applyBorder="0" applyProtection="0">
      <alignment horizontal="right"/>
    </xf>
    <xf numFmtId="322" fontId="30" fillId="0" borderId="0" applyFont="0" applyFill="0" applyBorder="0" applyAlignment="0" applyProtection="0"/>
    <xf numFmtId="0" fontId="238" fillId="0" borderId="0" applyNumberFormat="0" applyAlignment="0">
      <alignment vertical="top"/>
    </xf>
    <xf numFmtId="0" fontId="75" fillId="0" borderId="0" applyFont="0" applyFill="0" applyBorder="0" applyAlignment="0" applyProtection="0"/>
    <xf numFmtId="0" fontId="75" fillId="0" borderId="0" applyFont="0" applyFill="0" applyBorder="0" applyAlignment="0" applyProtection="0"/>
    <xf numFmtId="242" fontId="80" fillId="0" borderId="0">
      <alignment horizontal="right"/>
    </xf>
    <xf numFmtId="0" fontId="239" fillId="48" borderId="62" applyNumberFormat="0" applyAlignment="0" applyProtection="0"/>
    <xf numFmtId="0" fontId="239" fillId="48" borderId="62" applyNumberFormat="0" applyAlignment="0" applyProtection="0"/>
    <xf numFmtId="0" fontId="239" fillId="48" borderId="62" applyNumberFormat="0" applyAlignment="0" applyProtection="0"/>
    <xf numFmtId="0" fontId="239" fillId="48" borderId="62" applyNumberFormat="0" applyAlignment="0" applyProtection="0"/>
    <xf numFmtId="0" fontId="239" fillId="48" borderId="62" applyNumberFormat="0" applyAlignment="0" applyProtection="0"/>
    <xf numFmtId="0" fontId="239" fillId="48" borderId="62" applyNumberFormat="0" applyAlignment="0" applyProtection="0"/>
    <xf numFmtId="0" fontId="239" fillId="48" borderId="62" applyNumberFormat="0" applyAlignment="0" applyProtection="0"/>
    <xf numFmtId="3" fontId="240" fillId="10" borderId="0" applyAlignment="0"/>
    <xf numFmtId="323" fontId="82" fillId="0" borderId="0" applyFont="0" applyFill="0" applyBorder="0" applyAlignment="0" applyProtection="0">
      <alignment horizontal="right"/>
    </xf>
    <xf numFmtId="0" fontId="241" fillId="0" borderId="0" applyNumberFormat="0" applyFill="0" applyBorder="0">
      <alignment horizontal="left"/>
    </xf>
    <xf numFmtId="0" fontId="242" fillId="0" borderId="0">
      <alignment horizontal="left"/>
    </xf>
    <xf numFmtId="0" fontId="39" fillId="9" borderId="20"/>
    <xf numFmtId="0" fontId="39" fillId="9" borderId="20"/>
    <xf numFmtId="0" fontId="39" fillId="9" borderId="20"/>
    <xf numFmtId="0" fontId="39" fillId="9" borderId="20"/>
    <xf numFmtId="0" fontId="39" fillId="9" borderId="20"/>
    <xf numFmtId="0" fontId="39" fillId="9" borderId="20"/>
    <xf numFmtId="0" fontId="39" fillId="9" borderId="20"/>
    <xf numFmtId="0" fontId="39" fillId="9" borderId="20"/>
    <xf numFmtId="0" fontId="39" fillId="9" borderId="20"/>
    <xf numFmtId="170" fontId="243" fillId="0" borderId="0" applyFill="0" applyBorder="0" applyProtection="0">
      <alignment vertical="top"/>
    </xf>
    <xf numFmtId="324" fontId="56" fillId="0" borderId="0"/>
    <xf numFmtId="9" fontId="82" fillId="0" borderId="0" applyFont="0" applyFill="0" applyBorder="0" applyAlignment="0" applyProtection="0">
      <alignment horizontal="right"/>
    </xf>
    <xf numFmtId="325" fontId="56" fillId="0" borderId="0"/>
    <xf numFmtId="326" fontId="156" fillId="0" borderId="0" applyFont="0" applyFill="0" applyBorder="0" applyAlignment="0" applyProtection="0"/>
    <xf numFmtId="327" fontId="157" fillId="0" borderId="0" applyFont="0" applyFill="0" applyBorder="0" applyAlignment="0" applyProtection="0"/>
    <xf numFmtId="0" fontId="143" fillId="0" borderId="0" applyFont="0" applyFill="0" applyBorder="0" applyAlignment="0" applyProtection="0">
      <alignment horizontal="center"/>
    </xf>
    <xf numFmtId="14" fontId="82" fillId="0" borderId="0">
      <alignment horizontal="center" wrapText="1"/>
      <protection locked="0"/>
    </xf>
    <xf numFmtId="328" fontId="33" fillId="0" borderId="0" applyFont="0" applyFill="0" applyBorder="0" applyAlignment="0" applyProtection="0">
      <alignment horizontal="center"/>
    </xf>
    <xf numFmtId="170" fontId="124" fillId="0" borderId="0" applyFont="0" applyFill="0" applyBorder="0" applyAlignment="0" applyProtection="0"/>
    <xf numFmtId="10" fontId="124" fillId="0" borderId="0" applyFont="0" applyFill="0" applyBorder="0" applyAlignment="0" applyProtection="0"/>
    <xf numFmtId="329" fontId="35" fillId="0" borderId="0" applyFill="0" applyBorder="0" applyAlignment="0" applyProtection="0"/>
    <xf numFmtId="330" fontId="101" fillId="0" borderId="0" applyFont="0" applyFill="0" applyBorder="0" applyAlignment="0" applyProtection="0"/>
    <xf numFmtId="331" fontId="35" fillId="0" borderId="0" applyFill="0" applyBorder="0" applyAlignment="0" applyProtection="0"/>
    <xf numFmtId="293" fontId="35" fillId="43" borderId="20" applyFill="0" applyBorder="0" applyAlignment="0" applyProtection="0">
      <alignment horizontal="right"/>
      <protection locked="0"/>
    </xf>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332" fontId="35" fillId="0" borderId="0" applyFill="0" applyBorder="0" applyAlignment="0" applyProtection="0"/>
    <xf numFmtId="333" fontId="35" fillId="53" borderId="0" applyFont="0" applyFill="0" applyBorder="0" applyAlignment="0" applyProtection="0"/>
    <xf numFmtId="0" fontId="62" fillId="0" borderId="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117"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120" fillId="0" borderId="0" applyFont="0" applyFill="0" applyBorder="0" applyAlignment="0" applyProtection="0"/>
    <xf numFmtId="9" fontId="5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2"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170" fontId="122" fillId="0" borderId="0" applyFont="0" applyFill="0" applyBorder="0" applyAlignment="0" applyProtection="0"/>
    <xf numFmtId="330" fontId="80" fillId="0" borderId="0">
      <alignment horizontal="right"/>
    </xf>
    <xf numFmtId="334" fontId="62" fillId="0" borderId="0" applyFill="0" applyBorder="0">
      <alignment horizontal="right"/>
      <protection locked="0"/>
    </xf>
    <xf numFmtId="288" fontId="136" fillId="0" borderId="0" applyFill="0" applyBorder="0">
      <alignment horizontal="right"/>
      <protection locked="0"/>
    </xf>
    <xf numFmtId="287" fontId="82" fillId="0" borderId="0" applyFont="0" applyFill="0" applyBorder="0" applyAlignment="0" applyProtection="0"/>
    <xf numFmtId="335" fontId="30" fillId="0" borderId="0" applyFont="0" applyFill="0" applyBorder="0" applyAlignment="0" applyProtection="0"/>
    <xf numFmtId="8" fontId="82" fillId="0" borderId="0" applyFont="0" applyFill="0" applyBorder="0" applyAlignment="0" applyProtection="0"/>
    <xf numFmtId="0" fontId="83" fillId="0" borderId="0" applyFont="0" applyFill="0" applyBorder="0" applyProtection="0">
      <alignment horizontal="left"/>
      <protection locked="0"/>
    </xf>
    <xf numFmtId="211" fontId="244" fillId="0" borderId="0"/>
    <xf numFmtId="2" fontId="33" fillId="0" borderId="0">
      <alignment horizontal="left" vertical="center"/>
    </xf>
    <xf numFmtId="237" fontId="82" fillId="0" borderId="0" applyFont="0" applyFill="0" applyBorder="0" applyAlignment="0" applyProtection="0">
      <protection locked="0"/>
    </xf>
    <xf numFmtId="0" fontId="144" fillId="0" borderId="0">
      <protection locked="0"/>
    </xf>
    <xf numFmtId="38" fontId="82" fillId="0" borderId="0" applyFill="0" applyBorder="0" applyAlignment="0" applyProtection="0"/>
    <xf numFmtId="38" fontId="82" fillId="0" borderId="0" applyFont="0" applyFill="0" applyBorder="0" applyAlignment="0" applyProtection="0"/>
    <xf numFmtId="336" fontId="56" fillId="0" borderId="0">
      <alignment horizontal="right"/>
    </xf>
    <xf numFmtId="337" fontId="245" fillId="0" borderId="0"/>
    <xf numFmtId="0" fontId="6" fillId="54" borderId="3">
      <alignment horizontal="center" vertical="center"/>
    </xf>
    <xf numFmtId="338" fontId="31" fillId="0" borderId="0" applyFill="0" applyBorder="0" applyProtection="0">
      <alignment horizontal="right"/>
    </xf>
    <xf numFmtId="38" fontId="246" fillId="0" borderId="0"/>
    <xf numFmtId="302" fontId="240" fillId="0" borderId="23" applyBorder="0">
      <alignment horizontal="right" vertical="center"/>
      <protection locked="0"/>
    </xf>
    <xf numFmtId="0" fontId="62" fillId="0" borderId="0" applyNumberFormat="0" applyFont="0" applyFill="0" applyBorder="0" applyAlignment="0" applyProtection="0">
      <alignment horizontal="left"/>
    </xf>
    <xf numFmtId="0" fontId="55" fillId="0" borderId="12">
      <alignment horizontal="center"/>
    </xf>
    <xf numFmtId="339" fontId="56" fillId="9" borderId="0"/>
    <xf numFmtId="339" fontId="56" fillId="9" borderId="0"/>
    <xf numFmtId="0" fontId="247" fillId="0" borderId="0">
      <alignment horizontal="center"/>
    </xf>
    <xf numFmtId="0" fontId="56" fillId="0" borderId="3">
      <alignment horizontal="centerContinuous"/>
    </xf>
    <xf numFmtId="340" fontId="56" fillId="9" borderId="0">
      <alignment horizontal="right"/>
    </xf>
    <xf numFmtId="1" fontId="33" fillId="0" borderId="23" applyNumberFormat="0" applyFill="0" applyAlignment="0" applyProtection="0">
      <alignment horizontal="center" vertical="center"/>
    </xf>
    <xf numFmtId="1" fontId="33" fillId="0" borderId="23" applyNumberFormat="0" applyFill="0" applyAlignment="0" applyProtection="0">
      <alignment horizontal="center" vertical="center"/>
    </xf>
    <xf numFmtId="341" fontId="56" fillId="9" borderId="2">
      <alignment horizontal="right"/>
    </xf>
    <xf numFmtId="342" fontId="62" fillId="0" borderId="0" applyFill="0" applyBorder="0">
      <alignment horizontal="right"/>
      <protection locked="0"/>
    </xf>
    <xf numFmtId="343" fontId="83" fillId="0" borderId="44" applyFont="0" applyFill="0" applyBorder="0" applyAlignment="0" applyProtection="0">
      <alignment horizontal="right"/>
      <protection locked="0"/>
    </xf>
    <xf numFmtId="344" fontId="62" fillId="0" borderId="0">
      <alignment horizontal="right"/>
      <protection locked="0"/>
    </xf>
    <xf numFmtId="9" fontId="75" fillId="72" borderId="0" applyFont="0" applyAlignment="0">
      <alignment horizontal="fill"/>
    </xf>
    <xf numFmtId="38" fontId="62" fillId="0" borderId="0"/>
    <xf numFmtId="193" fontId="248" fillId="0" borderId="0" applyNumberFormat="0" applyFill="0" applyBorder="0" applyAlignment="0" applyProtection="0">
      <alignment horizontal="left"/>
    </xf>
    <xf numFmtId="193" fontId="143" fillId="0" borderId="0" applyFont="0" applyFill="0" applyBorder="0" applyAlignment="0" applyProtection="0"/>
    <xf numFmtId="0" fontId="137" fillId="0" borderId="0"/>
    <xf numFmtId="0" fontId="137" fillId="0" borderId="0"/>
    <xf numFmtId="0" fontId="79" fillId="0" borderId="0"/>
    <xf numFmtId="0" fontId="33" fillId="0" borderId="12"/>
    <xf numFmtId="0" fontId="33" fillId="0" borderId="12"/>
    <xf numFmtId="0" fontId="33" fillId="0" borderId="12"/>
    <xf numFmtId="0" fontId="33" fillId="0" borderId="12"/>
    <xf numFmtId="0" fontId="33" fillId="0" borderId="0"/>
    <xf numFmtId="0" fontId="33" fillId="0" borderId="0"/>
    <xf numFmtId="0" fontId="33" fillId="0" borderId="0"/>
    <xf numFmtId="0" fontId="33" fillId="0" borderId="0"/>
    <xf numFmtId="0" fontId="211" fillId="0" borderId="0">
      <alignment horizontal="right"/>
    </xf>
    <xf numFmtId="0" fontId="33" fillId="0" borderId="0"/>
    <xf numFmtId="0" fontId="110" fillId="0" borderId="51">
      <alignment horizontal="left" vertical="center"/>
    </xf>
    <xf numFmtId="0" fontId="249" fillId="0" borderId="0"/>
    <xf numFmtId="0" fontId="90" fillId="0" borderId="0"/>
    <xf numFmtId="0" fontId="250" fillId="0" borderId="0"/>
    <xf numFmtId="0" fontId="33" fillId="0" borderId="0">
      <alignment horizontal="right"/>
    </xf>
    <xf numFmtId="0" fontId="33" fillId="0" borderId="0">
      <alignment horizontal="right"/>
    </xf>
    <xf numFmtId="0" fontId="33" fillId="0" borderId="0">
      <alignment horizontal="right"/>
    </xf>
    <xf numFmtId="0" fontId="33" fillId="0" borderId="0">
      <alignment horizontal="right"/>
    </xf>
    <xf numFmtId="171" fontId="62" fillId="34" borderId="24" applyNumberFormat="0" applyFont="0" applyBorder="0" applyAlignment="0" applyProtection="0">
      <alignment horizontal="center"/>
    </xf>
    <xf numFmtId="345" fontId="76" fillId="0" borderId="0" applyNumberFormat="0" applyFill="0" applyBorder="0" applyAlignment="0" applyProtection="0">
      <alignment horizontal="left"/>
    </xf>
    <xf numFmtId="14" fontId="76" fillId="0" borderId="0" applyNumberFormat="0" applyFill="0" applyBorder="0" applyAlignment="0" applyProtection="0">
      <alignment horizontal="left"/>
    </xf>
    <xf numFmtId="0" fontId="251" fillId="0" borderId="0" applyNumberFormat="0" applyFill="0" applyBorder="0" applyProtection="0">
      <alignment horizontal="right" vertical="center"/>
    </xf>
    <xf numFmtId="38" fontId="76" fillId="0" borderId="0"/>
    <xf numFmtId="0" fontId="80" fillId="0" borderId="0"/>
    <xf numFmtId="0" fontId="77" fillId="0" borderId="0" applyNumberFormat="0" applyFill="0" applyBorder="0" applyAlignment="0" applyProtection="0"/>
    <xf numFmtId="0" fontId="211" fillId="0" borderId="0">
      <alignment horizontal="right"/>
    </xf>
    <xf numFmtId="0" fontId="252" fillId="0" borderId="63">
      <alignment horizontal="centerContinuous"/>
    </xf>
    <xf numFmtId="0" fontId="159" fillId="0" borderId="64">
      <alignment vertical="center"/>
    </xf>
    <xf numFmtId="346" fontId="253" fillId="0" borderId="0" applyFill="0" applyBorder="0" applyProtection="0">
      <alignment horizontal="right"/>
      <protection hidden="1"/>
    </xf>
    <xf numFmtId="347" fontId="136" fillId="0" borderId="0" applyFill="0" applyBorder="0">
      <alignment horizontal="right"/>
      <protection hidden="1"/>
    </xf>
    <xf numFmtId="0" fontId="176" fillId="52" borderId="20">
      <alignment horizontal="center" vertical="center" wrapText="1"/>
      <protection hidden="1"/>
    </xf>
    <xf numFmtId="0" fontId="254" fillId="73" borderId="0">
      <alignment horizontal="right"/>
    </xf>
    <xf numFmtId="1" fontId="255" fillId="74" borderId="0" applyNumberFormat="0" applyFont="0" applyBorder="0" applyAlignment="0">
      <alignment horizontal="left"/>
    </xf>
    <xf numFmtId="175" fontId="75" fillId="0" borderId="3" applyFont="0" applyFill="0" applyBorder="0" applyAlignment="0" applyProtection="0">
      <alignment horizontal="right"/>
    </xf>
    <xf numFmtId="237" fontId="82" fillId="0" borderId="0" applyFill="0" applyBorder="0" applyAlignment="0" applyProtection="0">
      <protection locked="0"/>
    </xf>
    <xf numFmtId="0" fontId="256" fillId="0" borderId="0" applyNumberFormat="0" applyFill="0" applyBorder="0" applyAlignment="0" applyProtection="0"/>
    <xf numFmtId="1" fontId="33" fillId="0" borderId="0"/>
    <xf numFmtId="0" fontId="257" fillId="0" borderId="0" applyFill="0" applyBorder="0" applyAlignment="0" applyProtection="0"/>
    <xf numFmtId="0" fontId="113" fillId="0" borderId="0">
      <alignment vertical="center"/>
    </xf>
    <xf numFmtId="193" fontId="117" fillId="47" borderId="0" applyNumberFormat="0" applyFont="0" applyBorder="0" applyAlignment="0"/>
    <xf numFmtId="0" fontId="258" fillId="0" borderId="63"/>
    <xf numFmtId="348" fontId="62" fillId="0" borderId="0">
      <protection locked="0"/>
    </xf>
    <xf numFmtId="0" fontId="30" fillId="44" borderId="20">
      <alignment horizontal="centerContinuous" vertical="top"/>
    </xf>
    <xf numFmtId="349" fontId="143" fillId="0" borderId="0" applyFont="0" applyFill="0" applyBorder="0" applyAlignment="0" applyProtection="0">
      <alignment horizontal="right"/>
    </xf>
    <xf numFmtId="0" fontId="259" fillId="0" borderId="63"/>
    <xf numFmtId="0" fontId="259" fillId="0" borderId="65"/>
    <xf numFmtId="0" fontId="33" fillId="0" borderId="0"/>
    <xf numFmtId="0" fontId="33" fillId="0" borderId="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0" fontId="33" fillId="0" borderId="0">
      <alignment vertical="top"/>
    </xf>
    <xf numFmtId="0" fontId="261" fillId="75" borderId="0" applyNumberFormat="0" applyBorder="0" applyAlignment="0" applyProtection="0"/>
    <xf numFmtId="0" fontId="219" fillId="0" borderId="0" applyNumberFormat="0" applyFill="0" applyBorder="0" applyAlignment="0" applyProtection="0"/>
    <xf numFmtId="0" fontId="262" fillId="75" borderId="0" applyNumberFormat="0" applyBorder="0" applyAlignment="0" applyProtection="0"/>
    <xf numFmtId="0" fontId="176" fillId="0" borderId="0" applyNumberFormat="0" applyFill="0" applyBorder="0" applyAlignment="0" applyProtection="0"/>
    <xf numFmtId="0" fontId="39" fillId="0" borderId="0" applyNumberFormat="0" applyFill="0" applyBorder="0" applyAlignment="0" applyProtection="0"/>
    <xf numFmtId="0" fontId="98" fillId="73" borderId="0" applyNumberFormat="0" applyBorder="0" applyAlignment="0" applyProtection="0"/>
    <xf numFmtId="0" fontId="98" fillId="73" borderId="0" applyNumberFormat="0" applyBorder="0" applyProtection="0">
      <alignment horizontal="center"/>
    </xf>
    <xf numFmtId="0" fontId="263" fillId="73" borderId="0" applyNumberFormat="0" applyBorder="0" applyAlignment="0" applyProtection="0"/>
    <xf numFmtId="0" fontId="33" fillId="0" borderId="0" applyNumberFormat="0" applyFont="0" applyFill="0" applyBorder="0" applyProtection="0">
      <alignment horizontal="right"/>
    </xf>
    <xf numFmtId="0" fontId="33" fillId="0" borderId="0">
      <alignment vertical="top"/>
    </xf>
    <xf numFmtId="0" fontId="33" fillId="0" borderId="0" applyNumberFormat="0" applyFont="0" applyFill="0" applyBorder="0" applyProtection="0">
      <alignment horizontal="left"/>
    </xf>
    <xf numFmtId="0" fontId="30" fillId="0" borderId="0" applyNumberFormat="0" applyFill="0" applyBorder="0" applyAlignment="0" applyProtection="0"/>
    <xf numFmtId="0" fontId="31" fillId="0" borderId="0" applyNumberFormat="0" applyFill="0" applyBorder="0" applyAlignment="0" applyProtection="0"/>
    <xf numFmtId="0" fontId="33" fillId="76" borderId="0" applyNumberFormat="0" applyFont="0" applyBorder="0" applyAlignment="0" applyProtection="0"/>
    <xf numFmtId="254" fontId="33" fillId="0" borderId="0" applyFont="0" applyFill="0" applyBorder="0" applyAlignment="0" applyProtection="0"/>
    <xf numFmtId="2" fontId="33" fillId="0" borderId="0" applyFont="0" applyFill="0" applyBorder="0" applyAlignment="0" applyProtection="0"/>
    <xf numFmtId="171" fontId="33" fillId="0" borderId="0" applyFont="0" applyFill="0" applyBorder="0" applyAlignment="0" applyProtection="0"/>
    <xf numFmtId="0" fontId="264" fillId="10" borderId="66" applyNumberFormat="0" applyProtection="0">
      <alignment horizontal="right" vertical="center"/>
    </xf>
    <xf numFmtId="0" fontId="265" fillId="10" borderId="0" applyNumberFormat="0" applyProtection="0">
      <alignment horizontal="right" vertical="center" wrapText="1"/>
    </xf>
    <xf numFmtId="0" fontId="33" fillId="0" borderId="12" applyNumberFormat="0" applyFont="0" applyFill="0" applyAlignment="0" applyProtection="0"/>
    <xf numFmtId="0" fontId="266" fillId="10" borderId="0" applyNumberFormat="0" applyProtection="0">
      <alignment horizontal="left" vertical="center"/>
    </xf>
    <xf numFmtId="0" fontId="267" fillId="10" borderId="0" applyNumberFormat="0" applyProtection="0">
      <alignment horizontal="center" vertical="center"/>
    </xf>
    <xf numFmtId="4" fontId="103" fillId="10" borderId="0" applyProtection="0">
      <alignment horizontal="center" vertical="center"/>
    </xf>
    <xf numFmtId="0" fontId="268" fillId="10" borderId="0" applyNumberFormat="0" applyProtection="0">
      <alignment horizontal="center" vertical="center"/>
    </xf>
    <xf numFmtId="4" fontId="269" fillId="10" borderId="0" applyProtection="0">
      <alignment horizontal="center" vertical="center"/>
    </xf>
    <xf numFmtId="0" fontId="270" fillId="75" borderId="0" applyNumberFormat="0" applyProtection="0">
      <alignment horizontal="center" vertical="center"/>
    </xf>
    <xf numFmtId="4" fontId="271" fillId="75" borderId="0" applyProtection="0">
      <alignment horizontal="center" vertical="center"/>
    </xf>
    <xf numFmtId="0" fontId="260" fillId="10" borderId="0" applyNumberFormat="0" applyProtection="0">
      <alignment horizontal="center" vertical="center"/>
    </xf>
    <xf numFmtId="4" fontId="272" fillId="10" borderId="0" applyProtection="0">
      <alignment horizontal="center" vertical="center"/>
    </xf>
    <xf numFmtId="0" fontId="273" fillId="73" borderId="0" applyNumberFormat="0" applyProtection="0">
      <alignment horizontal="center" vertical="center"/>
    </xf>
    <xf numFmtId="4" fontId="215" fillId="73" borderId="0" applyProtection="0">
      <alignment horizontal="center" vertical="center"/>
    </xf>
    <xf numFmtId="0" fontId="267" fillId="10" borderId="0" applyNumberFormat="0" applyProtection="0">
      <alignment horizontal="center" vertical="center"/>
    </xf>
    <xf numFmtId="4" fontId="72" fillId="10" borderId="0" applyProtection="0">
      <alignment horizontal="center" vertical="center"/>
    </xf>
    <xf numFmtId="0" fontId="268" fillId="10" borderId="0" applyNumberFormat="0" applyProtection="0">
      <alignment horizontal="center" vertical="center"/>
    </xf>
    <xf numFmtId="4" fontId="274" fillId="10" borderId="0" applyProtection="0">
      <alignment horizontal="center" vertical="center"/>
    </xf>
    <xf numFmtId="0" fontId="270" fillId="75" borderId="0" applyNumberFormat="0" applyProtection="0">
      <alignment horizontal="center" vertical="center"/>
    </xf>
    <xf numFmtId="4" fontId="275" fillId="75" borderId="0" applyProtection="0">
      <alignment horizontal="center" vertical="center"/>
    </xf>
    <xf numFmtId="0" fontId="276" fillId="10" borderId="0" applyNumberFormat="0" applyProtection="0">
      <alignment horizontal="center" vertical="center"/>
    </xf>
    <xf numFmtId="4" fontId="277" fillId="10" borderId="0" applyProtection="0">
      <alignment horizontal="center" vertical="center"/>
    </xf>
    <xf numFmtId="0" fontId="273" fillId="73" borderId="0" applyNumberFormat="0" applyProtection="0">
      <alignment horizontal="center" vertical="center"/>
    </xf>
    <xf numFmtId="0" fontId="278" fillId="10" borderId="0" applyNumberFormat="0" applyProtection="0">
      <alignment horizontal="center" vertical="center" wrapText="1"/>
    </xf>
    <xf numFmtId="0" fontId="279" fillId="77" borderId="0" applyNumberFormat="0" applyProtection="0">
      <alignment horizontal="center" vertical="center" wrapText="1"/>
    </xf>
    <xf numFmtId="0" fontId="280" fillId="75" borderId="0" applyNumberFormat="0" applyProtection="0">
      <alignment horizontal="center" vertical="center" wrapText="1"/>
    </xf>
    <xf numFmtId="4" fontId="275" fillId="75" borderId="0" applyProtection="0">
      <alignment horizontal="center" vertical="top" wrapText="1"/>
    </xf>
    <xf numFmtId="0" fontId="281" fillId="10" borderId="0" applyNumberFormat="0" applyProtection="0">
      <alignment horizontal="center" vertical="center" wrapText="1"/>
    </xf>
    <xf numFmtId="4" fontId="277" fillId="10" borderId="0" applyProtection="0">
      <alignment horizontal="center" vertical="top" wrapText="1"/>
    </xf>
    <xf numFmtId="0" fontId="98" fillId="73" borderId="0" applyNumberFormat="0" applyProtection="0">
      <alignment horizontal="center" vertical="center" wrapText="1"/>
    </xf>
    <xf numFmtId="4" fontId="282" fillId="73" borderId="0" applyProtection="0">
      <alignment horizontal="center" vertical="top" wrapText="1"/>
    </xf>
    <xf numFmtId="0" fontId="279" fillId="77" borderId="0" applyNumberFormat="0" applyProtection="0">
      <alignment horizontal="center" vertical="center" wrapText="1"/>
    </xf>
    <xf numFmtId="4" fontId="72" fillId="77" borderId="0" applyProtection="0">
      <alignment horizontal="center" vertical="top" wrapText="1"/>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17" fontId="260" fillId="10" borderId="0" applyProtection="0">
      <alignment horizontal="center" vertical="center"/>
    </xf>
    <xf numFmtId="350" fontId="283" fillId="0" borderId="0" applyNumberFormat="0" applyFill="0" applyBorder="0" applyAlignment="0" applyProtection="0">
      <alignment horizontal="right" vertical="center" wrapText="1"/>
    </xf>
    <xf numFmtId="0" fontId="284" fillId="0" borderId="0" applyNumberFormat="0" applyFill="0" applyBorder="0" applyAlignment="0" applyProtection="0"/>
    <xf numFmtId="0" fontId="285" fillId="0" borderId="0" applyNumberFormat="0" applyFill="0" applyBorder="0" applyAlignment="0" applyProtection="0">
      <protection locked="0"/>
    </xf>
    <xf numFmtId="37" fontId="137" fillId="0" borderId="0"/>
    <xf numFmtId="193" fontId="286" fillId="0" borderId="0" applyNumberFormat="0" applyFill="0" applyBorder="0" applyProtection="0">
      <alignment horizontal="right"/>
    </xf>
    <xf numFmtId="0" fontId="250" fillId="0" borderId="0" applyFill="0" applyBorder="0">
      <alignment vertical="center"/>
    </xf>
    <xf numFmtId="0" fontId="287" fillId="0" borderId="6" applyNumberFormat="0" applyFill="0" applyProtection="0">
      <alignment horizontal="right"/>
    </xf>
    <xf numFmtId="351" fontId="288" fillId="0" borderId="0" applyFill="0" applyBorder="0" applyAlignment="0" applyProtection="0"/>
    <xf numFmtId="352" fontId="289" fillId="0" borderId="0" applyFill="0" applyBorder="0" applyAlignment="0" applyProtection="0">
      <alignment horizontal="left"/>
      <protection locked="0"/>
    </xf>
    <xf numFmtId="352" fontId="289" fillId="0" borderId="0" applyFill="0" applyBorder="0" applyAlignment="0" applyProtection="0"/>
    <xf numFmtId="0" fontId="223" fillId="0" borderId="0"/>
    <xf numFmtId="0" fontId="290" fillId="0" borderId="0"/>
    <xf numFmtId="352" fontId="291" fillId="0" borderId="0" applyFill="0" applyBorder="0" applyAlignment="0" applyProtection="0">
      <alignment horizontal="left"/>
      <protection locked="0"/>
    </xf>
    <xf numFmtId="352" fontId="291" fillId="0" borderId="0" applyFill="0" applyBorder="0" applyAlignment="0" applyProtection="0">
      <protection locked="0"/>
    </xf>
    <xf numFmtId="193" fontId="82" fillId="0" borderId="0" applyFill="0" applyBorder="0" applyAlignment="0" applyProtection="0">
      <protection locked="0"/>
    </xf>
    <xf numFmtId="353" fontId="33" fillId="0" borderId="67" applyNumberFormat="0" applyFont="0"/>
    <xf numFmtId="0" fontId="33" fillId="0" borderId="19"/>
    <xf numFmtId="0" fontId="33" fillId="0" borderId="19"/>
    <xf numFmtId="0" fontId="33" fillId="0" borderId="19"/>
    <xf numFmtId="0" fontId="33" fillId="0" borderId="19"/>
    <xf numFmtId="0" fontId="33" fillId="0" borderId="21"/>
    <xf numFmtId="0" fontId="33" fillId="0" borderId="21"/>
    <xf numFmtId="0" fontId="33" fillId="0" borderId="21"/>
    <xf numFmtId="0" fontId="33" fillId="0" borderId="21"/>
    <xf numFmtId="0" fontId="33" fillId="0" borderId="9"/>
    <xf numFmtId="0" fontId="33" fillId="0" borderId="9"/>
    <xf numFmtId="0" fontId="33" fillId="0" borderId="9"/>
    <xf numFmtId="0" fontId="33" fillId="0" borderId="9"/>
    <xf numFmtId="40" fontId="292" fillId="0" borderId="0" applyBorder="0">
      <alignment horizontal="right"/>
    </xf>
    <xf numFmtId="40" fontId="292" fillId="0" borderId="0" applyBorder="0">
      <alignment horizontal="right"/>
    </xf>
    <xf numFmtId="43" fontId="75" fillId="0" borderId="0" applyFill="0" applyBorder="0" applyProtection="0">
      <protection locked="0"/>
    </xf>
    <xf numFmtId="294" fontId="30" fillId="0" borderId="0" applyFill="0" applyBorder="0" applyProtection="0">
      <protection locked="0"/>
    </xf>
    <xf numFmtId="193" fontId="288" fillId="0" borderId="0" applyFill="0" applyBorder="0" applyAlignment="0" applyProtection="0"/>
    <xf numFmtId="354" fontId="33" fillId="0" borderId="0"/>
    <xf numFmtId="0" fontId="178" fillId="0" borderId="0" applyNumberFormat="0" applyFont="0" applyBorder="0" applyAlignment="0">
      <alignment vertical="center"/>
    </xf>
    <xf numFmtId="0" fontId="293" fillId="0" borderId="68" applyNumberFormat="0" applyAlignment="0" applyProtection="0"/>
    <xf numFmtId="0" fontId="294" fillId="0" borderId="68" applyNumberFormat="0" applyAlignment="0" applyProtection="0">
      <alignment horizontal="left" vertical="top"/>
    </xf>
    <xf numFmtId="0" fontId="295" fillId="0" borderId="32" applyNumberFormat="0" applyFill="0" applyBorder="0" applyAlignment="0" applyProtection="0"/>
    <xf numFmtId="0" fontId="103" fillId="0" borderId="1" applyBorder="0">
      <alignment horizontal="center"/>
    </xf>
    <xf numFmtId="1" fontId="178" fillId="0" borderId="0">
      <alignment vertical="center"/>
    </xf>
    <xf numFmtId="0" fontId="137" fillId="0" borderId="43"/>
    <xf numFmtId="0" fontId="137" fillId="0" borderId="43"/>
    <xf numFmtId="0" fontId="231" fillId="0" borderId="0" applyNumberFormat="0" applyBorder="0" applyAlignment="0">
      <alignment horizontal="justify" vertical="center" wrapText="1"/>
    </xf>
    <xf numFmtId="0" fontId="296" fillId="0" borderId="69">
      <alignment horizontal="left" vertical="top" wrapText="1" readingOrder="1"/>
    </xf>
    <xf numFmtId="0" fontId="296" fillId="0" borderId="69">
      <alignment horizontal="right" vertical="top" wrapText="1" readingOrder="1"/>
    </xf>
    <xf numFmtId="0" fontId="287" fillId="0" borderId="9" applyNumberFormat="0" applyProtection="0">
      <alignment horizontal="right"/>
    </xf>
    <xf numFmtId="0" fontId="240" fillId="0" borderId="12" applyNumberFormat="0" applyFont="0" applyFill="0" applyAlignment="0" applyProtection="0"/>
    <xf numFmtId="0" fontId="297" fillId="0" borderId="0">
      <alignment horizontal="left"/>
    </xf>
    <xf numFmtId="266" fontId="298" fillId="0" borderId="3" applyBorder="0" applyProtection="0">
      <alignment horizontal="right" vertical="center"/>
    </xf>
    <xf numFmtId="0" fontId="299" fillId="78" borderId="0" applyBorder="0" applyProtection="0">
      <alignment horizontal="centerContinuous" vertical="center"/>
    </xf>
    <xf numFmtId="0" fontId="299" fillId="73" borderId="3" applyBorder="0" applyProtection="0">
      <alignment horizontal="centerContinuous" vertical="center"/>
    </xf>
    <xf numFmtId="0" fontId="300" fillId="0" borderId="3" applyNumberFormat="0" applyFill="0" applyProtection="0"/>
    <xf numFmtId="0" fontId="301" fillId="0" borderId="49" applyNumberFormat="0" applyFill="0" applyAlignment="0" applyProtection="0"/>
    <xf numFmtId="2" fontId="302" fillId="0" borderId="70">
      <alignment vertical="top"/>
    </xf>
    <xf numFmtId="0" fontId="160" fillId="0" borderId="0">
      <alignment horizontal="left"/>
    </xf>
    <xf numFmtId="0" fontId="303" fillId="79" borderId="0">
      <alignment vertical="center" wrapText="1"/>
    </xf>
    <xf numFmtId="0" fontId="304" fillId="0" borderId="46">
      <alignment horizontal="left" vertical="top" wrapText="1" readingOrder="1"/>
    </xf>
    <xf numFmtId="0" fontId="183" fillId="0" borderId="0"/>
    <xf numFmtId="0" fontId="183" fillId="0" borderId="0"/>
    <xf numFmtId="0" fontId="305" fillId="0" borderId="0">
      <alignment vertical="center"/>
    </xf>
    <xf numFmtId="0" fontId="163" fillId="0" borderId="0">
      <alignment vertical="center"/>
    </xf>
    <xf numFmtId="0" fontId="305" fillId="0" borderId="0">
      <alignment vertical="center"/>
    </xf>
    <xf numFmtId="0" fontId="173" fillId="0" borderId="0">
      <alignment vertical="center"/>
    </xf>
    <xf numFmtId="0" fontId="180" fillId="0" borderId="0"/>
    <xf numFmtId="0" fontId="160" fillId="0" borderId="0"/>
    <xf numFmtId="353" fontId="31" fillId="0" borderId="0" applyNumberFormat="0">
      <alignment horizontal="centerContinuous"/>
    </xf>
    <xf numFmtId="0" fontId="306" fillId="0" borderId="0" applyNumberFormat="0" applyFill="0" applyBorder="0">
      <alignment horizontal="left"/>
    </xf>
    <xf numFmtId="353" fontId="33" fillId="0" borderId="0" applyNumberFormat="0" applyAlignment="0"/>
    <xf numFmtId="353" fontId="6" fillId="0" borderId="0">
      <alignment horizontal="centerContinuous"/>
    </xf>
    <xf numFmtId="49" fontId="307" fillId="0" borderId="0"/>
    <xf numFmtId="355" fontId="33" fillId="0" borderId="0" applyFont="0" applyFill="0" applyBorder="0" applyAlignment="0"/>
    <xf numFmtId="356" fontId="30" fillId="0" borderId="0" applyFont="0" applyFill="0" applyBorder="0" applyAlignment="0" applyProtection="0">
      <protection hidden="1"/>
    </xf>
    <xf numFmtId="49" fontId="222" fillId="0" borderId="0" applyFont="0" applyFill="0" applyBorder="0" applyAlignment="0" applyProtection="0">
      <protection hidden="1"/>
    </xf>
    <xf numFmtId="0" fontId="308" fillId="0" borderId="0"/>
    <xf numFmtId="0" fontId="308" fillId="0" borderId="0"/>
    <xf numFmtId="0" fontId="309" fillId="0" borderId="0"/>
    <xf numFmtId="0" fontId="309" fillId="0" borderId="0"/>
    <xf numFmtId="0" fontId="308" fillId="0" borderId="0"/>
    <xf numFmtId="0" fontId="308" fillId="0" borderId="0"/>
    <xf numFmtId="0" fontId="304" fillId="0" borderId="69">
      <alignment horizontal="left" vertical="top" wrapText="1" readingOrder="1"/>
    </xf>
    <xf numFmtId="357" fontId="83" fillId="0" borderId="0" applyFont="0" applyFill="0" applyBorder="0" applyAlignment="0" applyProtection="0">
      <protection locked="0"/>
    </xf>
    <xf numFmtId="358" fontId="77" fillId="0" borderId="0" applyFill="0" applyBorder="0" applyAlignment="0" applyProtection="0">
      <alignment horizontal="right"/>
    </xf>
    <xf numFmtId="0" fontId="33" fillId="0" borderId="37" applyNumberFormat="0" applyFont="0" applyAlignment="0"/>
    <xf numFmtId="0" fontId="33" fillId="0" borderId="37" applyNumberFormat="0" applyFont="0" applyAlignment="0"/>
    <xf numFmtId="0" fontId="33" fillId="0" borderId="37" applyNumberFormat="0" applyFont="0" applyAlignment="0"/>
    <xf numFmtId="0" fontId="33" fillId="0" borderId="37" applyNumberFormat="0" applyFont="0" applyAlignment="0"/>
    <xf numFmtId="0" fontId="33" fillId="0" borderId="24" applyNumberFormat="0" applyFont="0" applyFill="0" applyAlignment="0" applyProtection="0"/>
    <xf numFmtId="0" fontId="33" fillId="0" borderId="24" applyNumberFormat="0" applyFont="0" applyFill="0" applyAlignment="0" applyProtection="0"/>
    <xf numFmtId="0" fontId="33" fillId="0" borderId="24" applyNumberFormat="0" applyFont="0" applyFill="0" applyAlignment="0" applyProtection="0"/>
    <xf numFmtId="0" fontId="33" fillId="0" borderId="24" applyNumberFormat="0" applyFont="0" applyFill="0" applyAlignment="0" applyProtection="0"/>
    <xf numFmtId="0" fontId="33" fillId="0" borderId="3" applyNumberFormat="0" applyFont="0" applyAlignment="0"/>
    <xf numFmtId="0" fontId="33" fillId="0" borderId="3" applyNumberFormat="0" applyFont="0" applyAlignment="0"/>
    <xf numFmtId="0" fontId="33" fillId="0" borderId="3" applyNumberFormat="0" applyFont="0" applyAlignment="0"/>
    <xf numFmtId="0" fontId="33" fillId="0" borderId="3" applyNumberFormat="0" applyFont="0" applyAlignment="0"/>
    <xf numFmtId="0" fontId="33" fillId="0" borderId="4" applyNumberFormat="0" applyFont="0" applyAlignment="0"/>
    <xf numFmtId="0" fontId="33" fillId="0" borderId="4" applyNumberFormat="0" applyFont="0" applyAlignment="0"/>
    <xf numFmtId="0" fontId="33" fillId="0" borderId="4" applyNumberFormat="0" applyFont="0" applyAlignment="0"/>
    <xf numFmtId="0" fontId="33" fillId="0" borderId="4" applyNumberFormat="0" applyFont="0" applyAlignment="0"/>
    <xf numFmtId="0" fontId="33" fillId="0" borderId="20" applyNumberFormat="0" applyFont="0" applyAlignment="0"/>
    <xf numFmtId="0" fontId="33" fillId="0" borderId="20" applyNumberFormat="0" applyFont="0" applyAlignment="0"/>
    <xf numFmtId="0" fontId="33" fillId="0" borderId="20" applyNumberFormat="0" applyFont="0" applyAlignment="0"/>
    <xf numFmtId="0" fontId="33" fillId="0" borderId="20" applyNumberFormat="0" applyFont="0" applyAlignment="0"/>
    <xf numFmtId="0" fontId="33" fillId="0" borderId="5" applyNumberFormat="0" applyFont="0" applyAlignment="0"/>
    <xf numFmtId="0" fontId="33" fillId="0" borderId="5" applyNumberFormat="0" applyFont="0" applyAlignment="0"/>
    <xf numFmtId="0" fontId="33" fillId="0" borderId="5" applyNumberFormat="0" applyFont="0" applyAlignment="0"/>
    <xf numFmtId="0" fontId="33" fillId="0" borderId="5" applyNumberFormat="0" applyFont="0" applyAlignment="0"/>
    <xf numFmtId="0" fontId="33" fillId="0" borderId="22" applyNumberFormat="0" applyFont="0" applyAlignment="0"/>
    <xf numFmtId="0" fontId="33" fillId="0" borderId="22" applyNumberFormat="0" applyFont="0" applyAlignment="0"/>
    <xf numFmtId="0" fontId="33" fillId="0" borderId="22" applyNumberFormat="0" applyFont="0" applyAlignment="0"/>
    <xf numFmtId="0" fontId="33" fillId="0" borderId="22" applyNumberFormat="0" applyFont="0" applyAlignment="0"/>
    <xf numFmtId="0" fontId="33" fillId="0" borderId="26" applyNumberFormat="0" applyFont="0" applyAlignment="0"/>
    <xf numFmtId="0" fontId="33" fillId="0" borderId="26" applyNumberFormat="0" applyFont="0" applyAlignment="0"/>
    <xf numFmtId="0" fontId="33" fillId="0" borderId="26" applyNumberFormat="0" applyFont="0" applyAlignment="0"/>
    <xf numFmtId="0" fontId="33" fillId="0" borderId="26" applyNumberFormat="0" applyFont="0" applyAlignment="0"/>
    <xf numFmtId="0" fontId="33" fillId="0" borderId="19" applyNumberFormat="0" applyFont="0" applyAlignment="0"/>
    <xf numFmtId="0" fontId="33" fillId="0" borderId="19" applyNumberFormat="0" applyFont="0" applyAlignment="0"/>
    <xf numFmtId="0" fontId="33" fillId="0" borderId="19" applyNumberFormat="0" applyFont="0" applyAlignment="0"/>
    <xf numFmtId="0" fontId="33" fillId="0" borderId="19" applyNumberFormat="0" applyFont="0" applyAlignment="0"/>
    <xf numFmtId="0" fontId="33" fillId="0" borderId="7" applyNumberFormat="0" applyFont="0" applyAlignment="0"/>
    <xf numFmtId="0" fontId="33" fillId="0" borderId="7" applyNumberFormat="0" applyFont="0" applyAlignment="0"/>
    <xf numFmtId="0" fontId="33" fillId="0" borderId="7" applyNumberFormat="0" applyFont="0" applyAlignment="0"/>
    <xf numFmtId="0" fontId="33" fillId="0" borderId="7" applyNumberFormat="0" applyFont="0" applyAlignment="0"/>
    <xf numFmtId="0" fontId="33" fillId="0" borderId="8" applyNumberFormat="0" applyFont="0" applyAlignment="0"/>
    <xf numFmtId="0" fontId="33" fillId="0" borderId="8" applyNumberFormat="0" applyFont="0" applyAlignment="0"/>
    <xf numFmtId="0" fontId="33" fillId="0" borderId="8" applyNumberFormat="0" applyFont="0" applyAlignment="0"/>
    <xf numFmtId="0" fontId="33" fillId="0" borderId="8" applyNumberFormat="0" applyFont="0" applyAlignment="0"/>
    <xf numFmtId="0" fontId="33" fillId="0" borderId="23" applyNumberFormat="0" applyFont="0" applyFill="0" applyAlignment="0" applyProtection="0"/>
    <xf numFmtId="0" fontId="33" fillId="0" borderId="23" applyNumberFormat="0" applyFont="0" applyFill="0" applyAlignment="0" applyProtection="0"/>
    <xf numFmtId="0" fontId="33" fillId="0" borderId="23" applyNumberFormat="0" applyFont="0" applyFill="0" applyAlignment="0" applyProtection="0"/>
    <xf numFmtId="0" fontId="33" fillId="0" borderId="23" applyNumberFormat="0" applyFont="0" applyFill="0" applyAlignment="0" applyProtection="0"/>
    <xf numFmtId="0" fontId="33" fillId="0" borderId="25" applyNumberFormat="0" applyFont="0" applyFill="0" applyAlignment="0" applyProtection="0"/>
    <xf numFmtId="0" fontId="33" fillId="0" borderId="25" applyNumberFormat="0" applyFont="0" applyFill="0" applyAlignment="0" applyProtection="0"/>
    <xf numFmtId="0" fontId="33" fillId="0" borderId="25" applyNumberFormat="0" applyFont="0" applyFill="0" applyAlignment="0" applyProtection="0"/>
    <xf numFmtId="0" fontId="33" fillId="0" borderId="25" applyNumberFormat="0" applyFont="0" applyFill="0" applyAlignment="0" applyProtection="0"/>
    <xf numFmtId="0" fontId="33" fillId="0" borderId="21" applyNumberFormat="0" applyFont="0" applyAlignment="0"/>
    <xf numFmtId="0" fontId="33" fillId="0" borderId="21" applyNumberFormat="0" applyFont="0" applyAlignment="0"/>
    <xf numFmtId="0" fontId="33" fillId="0" borderId="21" applyNumberFormat="0" applyFont="0" applyAlignment="0"/>
    <xf numFmtId="0" fontId="33" fillId="0" borderId="21" applyNumberFormat="0" applyFont="0" applyAlignment="0"/>
    <xf numFmtId="0" fontId="33" fillId="0" borderId="71" applyNumberFormat="0" applyFont="0" applyAlignment="0"/>
    <xf numFmtId="0" fontId="33" fillId="0" borderId="71" applyNumberFormat="0" applyFont="0" applyAlignment="0"/>
    <xf numFmtId="0" fontId="33" fillId="0" borderId="71" applyNumberFormat="0" applyFont="0" applyAlignment="0"/>
    <xf numFmtId="0" fontId="33" fillId="0" borderId="71" applyNumberFormat="0" applyFont="0" applyAlignment="0"/>
    <xf numFmtId="0" fontId="33" fillId="0" borderId="21" applyNumberFormat="0" applyFont="0" applyAlignment="0"/>
    <xf numFmtId="0" fontId="310" fillId="0" borderId="0"/>
    <xf numFmtId="359" fontId="31" fillId="0" borderId="0" applyBorder="0" applyProtection="0">
      <alignment horizontal="right"/>
    </xf>
    <xf numFmtId="0" fontId="75" fillId="0" borderId="0" applyNumberFormat="0" applyFill="0" applyBorder="0" applyAlignment="0" applyProtection="0"/>
    <xf numFmtId="0" fontId="70" fillId="0" borderId="0" applyNumberFormat="0" applyFill="0" applyBorder="0" applyAlignment="0" applyProtection="0"/>
    <xf numFmtId="40" fontId="300" fillId="0" borderId="0"/>
    <xf numFmtId="0" fontId="311" fillId="80" borderId="0"/>
    <xf numFmtId="0" fontId="312" fillId="80" borderId="0"/>
    <xf numFmtId="0" fontId="313" fillId="0" borderId="0" applyNumberFormat="0" applyFill="0" applyBorder="0" applyAlignment="0" applyProtection="0"/>
    <xf numFmtId="0" fontId="313" fillId="0" borderId="0" applyNumberFormat="0" applyFill="0" applyBorder="0" applyAlignment="0" applyProtection="0"/>
    <xf numFmtId="0" fontId="313" fillId="0" borderId="0" applyNumberFormat="0" applyFill="0" applyBorder="0" applyAlignment="0" applyProtection="0"/>
    <xf numFmtId="0" fontId="313" fillId="0" borderId="0" applyNumberFormat="0" applyFill="0" applyBorder="0" applyAlignment="0" applyProtection="0"/>
    <xf numFmtId="0" fontId="313" fillId="0" borderId="0" applyNumberFormat="0" applyFill="0" applyBorder="0" applyAlignment="0" applyProtection="0"/>
    <xf numFmtId="0" fontId="313" fillId="0" borderId="0" applyNumberFormat="0" applyFill="0" applyBorder="0" applyAlignment="0" applyProtection="0"/>
    <xf numFmtId="0" fontId="313" fillId="0" borderId="0" applyNumberFormat="0" applyFill="0" applyBorder="0" applyAlignment="0" applyProtection="0"/>
    <xf numFmtId="0" fontId="314" fillId="54" borderId="72">
      <alignment horizontal="left" vertical="center"/>
    </xf>
    <xf numFmtId="193" fontId="315" fillId="0" borderId="73"/>
    <xf numFmtId="193" fontId="316" fillId="0" borderId="0" applyNumberFormat="0" applyFill="0" applyBorder="0" applyAlignment="0" applyProtection="0"/>
    <xf numFmtId="0" fontId="62" fillId="0" borderId="0" applyBorder="0"/>
    <xf numFmtId="38" fontId="258" fillId="0" borderId="0" applyFill="0" applyBorder="0" applyAlignment="0" applyProtection="0">
      <alignment horizontal="left"/>
    </xf>
    <xf numFmtId="0" fontId="317" fillId="0" borderId="0"/>
    <xf numFmtId="0" fontId="309" fillId="0" borderId="0"/>
    <xf numFmtId="0" fontId="308" fillId="0" borderId="0"/>
    <xf numFmtId="0" fontId="30" fillId="0" borderId="0" applyFont="0" applyFill="0" applyBorder="0">
      <alignment horizontal="left"/>
    </xf>
    <xf numFmtId="0" fontId="149" fillId="0" borderId="74" applyNumberFormat="0" applyFill="0" applyAlignment="0" applyProtection="0"/>
    <xf numFmtId="0" fontId="149" fillId="0" borderId="74" applyNumberFormat="0" applyFill="0" applyAlignment="0" applyProtection="0"/>
    <xf numFmtId="0" fontId="149" fillId="0" borderId="74" applyNumberFormat="0" applyFill="0" applyAlignment="0" applyProtection="0"/>
    <xf numFmtId="0" fontId="149" fillId="0" borderId="74" applyNumberFormat="0" applyFill="0" applyAlignment="0" applyProtection="0"/>
    <xf numFmtId="0" fontId="149" fillId="0" borderId="74" applyNumberFormat="0" applyFill="0" applyAlignment="0" applyProtection="0"/>
    <xf numFmtId="0" fontId="149" fillId="0" borderId="74" applyNumberFormat="0" applyFill="0" applyAlignment="0" applyProtection="0"/>
    <xf numFmtId="0" fontId="149" fillId="0" borderId="74" applyNumberFormat="0" applyFill="0" applyAlignment="0" applyProtection="0"/>
    <xf numFmtId="302" fontId="194" fillId="0" borderId="75">
      <alignment horizontal="right" vertical="center"/>
    </xf>
    <xf numFmtId="0" fontId="214" fillId="0" borderId="48"/>
    <xf numFmtId="0" fontId="318" fillId="0" borderId="48"/>
    <xf numFmtId="0" fontId="214" fillId="0" borderId="43"/>
    <xf numFmtId="0" fontId="318" fillId="0" borderId="43"/>
    <xf numFmtId="38" fontId="62" fillId="0" borderId="0" applyFont="0" applyFill="0" applyBorder="0" applyAlignment="0" applyProtection="0"/>
    <xf numFmtId="40" fontId="62" fillId="0" borderId="0" applyFont="0" applyFill="0" applyBorder="0" applyAlignment="0" applyProtection="0"/>
    <xf numFmtId="2" fontId="30" fillId="55" borderId="20">
      <alignment horizontal="right" vertical="top"/>
    </xf>
    <xf numFmtId="360" fontId="30" fillId="0" borderId="0" applyBorder="0" applyProtection="0">
      <alignment horizontal="right"/>
    </xf>
    <xf numFmtId="40" fontId="76" fillId="0" borderId="0"/>
    <xf numFmtId="0" fontId="5" fillId="0" borderId="0"/>
    <xf numFmtId="0" fontId="5" fillId="0" borderId="0"/>
    <xf numFmtId="255" fontId="319" fillId="0" borderId="0">
      <alignment horizontal="left"/>
      <protection locked="0"/>
    </xf>
    <xf numFmtId="14" fontId="125" fillId="0" borderId="0" applyFont="0" applyFill="0" applyBorder="0" applyProtection="0">
      <alignment horizontal="right"/>
    </xf>
    <xf numFmtId="175" fontId="234" fillId="0" borderId="3" applyAlignment="0">
      <alignment horizontal="left"/>
      <protection locked="0"/>
    </xf>
    <xf numFmtId="0" fontId="125" fillId="0" borderId="3" applyNumberFormat="0" applyFont="0" applyFill="0" applyAlignment="0" applyProtection="0"/>
    <xf numFmtId="361" fontId="43" fillId="0" borderId="0">
      <alignment horizontal="centerContinuous" vertical="center"/>
    </xf>
    <xf numFmtId="0" fontId="35" fillId="0" borderId="0" applyFill="0" applyBorder="0">
      <alignment vertical="center"/>
    </xf>
    <xf numFmtId="353" fontId="33" fillId="0" borderId="0" applyNumberFormat="0" applyFill="0" applyBorder="0" applyAlignment="0" applyProtection="0"/>
    <xf numFmtId="193" fontId="30" fillId="43" borderId="34">
      <alignment horizontal="right"/>
    </xf>
    <xf numFmtId="193" fontId="31" fillId="43" borderId="34"/>
    <xf numFmtId="0" fontId="117" fillId="0" borderId="0"/>
    <xf numFmtId="0" fontId="211" fillId="81" borderId="76">
      <alignment horizontal="left"/>
    </xf>
    <xf numFmtId="362" fontId="62" fillId="0" borderId="0" applyFont="0" applyFill="0" applyBorder="0" applyAlignment="0" applyProtection="0"/>
    <xf numFmtId="363" fontId="62"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20" fillId="0" borderId="0" applyNumberFormat="0" applyFill="0" applyBorder="0" applyAlignment="0" applyProtection="0"/>
    <xf numFmtId="0" fontId="320" fillId="0" borderId="0" applyNumberFormat="0" applyFill="0" applyBorder="0" applyAlignment="0" applyProtection="0"/>
    <xf numFmtId="0" fontId="320" fillId="0" borderId="0" applyNumberFormat="0" applyFill="0" applyBorder="0" applyAlignment="0" applyProtection="0"/>
    <xf numFmtId="0" fontId="320" fillId="0" borderId="0" applyNumberFormat="0" applyFill="0" applyBorder="0" applyAlignment="0" applyProtection="0"/>
    <xf numFmtId="0" fontId="320" fillId="0" borderId="0" applyNumberFormat="0" applyFill="0" applyBorder="0" applyAlignment="0" applyProtection="0"/>
    <xf numFmtId="0" fontId="320" fillId="0" borderId="0" applyNumberFormat="0" applyFill="0" applyBorder="0" applyAlignment="0" applyProtection="0"/>
    <xf numFmtId="0" fontId="320" fillId="0" borderId="0" applyNumberFormat="0" applyFill="0" applyBorder="0" applyAlignment="0" applyProtection="0"/>
    <xf numFmtId="193" fontId="139" fillId="0" borderId="0" applyNumberFormat="0" applyFill="0" applyBorder="0" applyAlignment="0" applyProtection="0"/>
    <xf numFmtId="1" fontId="82" fillId="0" borderId="0" applyFont="0" applyFill="0" applyBorder="0" applyAlignment="0" applyProtection="0"/>
    <xf numFmtId="0" fontId="321" fillId="0" borderId="32" applyNumberFormat="0" applyFill="0" applyBorder="0" applyAlignment="0" applyProtection="0"/>
    <xf numFmtId="0" fontId="322" fillId="0" borderId="32" applyNumberFormat="0" applyFill="0" applyBorder="0" applyAlignment="0" applyProtection="0"/>
    <xf numFmtId="0" fontId="323" fillId="0" borderId="32" applyNumberFormat="0" applyFill="0" applyBorder="0" applyAlignment="0" applyProtection="0"/>
    <xf numFmtId="40" fontId="31" fillId="0" borderId="0">
      <alignment horizontal="left" wrapText="1"/>
    </xf>
    <xf numFmtId="0" fontId="324" fillId="0" borderId="59" applyFont="0" applyFill="0" applyBorder="0" applyAlignment="0" applyProtection="0">
      <alignment horizontal="center"/>
      <protection hidden="1"/>
    </xf>
    <xf numFmtId="0" fontId="39" fillId="0" borderId="0">
      <alignment horizontal="right"/>
    </xf>
    <xf numFmtId="0" fontId="39" fillId="0" borderId="0">
      <alignment horizontal="right"/>
    </xf>
    <xf numFmtId="0" fontId="39" fillId="0" borderId="0">
      <alignment horizontal="right"/>
    </xf>
    <xf numFmtId="0" fontId="39" fillId="0" borderId="0">
      <alignment horizontal="right"/>
    </xf>
    <xf numFmtId="0" fontId="39" fillId="0" borderId="0">
      <alignment horizontal="right"/>
    </xf>
    <xf numFmtId="0" fontId="39" fillId="0" borderId="0">
      <alignment horizontal="right"/>
    </xf>
    <xf numFmtId="0" fontId="39" fillId="0" borderId="0">
      <alignment horizontal="right"/>
    </xf>
    <xf numFmtId="0" fontId="39" fillId="0" borderId="0">
      <alignment horizontal="right"/>
    </xf>
    <xf numFmtId="0" fontId="39" fillId="0" borderId="0">
      <alignment horizontal="right"/>
    </xf>
    <xf numFmtId="0" fontId="210" fillId="0" borderId="0">
      <alignment horizontal="left"/>
    </xf>
    <xf numFmtId="0" fontId="33" fillId="0" borderId="3" applyFill="0" applyBorder="0" applyProtection="0">
      <alignment horizontal="center"/>
    </xf>
    <xf numFmtId="0" fontId="33" fillId="0" borderId="3" applyFill="0" applyBorder="0" applyProtection="0">
      <alignment horizontal="center"/>
    </xf>
    <xf numFmtId="0" fontId="33" fillId="0" borderId="3" applyFill="0" applyBorder="0" applyProtection="0">
      <alignment horizontal="center"/>
    </xf>
    <xf numFmtId="295" fontId="30" fillId="45" borderId="0" applyBorder="0" applyAlignment="0" applyProtection="0"/>
    <xf numFmtId="0" fontId="33" fillId="0" borderId="0" applyFont="0" applyFill="0" applyBorder="0" applyAlignment="0" applyProtection="0"/>
    <xf numFmtId="0" fontId="33" fillId="0" borderId="0" applyFont="0" applyFill="0" applyBorder="0" applyAlignment="0" applyProtection="0"/>
    <xf numFmtId="264" fontId="143" fillId="0" borderId="0" applyFont="0" applyFill="0" applyBorder="0" applyAlignment="0" applyProtection="0">
      <alignment horizontal="left"/>
    </xf>
    <xf numFmtId="0" fontId="82" fillId="0" borderId="0" applyFont="0" applyFill="0" applyBorder="0" applyAlignment="0" applyProtection="0">
      <alignment horizontal="right"/>
      <protection hidden="1"/>
    </xf>
    <xf numFmtId="164" fontId="75" fillId="0" borderId="0" applyFont="0" applyFill="0" applyBorder="0" applyAlignment="0" applyProtection="0"/>
    <xf numFmtId="165" fontId="75" fillId="0" borderId="0" applyFont="0" applyFill="0" applyBorder="0" applyAlignment="0" applyProtection="0"/>
    <xf numFmtId="0" fontId="325" fillId="0" borderId="0" applyFont="0" applyFill="0" applyBorder="0" applyAlignment="0" applyProtection="0"/>
    <xf numFmtId="0" fontId="325" fillId="0" borderId="0" applyFont="0" applyFill="0" applyBorder="0" applyAlignment="0" applyProtection="0"/>
    <xf numFmtId="0" fontId="325" fillId="0" borderId="0"/>
    <xf numFmtId="0" fontId="33" fillId="0" borderId="0"/>
    <xf numFmtId="43" fontId="33" fillId="0" borderId="0" applyFont="0" applyFill="0" applyBorder="0" applyAlignment="0" applyProtection="0"/>
    <xf numFmtId="191" fontId="326" fillId="0" borderId="0" applyFont="0" applyFill="0" applyBorder="0" applyAlignment="0" applyProtection="0"/>
    <xf numFmtId="165" fontId="33" fillId="0" borderId="0" applyFont="0" applyFill="0" applyBorder="0" applyAlignment="0" applyProtection="0"/>
    <xf numFmtId="0" fontId="33" fillId="0" borderId="0"/>
    <xf numFmtId="347" fontId="33" fillId="0" borderId="0" applyFont="0" applyFill="0" applyBorder="0" applyAlignment="0" applyProtection="0"/>
    <xf numFmtId="210" fontId="33" fillId="0" borderId="0" applyFont="0" applyFill="0" applyBorder="0" applyAlignment="0" applyProtection="0"/>
    <xf numFmtId="288" fontId="33" fillId="0" borderId="0" applyFont="0" applyFill="0" applyBorder="0" applyAlignment="0" applyProtection="0"/>
    <xf numFmtId="0" fontId="60" fillId="0" borderId="0" applyNumberFormat="0" applyFill="0" applyBorder="0" applyAlignment="0" applyProtection="0">
      <alignment vertical="top"/>
      <protection locked="0"/>
    </xf>
    <xf numFmtId="0" fontId="99"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332" fillId="0" borderId="0" applyNumberForma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342" fillId="0" borderId="0"/>
  </cellStyleXfs>
  <cellXfs count="1296">
    <xf numFmtId="0" fontId="0" fillId="0" borderId="0" xfId="0"/>
    <xf numFmtId="0" fontId="5" fillId="2" borderId="0" xfId="3" applyFont="1" applyFill="1"/>
    <xf numFmtId="0" fontId="6" fillId="2" borderId="0" xfId="3" applyFont="1" applyFill="1" applyAlignment="1">
      <alignment horizontal="right"/>
    </xf>
    <xf numFmtId="0" fontId="6" fillId="2" borderId="0" xfId="3" applyFont="1" applyFill="1"/>
    <xf numFmtId="0" fontId="7" fillId="0" borderId="0" xfId="0" applyFont="1"/>
    <xf numFmtId="165" fontId="7" fillId="0" borderId="0" xfId="0" applyNumberFormat="1" applyFont="1"/>
    <xf numFmtId="0" fontId="8" fillId="0" borderId="0" xfId="0" applyFont="1"/>
    <xf numFmtId="167" fontId="6" fillId="0" borderId="0" xfId="4" applyNumberFormat="1" applyFont="1" applyAlignment="1">
      <alignment horizontal="right"/>
    </xf>
    <xf numFmtId="168" fontId="12" fillId="0" borderId="0" xfId="4" applyNumberFormat="1" applyFont="1" applyAlignment="1">
      <alignment horizontal="right"/>
    </xf>
    <xf numFmtId="170" fontId="5" fillId="0" borderId="0" xfId="2" applyNumberFormat="1" applyFont="1" applyAlignment="1">
      <alignment horizontal="right"/>
    </xf>
    <xf numFmtId="0" fontId="8" fillId="3" borderId="0" xfId="0" applyFont="1" applyFill="1"/>
    <xf numFmtId="170" fontId="6" fillId="0" borderId="0" xfId="2" applyNumberFormat="1" applyFont="1" applyAlignment="1">
      <alignment horizontal="right"/>
    </xf>
    <xf numFmtId="169" fontId="7" fillId="0" borderId="0" xfId="1" applyNumberFormat="1" applyFont="1"/>
    <xf numFmtId="167" fontId="5" fillId="0" borderId="0" xfId="4" applyNumberFormat="1" applyFont="1" applyAlignment="1">
      <alignment horizontal="right"/>
    </xf>
    <xf numFmtId="167" fontId="12" fillId="0" borderId="0" xfId="4" applyNumberFormat="1" applyFont="1" applyAlignment="1">
      <alignment horizontal="right"/>
    </xf>
    <xf numFmtId="168" fontId="5" fillId="0" borderId="0" xfId="4" applyNumberFormat="1" applyFont="1" applyAlignment="1">
      <alignment horizontal="right"/>
    </xf>
    <xf numFmtId="9" fontId="5" fillId="0" borderId="0" xfId="2" applyFont="1" applyAlignment="1">
      <alignment horizontal="right"/>
    </xf>
    <xf numFmtId="167" fontId="7" fillId="0" borderId="0" xfId="0" applyNumberFormat="1" applyFont="1"/>
    <xf numFmtId="173" fontId="7" fillId="0" borderId="0" xfId="0" applyNumberFormat="1" applyFont="1"/>
    <xf numFmtId="170" fontId="7" fillId="0" borderId="0" xfId="2" applyNumberFormat="1" applyFont="1"/>
    <xf numFmtId="3" fontId="7" fillId="0" borderId="0" xfId="0" applyNumberFormat="1" applyFont="1"/>
    <xf numFmtId="0" fontId="13" fillId="0" borderId="0" xfId="0" applyFont="1"/>
    <xf numFmtId="9" fontId="7" fillId="0" borderId="0" xfId="2" applyFont="1"/>
    <xf numFmtId="174" fontId="7" fillId="0" borderId="0" xfId="0" applyNumberFormat="1" applyFont="1"/>
    <xf numFmtId="0" fontId="16" fillId="0" borderId="0" xfId="0" applyFont="1" applyAlignment="1">
      <alignment horizontal="center"/>
    </xf>
    <xf numFmtId="168" fontId="7" fillId="0" borderId="0" xfId="0" applyNumberFormat="1" applyFont="1"/>
    <xf numFmtId="175" fontId="7" fillId="0" borderId="0" xfId="0" applyNumberFormat="1" applyFont="1"/>
    <xf numFmtId="168" fontId="17" fillId="5" borderId="0" xfId="4" applyNumberFormat="1" applyFont="1" applyFill="1" applyAlignment="1">
      <alignment horizontal="right"/>
    </xf>
    <xf numFmtId="0" fontId="7" fillId="0" borderId="3" xfId="0" applyFont="1" applyBorder="1"/>
    <xf numFmtId="175" fontId="18" fillId="0" borderId="4" xfId="4" applyNumberFormat="1" applyFont="1" applyBorder="1" applyAlignment="1">
      <alignment horizontal="right"/>
    </xf>
    <xf numFmtId="175" fontId="18" fillId="0" borderId="3" xfId="4" applyNumberFormat="1" applyFont="1" applyBorder="1" applyAlignment="1">
      <alignment horizontal="right"/>
    </xf>
    <xf numFmtId="175" fontId="9" fillId="0" borderId="3" xfId="4" applyNumberFormat="1" applyFont="1" applyBorder="1" applyAlignment="1">
      <alignment horizontal="right"/>
    </xf>
    <xf numFmtId="171" fontId="7" fillId="0" borderId="3" xfId="0" applyNumberFormat="1" applyFont="1" applyBorder="1"/>
    <xf numFmtId="167" fontId="6" fillId="5" borderId="3" xfId="4" applyNumberFormat="1" applyFont="1" applyFill="1" applyBorder="1" applyAlignment="1">
      <alignment horizontal="right"/>
    </xf>
    <xf numFmtId="170" fontId="10" fillId="0" borderId="0" xfId="0" applyNumberFormat="1" applyFont="1"/>
    <xf numFmtId="170" fontId="10" fillId="0" borderId="0" xfId="2" applyNumberFormat="1" applyFont="1"/>
    <xf numFmtId="170" fontId="10" fillId="0" borderId="0" xfId="2" applyNumberFormat="1" applyFont="1" applyBorder="1"/>
    <xf numFmtId="170" fontId="10" fillId="5" borderId="0" xfId="2" applyNumberFormat="1" applyFont="1" applyFill="1"/>
    <xf numFmtId="170" fontId="7" fillId="0" borderId="0" xfId="2" applyNumberFormat="1" applyFont="1" applyBorder="1"/>
    <xf numFmtId="166" fontId="7" fillId="0" borderId="0" xfId="0" applyNumberFormat="1" applyFont="1"/>
    <xf numFmtId="0" fontId="7" fillId="5" borderId="0" xfId="0" applyFont="1" applyFill="1"/>
    <xf numFmtId="167" fontId="18" fillId="0" borderId="0" xfId="4" applyNumberFormat="1" applyFont="1" applyBorder="1" applyAlignment="1">
      <alignment horizontal="right"/>
    </xf>
    <xf numFmtId="167" fontId="18" fillId="0" borderId="0" xfId="4" applyNumberFormat="1" applyFont="1" applyAlignment="1">
      <alignment horizontal="right"/>
    </xf>
    <xf numFmtId="167" fontId="6" fillId="0" borderId="0" xfId="4" applyNumberFormat="1" applyFont="1" applyBorder="1" applyAlignment="1">
      <alignment horizontal="right"/>
    </xf>
    <xf numFmtId="166" fontId="8" fillId="0" borderId="0" xfId="0" applyNumberFormat="1" applyFont="1"/>
    <xf numFmtId="167" fontId="6" fillId="6" borderId="0" xfId="4" applyNumberFormat="1" applyFont="1" applyFill="1" applyAlignment="1">
      <alignment horizontal="right"/>
    </xf>
    <xf numFmtId="167" fontId="6" fillId="5" borderId="0" xfId="4" applyNumberFormat="1" applyFont="1" applyFill="1" applyAlignment="1">
      <alignment horizontal="right"/>
    </xf>
    <xf numFmtId="170" fontId="7" fillId="5" borderId="0" xfId="2" applyNumberFormat="1" applyFont="1" applyFill="1"/>
    <xf numFmtId="167" fontId="12" fillId="0" borderId="0" xfId="4" applyNumberFormat="1" applyFont="1" applyBorder="1" applyAlignment="1">
      <alignment horizontal="right"/>
    </xf>
    <xf numFmtId="167" fontId="19" fillId="0" borderId="0" xfId="4" applyNumberFormat="1" applyFont="1" applyBorder="1" applyAlignment="1">
      <alignment horizontal="right"/>
    </xf>
    <xf numFmtId="167" fontId="12" fillId="6" borderId="0" xfId="4" applyNumberFormat="1" applyFont="1" applyFill="1" applyAlignment="1">
      <alignment horizontal="right"/>
    </xf>
    <xf numFmtId="167" fontId="5" fillId="5" borderId="0" xfId="4" applyNumberFormat="1" applyFont="1" applyFill="1" applyAlignment="1">
      <alignment horizontal="right"/>
    </xf>
    <xf numFmtId="0" fontId="10" fillId="0" borderId="0" xfId="0" quotePrefix="1" applyFont="1"/>
    <xf numFmtId="170" fontId="10" fillId="0" borderId="0" xfId="2" quotePrefix="1" applyNumberFormat="1" applyFont="1" applyBorder="1"/>
    <xf numFmtId="170" fontId="10" fillId="0" borderId="0" xfId="2" quotePrefix="1" applyNumberFormat="1" applyFont="1"/>
    <xf numFmtId="170" fontId="10" fillId="5" borderId="0" xfId="2" quotePrefix="1" applyNumberFormat="1" applyFont="1" applyFill="1"/>
    <xf numFmtId="9" fontId="11" fillId="0" borderId="0" xfId="2" applyFont="1" applyAlignment="1">
      <alignment horizontal="right"/>
    </xf>
    <xf numFmtId="170" fontId="11" fillId="0" borderId="0" xfId="2" applyNumberFormat="1" applyFont="1" applyAlignment="1">
      <alignment horizontal="right"/>
    </xf>
    <xf numFmtId="170" fontId="11" fillId="5" borderId="0" xfId="2" applyNumberFormat="1" applyFont="1" applyFill="1" applyAlignment="1">
      <alignment horizontal="right"/>
    </xf>
    <xf numFmtId="167" fontId="5" fillId="0" borderId="0" xfId="4" applyNumberFormat="1" applyFont="1" applyBorder="1" applyAlignment="1">
      <alignment horizontal="right"/>
    </xf>
    <xf numFmtId="170" fontId="20" fillId="0" borderId="0" xfId="2" quotePrefix="1" applyNumberFormat="1" applyFont="1" applyBorder="1"/>
    <xf numFmtId="0" fontId="8" fillId="0" borderId="6" xfId="0" applyFont="1" applyBorder="1"/>
    <xf numFmtId="167" fontId="6" fillId="0" borderId="7" xfId="4" applyNumberFormat="1" applyFont="1" applyBorder="1" applyAlignment="1">
      <alignment horizontal="right"/>
    </xf>
    <xf numFmtId="167" fontId="6" fillId="0" borderId="6" xfId="4" applyNumberFormat="1" applyFont="1" applyBorder="1" applyAlignment="1">
      <alignment horizontal="right"/>
    </xf>
    <xf numFmtId="167" fontId="6" fillId="0" borderId="8" xfId="4" applyNumberFormat="1" applyFont="1" applyBorder="1" applyAlignment="1">
      <alignment horizontal="right"/>
    </xf>
    <xf numFmtId="0" fontId="7" fillId="0" borderId="6" xfId="0" applyFont="1" applyBorder="1"/>
    <xf numFmtId="167" fontId="6" fillId="5" borderId="6" xfId="4" applyNumberFormat="1" applyFont="1" applyFill="1" applyBorder="1" applyAlignment="1">
      <alignment horizontal="right"/>
    </xf>
    <xf numFmtId="0" fontId="8" fillId="0" borderId="9" xfId="0" applyFont="1" applyBorder="1"/>
    <xf numFmtId="167" fontId="6" fillId="0" borderId="10" xfId="4" applyNumberFormat="1" applyFont="1" applyBorder="1" applyAlignment="1">
      <alignment horizontal="right"/>
    </xf>
    <xf numFmtId="167" fontId="6" fillId="0" borderId="9" xfId="4" applyNumberFormat="1" applyFont="1" applyBorder="1" applyAlignment="1">
      <alignment horizontal="right"/>
    </xf>
    <xf numFmtId="167" fontId="6" fillId="0" borderId="11" xfId="4" applyNumberFormat="1" applyFont="1" applyBorder="1" applyAlignment="1">
      <alignment horizontal="right"/>
    </xf>
    <xf numFmtId="167" fontId="6" fillId="5" borderId="9" xfId="4" applyNumberFormat="1" applyFont="1" applyFill="1" applyBorder="1" applyAlignment="1">
      <alignment horizontal="right"/>
    </xf>
    <xf numFmtId="0" fontId="10" fillId="0" borderId="0" xfId="0" applyFont="1" applyAlignment="1">
      <alignment horizontal="left"/>
    </xf>
    <xf numFmtId="9" fontId="11" fillId="0" borderId="0" xfId="2" applyFont="1" applyBorder="1" applyAlignment="1">
      <alignment horizontal="right"/>
    </xf>
    <xf numFmtId="170" fontId="11" fillId="0" borderId="0" xfId="2" applyNumberFormat="1" applyFont="1" applyBorder="1" applyAlignment="1">
      <alignment horizontal="right"/>
    </xf>
    <xf numFmtId="1" fontId="13" fillId="0" borderId="0" xfId="0" applyNumberFormat="1" applyFont="1"/>
    <xf numFmtId="1" fontId="7" fillId="0" borderId="0" xfId="0" applyNumberFormat="1" applyFont="1"/>
    <xf numFmtId="1" fontId="7" fillId="0" borderId="0" xfId="0" applyNumberFormat="1" applyFont="1" applyAlignment="1">
      <alignment horizontal="right"/>
    </xf>
    <xf numFmtId="9" fontId="7" fillId="0" borderId="0" xfId="2" applyFont="1" applyBorder="1"/>
    <xf numFmtId="169" fontId="7" fillId="5" borderId="0" xfId="1" applyNumberFormat="1" applyFont="1" applyFill="1"/>
    <xf numFmtId="0" fontId="8" fillId="0" borderId="12" xfId="0" applyFont="1" applyBorder="1"/>
    <xf numFmtId="167" fontId="6" fillId="0" borderId="13" xfId="4" applyNumberFormat="1" applyFont="1" applyBorder="1" applyAlignment="1">
      <alignment horizontal="right"/>
    </xf>
    <xf numFmtId="167" fontId="6" fillId="0" borderId="12" xfId="4" applyNumberFormat="1" applyFont="1" applyBorder="1" applyAlignment="1">
      <alignment horizontal="right"/>
    </xf>
    <xf numFmtId="167" fontId="6" fillId="0" borderId="14" xfId="4" applyNumberFormat="1" applyFont="1" applyBorder="1" applyAlignment="1">
      <alignment horizontal="right"/>
    </xf>
    <xf numFmtId="0" fontId="7" fillId="0" borderId="12" xfId="0" applyFont="1" applyBorder="1"/>
    <xf numFmtId="167" fontId="6" fillId="5" borderId="12" xfId="4" applyNumberFormat="1" applyFont="1" applyFill="1" applyBorder="1" applyAlignment="1">
      <alignment horizontal="right"/>
    </xf>
    <xf numFmtId="1" fontId="14" fillId="0" borderId="0" xfId="0" applyNumberFormat="1" applyFont="1"/>
    <xf numFmtId="0" fontId="7" fillId="0" borderId="0" xfId="0" applyFont="1" applyAlignment="1">
      <alignment horizontal="left" indent="1"/>
    </xf>
    <xf numFmtId="1" fontId="21" fillId="6" borderId="0" xfId="0" applyNumberFormat="1" applyFont="1" applyFill="1"/>
    <xf numFmtId="167" fontId="17" fillId="5" borderId="0" xfId="4" applyNumberFormat="1" applyFont="1" applyFill="1" applyAlignment="1">
      <alignment horizontal="right"/>
    </xf>
    <xf numFmtId="1" fontId="21" fillId="0" borderId="0" xfId="0" applyNumberFormat="1" applyFont="1"/>
    <xf numFmtId="9" fontId="22" fillId="0" borderId="0" xfId="2" applyFont="1" applyBorder="1" applyAlignment="1">
      <alignment horizontal="right"/>
    </xf>
    <xf numFmtId="9" fontId="11" fillId="5" borderId="0" xfId="2" applyFont="1" applyFill="1" applyAlignment="1">
      <alignment horizontal="right"/>
    </xf>
    <xf numFmtId="0" fontId="8" fillId="5" borderId="0" xfId="0" applyFont="1" applyFill="1"/>
    <xf numFmtId="168" fontId="12"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70" fontId="6" fillId="0" borderId="0" xfId="2" applyNumberFormat="1" applyFont="1" applyBorder="1" applyAlignment="1">
      <alignment horizontal="right"/>
    </xf>
    <xf numFmtId="170" fontId="6" fillId="5" borderId="0" xfId="2" applyNumberFormat="1" applyFont="1" applyFill="1" applyAlignment="1">
      <alignment horizontal="right"/>
    </xf>
    <xf numFmtId="167" fontId="5" fillId="0" borderId="0" xfId="4" applyNumberFormat="1" applyFont="1" applyFill="1" applyAlignment="1">
      <alignment horizontal="right"/>
    </xf>
    <xf numFmtId="168" fontId="13" fillId="0" borderId="0" xfId="0" applyNumberFormat="1" applyFont="1"/>
    <xf numFmtId="168" fontId="12" fillId="0" borderId="0" xfId="4" applyNumberFormat="1" applyFont="1" applyBorder="1" applyAlignment="1">
      <alignment horizontal="right"/>
    </xf>
    <xf numFmtId="168" fontId="5" fillId="0" borderId="0" xfId="4" applyNumberFormat="1" applyFont="1" applyBorder="1" applyAlignment="1">
      <alignment horizontal="right"/>
    </xf>
    <xf numFmtId="168" fontId="18" fillId="0" borderId="0" xfId="4" applyNumberFormat="1" applyFont="1" applyAlignment="1">
      <alignment horizontal="right"/>
    </xf>
    <xf numFmtId="168" fontId="6" fillId="5" borderId="0" xfId="4" applyNumberFormat="1" applyFont="1" applyFill="1" applyAlignment="1">
      <alignment horizontal="right"/>
    </xf>
    <xf numFmtId="0" fontId="7" fillId="3" borderId="0" xfId="0" applyFont="1" applyFill="1"/>
    <xf numFmtId="170" fontId="14" fillId="0" borderId="0" xfId="0" applyNumberFormat="1" applyFont="1"/>
    <xf numFmtId="172" fontId="7" fillId="0" borderId="0" xfId="1" applyNumberFormat="1" applyFont="1" applyBorder="1"/>
    <xf numFmtId="0" fontId="24" fillId="2" borderId="0" xfId="3" applyFont="1" applyFill="1"/>
    <xf numFmtId="0" fontId="25" fillId="2" borderId="0" xfId="3" applyFont="1" applyFill="1" applyAlignment="1">
      <alignment horizontal="right"/>
    </xf>
    <xf numFmtId="0" fontId="25" fillId="2" borderId="0" xfId="3" applyFont="1" applyFill="1"/>
    <xf numFmtId="0" fontId="24" fillId="0" borderId="0" xfId="0" applyFont="1"/>
    <xf numFmtId="175" fontId="19" fillId="0" borderId="0" xfId="0" applyNumberFormat="1" applyFont="1"/>
    <xf numFmtId="168" fontId="24" fillId="0" borderId="0" xfId="0" applyNumberFormat="1" applyFont="1"/>
    <xf numFmtId="3" fontId="24" fillId="0" borderId="0" xfId="0" applyNumberFormat="1" applyFont="1"/>
    <xf numFmtId="172" fontId="24" fillId="0" borderId="0" xfId="0" applyNumberFormat="1" applyFont="1"/>
    <xf numFmtId="0" fontId="26" fillId="0" borderId="0" xfId="0" applyFont="1"/>
    <xf numFmtId="0" fontId="25" fillId="0" borderId="15" xfId="0" applyFont="1" applyBorder="1" applyAlignment="1">
      <alignment horizontal="left" vertical="center" wrapText="1"/>
    </xf>
    <xf numFmtId="3" fontId="25" fillId="0" borderId="16" xfId="0" applyNumberFormat="1" applyFont="1" applyBorder="1" applyAlignment="1">
      <alignment horizontal="left" vertical="center" wrapText="1"/>
    </xf>
    <xf numFmtId="0" fontId="25" fillId="0" borderId="17" xfId="0" applyFont="1" applyBorder="1" applyAlignment="1">
      <alignment horizontal="left" vertical="center" wrapText="1"/>
    </xf>
    <xf numFmtId="0" fontId="25" fillId="0" borderId="16" xfId="0" applyFont="1" applyBorder="1" applyAlignment="1">
      <alignment horizontal="left" vertical="center" wrapText="1"/>
    </xf>
    <xf numFmtId="0" fontId="24" fillId="0" borderId="15" xfId="0" applyFont="1" applyBorder="1"/>
    <xf numFmtId="3" fontId="24" fillId="0" borderId="0" xfId="1" applyNumberFormat="1" applyFont="1" applyBorder="1" applyAlignment="1"/>
    <xf numFmtId="167" fontId="5" fillId="0" borderId="0" xfId="1" applyNumberFormat="1" applyFont="1" applyAlignment="1">
      <alignment horizontal="right"/>
    </xf>
    <xf numFmtId="0" fontId="24" fillId="0" borderId="0" xfId="0" applyFont="1" applyAlignment="1">
      <alignment horizontal="left"/>
    </xf>
    <xf numFmtId="3" fontId="19" fillId="0" borderId="0" xfId="0" applyNumberFormat="1" applyFont="1" applyAlignment="1">
      <alignment horizontal="right"/>
    </xf>
    <xf numFmtId="3" fontId="24" fillId="0" borderId="0" xfId="1" applyNumberFormat="1" applyFont="1" applyBorder="1" applyAlignment="1">
      <alignment horizontal="right"/>
    </xf>
    <xf numFmtId="0" fontId="25" fillId="0" borderId="0" xfId="0" applyFont="1"/>
    <xf numFmtId="3" fontId="25" fillId="5" borderId="0" xfId="0" applyNumberFormat="1" applyFont="1" applyFill="1"/>
    <xf numFmtId="3" fontId="25" fillId="0" borderId="0" xfId="0" applyNumberFormat="1" applyFont="1"/>
    <xf numFmtId="167" fontId="6" fillId="0" borderId="0" xfId="1" applyNumberFormat="1" applyFont="1" applyAlignment="1">
      <alignment horizontal="right"/>
    </xf>
    <xf numFmtId="1" fontId="25" fillId="0" borderId="0" xfId="0" applyNumberFormat="1" applyFont="1"/>
    <xf numFmtId="1" fontId="24" fillId="0" borderId="0" xfId="0" applyNumberFormat="1" applyFont="1"/>
    <xf numFmtId="169" fontId="19" fillId="0" borderId="0" xfId="1" applyNumberFormat="1" applyFont="1" applyBorder="1"/>
    <xf numFmtId="169" fontId="17" fillId="0" borderId="0" xfId="1" applyNumberFormat="1" applyFont="1" applyBorder="1"/>
    <xf numFmtId="170" fontId="24" fillId="0" borderId="0" xfId="2" applyNumberFormat="1" applyFont="1"/>
    <xf numFmtId="0" fontId="24" fillId="0" borderId="0" xfId="0" applyFont="1" applyAlignment="1">
      <alignment horizontal="left" vertical="center" wrapText="1"/>
    </xf>
    <xf numFmtId="9" fontId="24" fillId="5" borderId="0" xfId="2" applyFont="1" applyFill="1" applyBorder="1" applyAlignment="1">
      <alignment horizontal="right" vertical="center" wrapText="1"/>
    </xf>
    <xf numFmtId="9" fontId="24" fillId="0" borderId="0" xfId="0" applyNumberFormat="1" applyFont="1" applyAlignment="1">
      <alignment horizontal="right" vertical="center" wrapText="1"/>
    </xf>
    <xf numFmtId="0" fontId="25" fillId="0" borderId="0" xfId="0" applyFont="1" applyAlignment="1">
      <alignment horizontal="left" vertical="center" wrapText="1"/>
    </xf>
    <xf numFmtId="9" fontId="12" fillId="5" borderId="0" xfId="2" applyFont="1" applyFill="1" applyBorder="1" applyAlignment="1">
      <alignment horizontal="right"/>
    </xf>
    <xf numFmtId="9" fontId="24" fillId="0" borderId="0" xfId="0" applyNumberFormat="1" applyFont="1"/>
    <xf numFmtId="9" fontId="17" fillId="0" borderId="0" xfId="2" applyFont="1" applyAlignment="1">
      <alignment horizontal="right"/>
    </xf>
    <xf numFmtId="9" fontId="17" fillId="5" borderId="0" xfId="0" applyNumberFormat="1" applyFont="1" applyFill="1" applyAlignment="1">
      <alignment horizontal="right"/>
    </xf>
    <xf numFmtId="9" fontId="24" fillId="0" borderId="0" xfId="0" applyNumberFormat="1" applyFont="1" applyAlignment="1">
      <alignment horizontal="right"/>
    </xf>
    <xf numFmtId="0" fontId="24" fillId="0" borderId="0" xfId="0" quotePrefix="1" applyFont="1"/>
    <xf numFmtId="170" fontId="24" fillId="5" borderId="0" xfId="2" quotePrefix="1" applyNumberFormat="1" applyFont="1" applyFill="1" applyBorder="1"/>
    <xf numFmtId="170" fontId="17" fillId="0" borderId="0" xfId="2" quotePrefix="1" applyNumberFormat="1" applyFont="1" applyBorder="1"/>
    <xf numFmtId="0" fontId="27" fillId="0" borderId="0" xfId="0" applyFont="1"/>
    <xf numFmtId="9" fontId="22" fillId="0" borderId="0" xfId="2" applyFont="1" applyAlignment="1">
      <alignment horizontal="right"/>
    </xf>
    <xf numFmtId="0" fontId="25" fillId="3" borderId="0" xfId="0" applyFont="1" applyFill="1"/>
    <xf numFmtId="169" fontId="9" fillId="3" borderId="0" xfId="1" applyNumberFormat="1" applyFont="1" applyFill="1" applyBorder="1"/>
    <xf numFmtId="169" fontId="25" fillId="3" borderId="0" xfId="1" applyNumberFormat="1" applyFont="1" applyFill="1" applyBorder="1"/>
    <xf numFmtId="9" fontId="12" fillId="0" borderId="0" xfId="0" applyNumberFormat="1" applyFont="1"/>
    <xf numFmtId="9" fontId="17" fillId="0" borderId="0" xfId="0" applyNumberFormat="1" applyFont="1"/>
    <xf numFmtId="9" fontId="17" fillId="0" borderId="0" xfId="2" applyFont="1"/>
    <xf numFmtId="9" fontId="24" fillId="5" borderId="0" xfId="2" applyFont="1" applyFill="1" applyBorder="1"/>
    <xf numFmtId="9" fontId="24" fillId="0" borderId="0" xfId="2" applyFont="1"/>
    <xf numFmtId="170" fontId="25" fillId="0" borderId="0" xfId="2" applyNumberFormat="1" applyFont="1" applyBorder="1"/>
    <xf numFmtId="9" fontId="25" fillId="0" borderId="0" xfId="2" applyFont="1"/>
    <xf numFmtId="9" fontId="26" fillId="0" borderId="0" xfId="2" applyFont="1"/>
    <xf numFmtId="3" fontId="25" fillId="0" borderId="0" xfId="1" applyNumberFormat="1" applyFont="1" applyBorder="1"/>
    <xf numFmtId="172" fontId="25" fillId="0" borderId="0" xfId="0" applyNumberFormat="1" applyFont="1"/>
    <xf numFmtId="167" fontId="25" fillId="0" borderId="0" xfId="0" applyNumberFormat="1" applyFont="1"/>
    <xf numFmtId="3" fontId="24" fillId="0" borderId="0" xfId="1" quotePrefix="1" applyNumberFormat="1" applyFont="1" applyBorder="1"/>
    <xf numFmtId="172" fontId="5" fillId="0" borderId="0" xfId="1" applyNumberFormat="1" applyFont="1" applyAlignment="1">
      <alignment horizontal="right"/>
    </xf>
    <xf numFmtId="0" fontId="27" fillId="0" borderId="0" xfId="0" quotePrefix="1" applyFont="1"/>
    <xf numFmtId="3" fontId="27" fillId="0" borderId="0" xfId="0" quotePrefix="1" applyNumberFormat="1" applyFont="1"/>
    <xf numFmtId="3" fontId="25" fillId="5" borderId="0" xfId="0" quotePrefix="1" applyNumberFormat="1" applyFont="1" applyFill="1"/>
    <xf numFmtId="3" fontId="24" fillId="5" borderId="0" xfId="0" quotePrefix="1" applyNumberFormat="1" applyFont="1" applyFill="1"/>
    <xf numFmtId="3" fontId="24" fillId="0" borderId="0" xfId="0" quotePrefix="1" applyNumberFormat="1" applyFont="1"/>
    <xf numFmtId="172" fontId="24" fillId="0" borderId="0" xfId="1" applyNumberFormat="1" applyFont="1" applyBorder="1"/>
    <xf numFmtId="170" fontId="27" fillId="0" borderId="0" xfId="2" applyNumberFormat="1" applyFont="1" applyBorder="1"/>
    <xf numFmtId="170" fontId="22" fillId="0" borderId="0" xfId="0" applyNumberFormat="1" applyFont="1"/>
    <xf numFmtId="171" fontId="24" fillId="5" borderId="0" xfId="0" applyNumberFormat="1" applyFont="1" applyFill="1"/>
    <xf numFmtId="171" fontId="24" fillId="0" borderId="0" xfId="0" applyNumberFormat="1" applyFont="1"/>
    <xf numFmtId="0" fontId="28" fillId="3" borderId="0" xfId="0" applyFont="1" applyFill="1"/>
    <xf numFmtId="172" fontId="29" fillId="0" borderId="0" xfId="1" applyNumberFormat="1" applyFont="1" applyBorder="1"/>
    <xf numFmtId="172" fontId="7" fillId="0" borderId="0" xfId="1" applyNumberFormat="1" applyFont="1"/>
    <xf numFmtId="10" fontId="14" fillId="5" borderId="0" xfId="0" applyNumberFormat="1" applyFont="1" applyFill="1"/>
    <xf numFmtId="172" fontId="8" fillId="5" borderId="0" xfId="1" applyNumberFormat="1" applyFont="1" applyFill="1"/>
    <xf numFmtId="0" fontId="7" fillId="6" borderId="0" xfId="0" applyFont="1" applyFill="1"/>
    <xf numFmtId="0" fontId="7" fillId="6" borderId="0" xfId="0" quotePrefix="1" applyFont="1" applyFill="1"/>
    <xf numFmtId="1" fontId="7" fillId="6" borderId="0" xfId="0" applyNumberFormat="1" applyFont="1" applyFill="1"/>
    <xf numFmtId="1" fontId="7" fillId="6" borderId="0" xfId="1" applyNumberFormat="1" applyFont="1" applyFill="1"/>
    <xf numFmtId="169" fontId="8" fillId="5" borderId="0" xfId="1" applyNumberFormat="1" applyFont="1" applyFill="1"/>
    <xf numFmtId="169" fontId="8" fillId="5" borderId="0" xfId="0" applyNumberFormat="1" applyFont="1" applyFill="1"/>
    <xf numFmtId="0" fontId="30" fillId="2" borderId="0" xfId="3" applyFont="1" applyFill="1"/>
    <xf numFmtId="0" fontId="31" fillId="2" borderId="0" xfId="3" applyFont="1" applyFill="1" applyAlignment="1">
      <alignment horizontal="right"/>
    </xf>
    <xf numFmtId="0" fontId="31" fillId="2" borderId="0" xfId="3" applyFont="1" applyFill="1"/>
    <xf numFmtId="0" fontId="32" fillId="0" borderId="0" xfId="0" applyFont="1"/>
    <xf numFmtId="0" fontId="34" fillId="9" borderId="18" xfId="5" applyFont="1" applyFill="1" applyBorder="1"/>
    <xf numFmtId="176" fontId="32" fillId="0" borderId="0" xfId="1" applyNumberFormat="1" applyFont="1"/>
    <xf numFmtId="169" fontId="32" fillId="0" borderId="0" xfId="1" applyNumberFormat="1" applyFont="1"/>
    <xf numFmtId="167" fontId="30" fillId="0" borderId="0" xfId="4" applyNumberFormat="1" applyFont="1" applyAlignment="1">
      <alignment horizontal="right"/>
    </xf>
    <xf numFmtId="167" fontId="31" fillId="0" borderId="0" xfId="4" applyNumberFormat="1" applyFont="1" applyAlignment="1">
      <alignment horizontal="right"/>
    </xf>
    <xf numFmtId="168" fontId="30" fillId="0" borderId="0" xfId="4" applyNumberFormat="1" applyFont="1" applyAlignment="1">
      <alignment horizontal="right"/>
    </xf>
    <xf numFmtId="0" fontId="36" fillId="0" borderId="0" xfId="0" applyFont="1"/>
    <xf numFmtId="168" fontId="31" fillId="0" borderId="0" xfId="4" applyNumberFormat="1" applyFont="1" applyAlignment="1">
      <alignment horizontal="right"/>
    </xf>
    <xf numFmtId="169" fontId="30" fillId="0" borderId="0" xfId="1" applyNumberFormat="1" applyFont="1" applyAlignment="1">
      <alignment horizontal="right"/>
    </xf>
    <xf numFmtId="173" fontId="30" fillId="0" borderId="0" xfId="4" applyNumberFormat="1" applyFont="1" applyAlignment="1">
      <alignment horizontal="right"/>
    </xf>
    <xf numFmtId="0" fontId="37" fillId="0" borderId="0" xfId="0" applyFont="1" applyAlignment="1">
      <alignment horizontal="center"/>
    </xf>
    <xf numFmtId="9" fontId="38" fillId="0" borderId="0" xfId="2" applyFont="1" applyFill="1" applyBorder="1"/>
    <xf numFmtId="0" fontId="39" fillId="2" borderId="19" xfId="0" applyFont="1" applyFill="1" applyBorder="1"/>
    <xf numFmtId="0" fontId="40" fillId="2" borderId="19" xfId="0" applyFont="1" applyFill="1" applyBorder="1"/>
    <xf numFmtId="49" fontId="42" fillId="10" borderId="20" xfId="0" applyNumberFormat="1" applyFont="1" applyFill="1" applyBorder="1" applyAlignment="1">
      <alignment horizontal="right" wrapText="1"/>
    </xf>
    <xf numFmtId="3" fontId="0" fillId="0" borderId="0" xfId="0" applyNumberFormat="1"/>
    <xf numFmtId="177" fontId="43" fillId="0" borderId="0" xfId="0" applyNumberFormat="1" applyFont="1"/>
    <xf numFmtId="167" fontId="2" fillId="0" borderId="0" xfId="0" applyNumberFormat="1" applyFont="1" applyAlignment="1">
      <alignment horizontal="right"/>
    </xf>
    <xf numFmtId="177" fontId="45" fillId="0" borderId="0" xfId="0" applyNumberFormat="1" applyFont="1" applyAlignment="1">
      <alignment vertical="center"/>
    </xf>
    <xf numFmtId="1" fontId="0" fillId="0" borderId="0" xfId="0" applyNumberFormat="1"/>
    <xf numFmtId="175" fontId="0" fillId="0" borderId="0" xfId="0" applyNumberFormat="1"/>
    <xf numFmtId="177" fontId="46" fillId="0" borderId="0" xfId="0" quotePrefix="1" applyNumberFormat="1" applyFont="1" applyAlignment="1">
      <alignment vertical="center"/>
    </xf>
    <xf numFmtId="177" fontId="47" fillId="0" borderId="0" xfId="0" applyNumberFormat="1" applyFont="1" applyAlignment="1">
      <alignment vertical="center"/>
    </xf>
    <xf numFmtId="171" fontId="0" fillId="0" borderId="0" xfId="0" applyNumberFormat="1"/>
    <xf numFmtId="0" fontId="0" fillId="0" borderId="3" xfId="0" applyBorder="1"/>
    <xf numFmtId="174" fontId="0" fillId="0" borderId="3" xfId="0" applyNumberFormat="1" applyBorder="1"/>
    <xf numFmtId="170" fontId="48" fillId="0" borderId="0" xfId="7" applyNumberFormat="1" applyFont="1" applyFill="1" applyBorder="1"/>
    <xf numFmtId="0" fontId="18" fillId="2" borderId="0" xfId="3" applyFont="1" applyFill="1" applyAlignment="1">
      <alignment horizontal="right"/>
    </xf>
    <xf numFmtId="0" fontId="8" fillId="0" borderId="21" xfId="0" applyFont="1" applyBorder="1"/>
    <xf numFmtId="167" fontId="6" fillId="0" borderId="21" xfId="4" applyNumberFormat="1" applyFont="1" applyBorder="1" applyAlignment="1">
      <alignment horizontal="right"/>
    </xf>
    <xf numFmtId="0" fontId="20" fillId="0" borderId="0" xfId="0" applyFont="1"/>
    <xf numFmtId="167" fontId="22" fillId="0" borderId="0" xfId="4" applyNumberFormat="1" applyFont="1" applyAlignment="1">
      <alignment horizontal="right"/>
    </xf>
    <xf numFmtId="167" fontId="19" fillId="0" borderId="0" xfId="4" applyNumberFormat="1" applyFont="1" applyAlignment="1">
      <alignment horizontal="right"/>
    </xf>
    <xf numFmtId="167" fontId="49" fillId="0" borderId="0" xfId="4" applyNumberFormat="1" applyFont="1" applyAlignment="1">
      <alignment horizontal="right"/>
    </xf>
    <xf numFmtId="9" fontId="5" fillId="4" borderId="0" xfId="2" applyFont="1" applyFill="1" applyAlignment="1">
      <alignment horizontal="right"/>
    </xf>
    <xf numFmtId="9" fontId="12" fillId="0" borderId="0" xfId="2" applyFont="1" applyAlignment="1">
      <alignment horizontal="right"/>
    </xf>
    <xf numFmtId="167" fontId="5" fillId="4" borderId="0" xfId="2" applyNumberFormat="1" applyFont="1" applyFill="1" applyAlignment="1">
      <alignment horizontal="right"/>
    </xf>
    <xf numFmtId="174" fontId="5" fillId="0" borderId="0" xfId="4" applyNumberFormat="1" applyFont="1" applyAlignment="1">
      <alignment horizontal="right"/>
    </xf>
    <xf numFmtId="172" fontId="5" fillId="0" borderId="0" xfId="4" applyNumberFormat="1" applyFont="1" applyAlignment="1">
      <alignment horizontal="right"/>
    </xf>
    <xf numFmtId="0" fontId="50" fillId="0" borderId="0" xfId="0" applyFont="1"/>
    <xf numFmtId="174" fontId="8" fillId="0" borderId="0" xfId="0" applyNumberFormat="1" applyFont="1"/>
    <xf numFmtId="174" fontId="13" fillId="0" borderId="6" xfId="0" applyNumberFormat="1" applyFont="1" applyBorder="1"/>
    <xf numFmtId="174" fontId="7" fillId="0" borderId="6" xfId="0" applyNumberFormat="1" applyFont="1" applyBorder="1"/>
    <xf numFmtId="167" fontId="13" fillId="0" borderId="0" xfId="0" applyNumberFormat="1" applyFont="1"/>
    <xf numFmtId="172" fontId="8" fillId="0" borderId="0" xfId="1" applyNumberFormat="1" applyFont="1"/>
    <xf numFmtId="167" fontId="13" fillId="0" borderId="6" xfId="0" applyNumberFormat="1" applyFont="1" applyBorder="1"/>
    <xf numFmtId="0" fontId="7" fillId="2" borderId="0" xfId="0" applyFont="1" applyFill="1"/>
    <xf numFmtId="0" fontId="28" fillId="0" borderId="0" xfId="0" applyFont="1"/>
    <xf numFmtId="167" fontId="7" fillId="0" borderId="6" xfId="0" applyNumberFormat="1" applyFont="1" applyBorder="1"/>
    <xf numFmtId="167" fontId="8" fillId="0" borderId="0" xfId="0" applyNumberFormat="1" applyFont="1"/>
    <xf numFmtId="4" fontId="7" fillId="0" borderId="0" xfId="0" applyNumberFormat="1" applyFont="1"/>
    <xf numFmtId="1" fontId="12" fillId="0" borderId="0" xfId="4" applyNumberFormat="1" applyFont="1" applyAlignment="1">
      <alignment horizontal="right"/>
    </xf>
    <xf numFmtId="0" fontId="8" fillId="4" borderId="0" xfId="0" applyFont="1" applyFill="1"/>
    <xf numFmtId="167" fontId="7" fillId="0" borderId="0" xfId="1" applyNumberFormat="1" applyFont="1"/>
    <xf numFmtId="168" fontId="7" fillId="0" borderId="0" xfId="1" applyNumberFormat="1" applyFont="1"/>
    <xf numFmtId="167" fontId="9" fillId="0" borderId="0" xfId="4" applyNumberFormat="1" applyFont="1" applyAlignment="1">
      <alignment horizontal="right"/>
    </xf>
    <xf numFmtId="168" fontId="9" fillId="0" borderId="0" xfId="4" applyNumberFormat="1" applyFont="1" applyAlignment="1">
      <alignment horizontal="right"/>
    </xf>
    <xf numFmtId="0" fontId="10" fillId="0" borderId="0" xfId="0" applyFont="1" applyAlignment="1">
      <alignment horizontal="left" indent="1"/>
    </xf>
    <xf numFmtId="168" fontId="11" fillId="0" borderId="0" xfId="4" applyNumberFormat="1" applyFont="1" applyAlignment="1">
      <alignment horizontal="right"/>
    </xf>
    <xf numFmtId="169" fontId="12" fillId="0" borderId="0" xfId="1" applyNumberFormat="1" applyFont="1" applyAlignment="1">
      <alignment horizontal="right"/>
    </xf>
    <xf numFmtId="0" fontId="10" fillId="0" borderId="0" xfId="0" applyFont="1"/>
    <xf numFmtId="0" fontId="8" fillId="82" borderId="0" xfId="0" applyFont="1" applyFill="1"/>
    <xf numFmtId="167" fontId="6" fillId="82" borderId="0" xfId="4" applyNumberFormat="1" applyFont="1" applyFill="1" applyAlignment="1">
      <alignment horizontal="right"/>
    </xf>
    <xf numFmtId="171" fontId="7" fillId="0" borderId="0" xfId="0" applyNumberFormat="1" applyFont="1"/>
    <xf numFmtId="172" fontId="6" fillId="3" borderId="0" xfId="1" applyNumberFormat="1" applyFont="1" applyFill="1" applyAlignment="1">
      <alignment horizontal="right"/>
    </xf>
    <xf numFmtId="169" fontId="6" fillId="3" borderId="0" xfId="1" applyNumberFormat="1" applyFont="1" applyFill="1" applyAlignment="1">
      <alignment horizontal="right"/>
    </xf>
    <xf numFmtId="169" fontId="5" fillId="0" borderId="0" xfId="1" applyNumberFormat="1" applyFont="1" applyAlignment="1">
      <alignment horizontal="right"/>
    </xf>
    <xf numFmtId="9" fontId="6" fillId="0" borderId="0" xfId="2" applyFont="1" applyAlignment="1">
      <alignment horizontal="right"/>
    </xf>
    <xf numFmtId="0" fontId="7" fillId="0" borderId="0" xfId="0" quotePrefix="1" applyFont="1"/>
    <xf numFmtId="170" fontId="7" fillId="0" borderId="0" xfId="0" applyNumberFormat="1" applyFont="1"/>
    <xf numFmtId="0" fontId="5" fillId="0" borderId="0" xfId="1" applyNumberFormat="1" applyFont="1" applyAlignment="1">
      <alignment horizontal="right"/>
    </xf>
    <xf numFmtId="43" fontId="5" fillId="0" borderId="0" xfId="1" applyFont="1" applyAlignment="1">
      <alignment horizontal="right"/>
    </xf>
    <xf numFmtId="169" fontId="13" fillId="0" borderId="0" xfId="1" applyNumberFormat="1" applyFont="1"/>
    <xf numFmtId="3" fontId="13" fillId="0" borderId="0" xfId="0" applyNumberFormat="1" applyFont="1"/>
    <xf numFmtId="0" fontId="3" fillId="0" borderId="0" xfId="0" applyFont="1"/>
    <xf numFmtId="9" fontId="0" fillId="0" borderId="0" xfId="2" applyFont="1" applyFill="1" applyBorder="1"/>
    <xf numFmtId="167" fontId="0" fillId="0" borderId="0" xfId="1" applyNumberFormat="1" applyFont="1"/>
    <xf numFmtId="170" fontId="0" fillId="0" borderId="0" xfId="2" applyNumberFormat="1" applyFont="1"/>
    <xf numFmtId="179" fontId="44" fillId="4" borderId="20" xfId="6" applyNumberFormat="1" applyFont="1" applyFill="1" applyBorder="1" applyAlignment="1">
      <alignment horizontal="right"/>
    </xf>
    <xf numFmtId="0" fontId="327" fillId="0" borderId="0" xfId="0" applyFont="1"/>
    <xf numFmtId="0" fontId="0" fillId="0" borderId="20" xfId="0" applyBorder="1"/>
    <xf numFmtId="179" fontId="0" fillId="0" borderId="20" xfId="0" applyNumberFormat="1" applyBorder="1"/>
    <xf numFmtId="9" fontId="0" fillId="0" borderId="20" xfId="2" applyFont="1" applyFill="1" applyBorder="1"/>
    <xf numFmtId="167" fontId="6" fillId="82" borderId="0" xfId="4" applyNumberFormat="1" applyFont="1" applyFill="1" applyBorder="1" applyAlignment="1">
      <alignment horizontal="right"/>
    </xf>
    <xf numFmtId="169" fontId="6" fillId="3" borderId="0" xfId="1" applyNumberFormat="1" applyFont="1" applyFill="1" applyBorder="1" applyAlignment="1">
      <alignment horizontal="right"/>
    </xf>
    <xf numFmtId="172" fontId="6" fillId="3" borderId="0" xfId="1" applyNumberFormat="1" applyFont="1" applyFill="1" applyBorder="1" applyAlignment="1">
      <alignment horizontal="right"/>
    </xf>
    <xf numFmtId="172" fontId="12" fillId="0" borderId="0" xfId="1" applyNumberFormat="1" applyFont="1" applyAlignment="1">
      <alignment horizontal="right"/>
    </xf>
    <xf numFmtId="9" fontId="7" fillId="0" borderId="0" xfId="0" applyNumberFormat="1" applyFont="1"/>
    <xf numFmtId="3" fontId="8" fillId="0" borderId="0" xfId="0" applyNumberFormat="1" applyFont="1"/>
    <xf numFmtId="3" fontId="50" fillId="0" borderId="0" xfId="0" applyNumberFormat="1" applyFont="1"/>
    <xf numFmtId="169" fontId="8" fillId="0" borderId="0" xfId="1" applyNumberFormat="1" applyFont="1"/>
    <xf numFmtId="0" fontId="7" fillId="0" borderId="77" xfId="0" applyFont="1" applyBorder="1"/>
    <xf numFmtId="167" fontId="6" fillId="0" borderId="77" xfId="4" applyNumberFormat="1" applyFont="1" applyBorder="1" applyAlignment="1">
      <alignment horizontal="right"/>
    </xf>
    <xf numFmtId="0" fontId="7" fillId="0" borderId="0" xfId="0" applyFont="1" applyAlignment="1">
      <alignment horizontal="left"/>
    </xf>
    <xf numFmtId="0" fontId="7" fillId="3" borderId="77" xfId="0" applyFont="1" applyFill="1" applyBorder="1"/>
    <xf numFmtId="167" fontId="5" fillId="0" borderId="77" xfId="4" applyNumberFormat="1" applyFont="1" applyBorder="1" applyAlignment="1">
      <alignment horizontal="right"/>
    </xf>
    <xf numFmtId="172" fontId="7" fillId="0" borderId="77" xfId="1" applyNumberFormat="1" applyFont="1" applyBorder="1"/>
    <xf numFmtId="168" fontId="22" fillId="0" borderId="0" xfId="4" applyNumberFormat="1" applyFont="1" applyAlignment="1">
      <alignment horizontal="right"/>
    </xf>
    <xf numFmtId="170" fontId="7" fillId="0" borderId="77" xfId="2" applyNumberFormat="1" applyFont="1" applyBorder="1"/>
    <xf numFmtId="41" fontId="7" fillId="8" borderId="0" xfId="0" applyNumberFormat="1" applyFont="1" applyFill="1"/>
    <xf numFmtId="41" fontId="7" fillId="7" borderId="0" xfId="0" applyNumberFormat="1" applyFont="1" applyFill="1"/>
    <xf numFmtId="41" fontId="7" fillId="0" borderId="0" xfId="0" applyNumberFormat="1" applyFont="1"/>
    <xf numFmtId="170" fontId="22" fillId="0" borderId="77" xfId="0" applyNumberFormat="1" applyFont="1" applyBorder="1"/>
    <xf numFmtId="172" fontId="24" fillId="0" borderId="77" xfId="1" applyNumberFormat="1" applyFont="1" applyBorder="1"/>
    <xf numFmtId="171" fontId="24" fillId="0" borderId="77" xfId="0" applyNumberFormat="1" applyFont="1" applyBorder="1"/>
    <xf numFmtId="170" fontId="14" fillId="0" borderId="77" xfId="0" applyNumberFormat="1" applyFont="1" applyBorder="1"/>
    <xf numFmtId="174" fontId="13" fillId="0" borderId="0" xfId="0" applyNumberFormat="1" applyFont="1"/>
    <xf numFmtId="1" fontId="13" fillId="0" borderId="77" xfId="0" applyNumberFormat="1" applyFont="1" applyBorder="1"/>
    <xf numFmtId="1" fontId="14" fillId="0" borderId="77" xfId="0" applyNumberFormat="1" applyFont="1" applyBorder="1"/>
    <xf numFmtId="167" fontId="5" fillId="4" borderId="0" xfId="4" applyNumberFormat="1" applyFont="1" applyFill="1" applyAlignment="1">
      <alignment horizontal="right"/>
    </xf>
    <xf numFmtId="43" fontId="26" fillId="0" borderId="0" xfId="1597" applyFont="1" applyFill="1"/>
    <xf numFmtId="0" fontId="5" fillId="0" borderId="20" xfId="3231" applyFont="1" applyBorder="1" applyAlignment="1">
      <alignment horizontal="left"/>
    </xf>
    <xf numFmtId="0" fontId="6" fillId="0" borderId="20" xfId="3231" applyFont="1" applyBorder="1" applyAlignment="1">
      <alignment horizontal="left"/>
    </xf>
    <xf numFmtId="167" fontId="6" fillId="0" borderId="20" xfId="1597" applyNumberFormat="1" applyFont="1" applyBorder="1"/>
    <xf numFmtId="0" fontId="0" fillId="0" borderId="0" xfId="0" applyAlignment="1">
      <alignment horizontal="right"/>
    </xf>
    <xf numFmtId="0" fontId="3" fillId="0" borderId="20" xfId="0" applyFont="1" applyBorder="1"/>
    <xf numFmtId="170" fontId="7" fillId="0" borderId="77" xfId="0" applyNumberFormat="1" applyFont="1" applyBorder="1"/>
    <xf numFmtId="168" fontId="8" fillId="0" borderId="0" xfId="1" applyNumberFormat="1" applyFont="1"/>
    <xf numFmtId="170" fontId="5" fillId="0" borderId="77" xfId="2" applyNumberFormat="1" applyFont="1" applyBorder="1" applyAlignment="1">
      <alignment horizontal="right"/>
    </xf>
    <xf numFmtId="9" fontId="0" fillId="0" borderId="0" xfId="2" applyFont="1"/>
    <xf numFmtId="170" fontId="331" fillId="0" borderId="0" xfId="0" applyNumberFormat="1" applyFont="1"/>
    <xf numFmtId="4" fontId="8" fillId="0" borderId="0" xfId="0" applyNumberFormat="1" applyFont="1"/>
    <xf numFmtId="175" fontId="5" fillId="0" borderId="0" xfId="1" applyNumberFormat="1" applyFont="1" applyAlignment="1">
      <alignment horizontal="right"/>
    </xf>
    <xf numFmtId="9" fontId="13" fillId="0" borderId="0" xfId="0" applyNumberFormat="1" applyFont="1"/>
    <xf numFmtId="0" fontId="7" fillId="4" borderId="0" xfId="0" applyFont="1" applyFill="1"/>
    <xf numFmtId="167" fontId="21" fillId="0" borderId="0" xfId="1" applyNumberFormat="1" applyFont="1"/>
    <xf numFmtId="4" fontId="0" fillId="0" borderId="0" xfId="0" applyNumberFormat="1"/>
    <xf numFmtId="171" fontId="19" fillId="0" borderId="0" xfId="0" applyNumberFormat="1" applyFont="1"/>
    <xf numFmtId="3" fontId="19" fillId="0" borderId="0" xfId="1" applyNumberFormat="1" applyFont="1" applyBorder="1" applyAlignment="1">
      <alignment horizontal="right"/>
    </xf>
    <xf numFmtId="0" fontId="0" fillId="0" borderId="0" xfId="0" quotePrefix="1"/>
    <xf numFmtId="169" fontId="327" fillId="0" borderId="0" xfId="0" applyNumberFormat="1" applyFont="1"/>
    <xf numFmtId="167" fontId="0" fillId="0" borderId="0" xfId="0" applyNumberFormat="1"/>
    <xf numFmtId="170" fontId="17" fillId="0" borderId="0" xfId="2" applyNumberFormat="1" applyFont="1" applyAlignment="1">
      <alignment horizontal="right"/>
    </xf>
    <xf numFmtId="9" fontId="11" fillId="0" borderId="77" xfId="2" applyFont="1" applyBorder="1" applyAlignment="1">
      <alignment horizontal="right"/>
    </xf>
    <xf numFmtId="9" fontId="22" fillId="0" borderId="77" xfId="2" applyFont="1" applyBorder="1" applyAlignment="1">
      <alignment horizontal="right"/>
    </xf>
    <xf numFmtId="167" fontId="13" fillId="0" borderId="0" xfId="1" applyNumberFormat="1" applyFont="1"/>
    <xf numFmtId="0" fontId="8" fillId="0" borderId="0" xfId="0" applyFont="1" applyAlignment="1">
      <alignment horizontal="left"/>
    </xf>
    <xf numFmtId="170" fontId="12" fillId="0" borderId="0" xfId="2" applyNumberFormat="1" applyFont="1" applyAlignment="1">
      <alignment horizontal="right"/>
    </xf>
    <xf numFmtId="0" fontId="8" fillId="0" borderId="77" xfId="0" applyFont="1" applyBorder="1"/>
    <xf numFmtId="175" fontId="7" fillId="0" borderId="0" xfId="1" applyNumberFormat="1" applyFont="1"/>
    <xf numFmtId="167" fontId="328" fillId="0" borderId="77" xfId="1" applyNumberFormat="1" applyFont="1" applyBorder="1" applyAlignment="1">
      <alignment horizontal="right"/>
    </xf>
    <xf numFmtId="167" fontId="328" fillId="0" borderId="0" xfId="1" applyNumberFormat="1" applyFont="1" applyBorder="1" applyAlignment="1">
      <alignment horizontal="right" indent="2"/>
    </xf>
    <xf numFmtId="168" fontId="328" fillId="0" borderId="0" xfId="4" applyNumberFormat="1" applyFont="1" applyAlignment="1">
      <alignment horizontal="right"/>
    </xf>
    <xf numFmtId="167" fontId="12" fillId="4" borderId="0" xfId="4" applyNumberFormat="1" applyFont="1" applyFill="1" applyAlignment="1">
      <alignment horizontal="right"/>
    </xf>
    <xf numFmtId="17" fontId="6" fillId="2" borderId="0" xfId="3" applyNumberFormat="1" applyFont="1" applyFill="1" applyAlignment="1">
      <alignment horizontal="right"/>
    </xf>
    <xf numFmtId="167" fontId="5" fillId="6" borderId="0" xfId="4" applyNumberFormat="1" applyFont="1" applyFill="1" applyAlignment="1">
      <alignment horizontal="right"/>
    </xf>
    <xf numFmtId="175" fontId="6" fillId="0" borderId="4" xfId="4" applyNumberFormat="1" applyFont="1" applyBorder="1" applyAlignment="1">
      <alignment horizontal="right"/>
    </xf>
    <xf numFmtId="175" fontId="6" fillId="0" borderId="3" xfId="4" applyNumberFormat="1" applyFont="1" applyBorder="1" applyAlignment="1">
      <alignment horizontal="right"/>
    </xf>
    <xf numFmtId="3" fontId="19" fillId="0" borderId="77" xfId="0" applyNumberFormat="1" applyFont="1" applyBorder="1" applyAlignment="1">
      <alignment horizontal="right"/>
    </xf>
    <xf numFmtId="3" fontId="24" fillId="0" borderId="77" xfId="1" applyNumberFormat="1" applyFont="1" applyBorder="1" applyAlignment="1">
      <alignment horizontal="right"/>
    </xf>
    <xf numFmtId="169" fontId="7" fillId="0" borderId="0" xfId="0" applyNumberFormat="1" applyFont="1"/>
    <xf numFmtId="167" fontId="21" fillId="0" borderId="6" xfId="0" applyNumberFormat="1" applyFont="1" applyBorder="1"/>
    <xf numFmtId="167" fontId="11" fillId="0" borderId="77" xfId="1" applyNumberFormat="1" applyFont="1" applyBorder="1" applyAlignment="1">
      <alignment horizontal="right"/>
    </xf>
    <xf numFmtId="167" fontId="11" fillId="0" borderId="0" xfId="1" applyNumberFormat="1" applyFont="1" applyBorder="1" applyAlignment="1">
      <alignment horizontal="right"/>
    </xf>
    <xf numFmtId="168" fontId="19" fillId="0" borderId="0" xfId="4" applyNumberFormat="1" applyFont="1" applyAlignment="1">
      <alignment horizontal="right"/>
    </xf>
    <xf numFmtId="167" fontId="14" fillId="0" borderId="0" xfId="1" applyNumberFormat="1" applyFont="1"/>
    <xf numFmtId="167" fontId="5" fillId="83" borderId="0" xfId="4" applyNumberFormat="1" applyFont="1" applyFill="1" applyAlignment="1">
      <alignment horizontal="right"/>
    </xf>
    <xf numFmtId="167" fontId="5" fillId="0" borderId="0" xfId="4" applyNumberFormat="1" applyFont="1" applyFill="1" applyBorder="1" applyAlignment="1">
      <alignment horizontal="right"/>
    </xf>
    <xf numFmtId="167" fontId="22" fillId="0" borderId="0" xfId="4" applyNumberFormat="1" applyFont="1" applyFill="1" applyBorder="1" applyAlignment="1">
      <alignment horizontal="right"/>
    </xf>
    <xf numFmtId="167" fontId="12" fillId="83" borderId="0" xfId="4" applyNumberFormat="1" applyFont="1" applyFill="1" applyAlignment="1">
      <alignment horizontal="right"/>
    </xf>
    <xf numFmtId="167" fontId="32" fillId="0" borderId="0" xfId="1" applyNumberFormat="1" applyFont="1"/>
    <xf numFmtId="0" fontId="332" fillId="0" borderId="0" xfId="3235"/>
    <xf numFmtId="0" fontId="0" fillId="0" borderId="20" xfId="0" applyBorder="1" applyAlignment="1">
      <alignment horizontal="center" vertical="center"/>
    </xf>
    <xf numFmtId="168" fontId="0" fillId="0" borderId="0" xfId="1" applyNumberFormat="1" applyFont="1"/>
    <xf numFmtId="9" fontId="0" fillId="0" borderId="0" xfId="0" applyNumberFormat="1"/>
    <xf numFmtId="170" fontId="0" fillId="0" borderId="0" xfId="0" applyNumberFormat="1"/>
    <xf numFmtId="170" fontId="20" fillId="0" borderId="0" xfId="2" applyNumberFormat="1" applyFont="1"/>
    <xf numFmtId="168" fontId="0" fillId="0" borderId="20" xfId="1" applyNumberFormat="1" applyFont="1" applyBorder="1"/>
    <xf numFmtId="167" fontId="0" fillId="0" borderId="20" xfId="1" applyNumberFormat="1" applyFont="1" applyBorder="1"/>
    <xf numFmtId="170" fontId="0" fillId="0" borderId="20" xfId="2" applyNumberFormat="1" applyFont="1" applyBorder="1"/>
    <xf numFmtId="167" fontId="7" fillId="84" borderId="0" xfId="0" applyNumberFormat="1" applyFont="1" applyFill="1"/>
    <xf numFmtId="174" fontId="0" fillId="0" borderId="0" xfId="0" applyNumberFormat="1"/>
    <xf numFmtId="168" fontId="0" fillId="0" borderId="20" xfId="0" applyNumberFormat="1" applyBorder="1"/>
    <xf numFmtId="0" fontId="333" fillId="0" borderId="0" xfId="0" applyFont="1"/>
    <xf numFmtId="168" fontId="0" fillId="0" borderId="0" xfId="1" applyNumberFormat="1" applyFont="1" applyBorder="1"/>
    <xf numFmtId="170" fontId="20" fillId="5" borderId="0" xfId="0" applyNumberFormat="1" applyFont="1" applyFill="1"/>
    <xf numFmtId="0" fontId="7" fillId="0" borderId="0" xfId="0" quotePrefix="1" applyFont="1" applyAlignment="1">
      <alignment horizontal="left" indent="1"/>
    </xf>
    <xf numFmtId="168" fontId="6" fillId="0" borderId="3" xfId="4" applyNumberFormat="1" applyFont="1" applyBorder="1" applyAlignment="1">
      <alignment horizontal="right"/>
    </xf>
    <xf numFmtId="170" fontId="7" fillId="0" borderId="0" xfId="2" applyNumberFormat="1" applyFont="1" applyFill="1"/>
    <xf numFmtId="168" fontId="6" fillId="0" borderId="0" xfId="4" applyNumberFormat="1" applyFont="1" applyAlignment="1">
      <alignment horizontal="right"/>
    </xf>
    <xf numFmtId="175" fontId="5" fillId="4" borderId="0" xfId="1" applyNumberFormat="1" applyFont="1" applyFill="1" applyAlignment="1">
      <alignment horizontal="right"/>
    </xf>
    <xf numFmtId="43" fontId="7" fillId="0" borderId="0" xfId="1" applyFont="1" applyBorder="1"/>
    <xf numFmtId="169" fontId="12" fillId="4" borderId="0" xfId="1" applyNumberFormat="1" applyFont="1" applyFill="1" applyAlignment="1">
      <alignment horizontal="right"/>
    </xf>
    <xf numFmtId="43" fontId="11" fillId="0" borderId="0" xfId="4" applyNumberFormat="1" applyFont="1" applyAlignment="1">
      <alignment horizontal="right"/>
    </xf>
    <xf numFmtId="175" fontId="7" fillId="0" borderId="77" xfId="0" applyNumberFormat="1" applyFont="1" applyBorder="1"/>
    <xf numFmtId="10" fontId="0" fillId="0" borderId="0" xfId="0" applyNumberFormat="1"/>
    <xf numFmtId="3" fontId="19" fillId="0" borderId="77" xfId="1" applyNumberFormat="1" applyFont="1" applyBorder="1" applyAlignment="1">
      <alignment horizontal="right"/>
    </xf>
    <xf numFmtId="3" fontId="24" fillId="5" borderId="77" xfId="0" quotePrefix="1" applyNumberFormat="1" applyFont="1" applyFill="1" applyBorder="1"/>
    <xf numFmtId="9" fontId="24" fillId="5" borderId="77" xfId="2" applyFont="1" applyFill="1" applyBorder="1"/>
    <xf numFmtId="170" fontId="27" fillId="0" borderId="77" xfId="2" applyNumberFormat="1" applyFont="1" applyBorder="1"/>
    <xf numFmtId="41" fontId="7" fillId="8" borderId="77" xfId="0" applyNumberFormat="1" applyFont="1" applyFill="1" applyBorder="1"/>
    <xf numFmtId="41" fontId="7" fillId="0" borderId="77" xfId="0" applyNumberFormat="1" applyFont="1" applyBorder="1"/>
    <xf numFmtId="169" fontId="334" fillId="5" borderId="0" xfId="0" applyNumberFormat="1" applyFont="1" applyFill="1"/>
    <xf numFmtId="0" fontId="24" fillId="0" borderId="77" xfId="0" applyFont="1" applyBorder="1"/>
    <xf numFmtId="0" fontId="335" fillId="0" borderId="77" xfId="0" applyFont="1" applyBorder="1"/>
    <xf numFmtId="0" fontId="335" fillId="0" borderId="0" xfId="0" applyFont="1"/>
    <xf numFmtId="171" fontId="335" fillId="0" borderId="0" xfId="0" applyNumberFormat="1" applyFont="1"/>
    <xf numFmtId="171" fontId="335" fillId="0" borderId="77" xfId="0" applyNumberFormat="1" applyFont="1" applyBorder="1"/>
    <xf numFmtId="168" fontId="25" fillId="0" borderId="0" xfId="1" applyNumberFormat="1" applyFont="1" applyBorder="1"/>
    <xf numFmtId="168" fontId="25" fillId="0" borderId="77" xfId="1" applyNumberFormat="1" applyFont="1" applyBorder="1"/>
    <xf numFmtId="9" fontId="13" fillId="0" borderId="77" xfId="2" applyFont="1" applyBorder="1"/>
    <xf numFmtId="0" fontId="336" fillId="0" borderId="0" xfId="0" applyFont="1"/>
    <xf numFmtId="175" fontId="336" fillId="0" borderId="0" xfId="0" applyNumberFormat="1" applyFont="1"/>
    <xf numFmtId="175" fontId="14" fillId="4" borderId="77" xfId="0" applyNumberFormat="1" applyFont="1" applyFill="1" applyBorder="1"/>
    <xf numFmtId="175" fontId="14" fillId="4" borderId="0" xfId="0" applyNumberFormat="1" applyFont="1" applyFill="1"/>
    <xf numFmtId="170" fontId="24" fillId="0" borderId="77" xfId="2" applyNumberFormat="1" applyFont="1" applyBorder="1"/>
    <xf numFmtId="168" fontId="27" fillId="0" borderId="77" xfId="1" applyNumberFormat="1" applyFont="1" applyBorder="1"/>
    <xf numFmtId="0" fontId="25" fillId="8" borderId="0" xfId="0" applyFont="1" applyFill="1"/>
    <xf numFmtId="3" fontId="24" fillId="8" borderId="77" xfId="1" applyNumberFormat="1" applyFont="1" applyFill="1" applyBorder="1" applyAlignment="1"/>
    <xf numFmtId="3" fontId="24" fillId="8" borderId="0" xfId="1" applyNumberFormat="1" applyFont="1" applyFill="1" applyBorder="1" applyAlignment="1"/>
    <xf numFmtId="3" fontId="329" fillId="8" borderId="77" xfId="1" applyNumberFormat="1" applyFont="1" applyFill="1" applyBorder="1" applyAlignment="1"/>
    <xf numFmtId="3" fontId="329" fillId="8" borderId="0" xfId="1" applyNumberFormat="1" applyFont="1" applyFill="1" applyBorder="1" applyAlignment="1"/>
    <xf numFmtId="3" fontId="25" fillId="8" borderId="0" xfId="1" applyNumberFormat="1" applyFont="1" applyFill="1" applyBorder="1" applyAlignment="1"/>
    <xf numFmtId="3" fontId="25" fillId="8" borderId="77" xfId="1" applyNumberFormat="1" applyFont="1" applyFill="1" applyBorder="1" applyAlignment="1"/>
    <xf numFmtId="167" fontId="6" fillId="8" borderId="9" xfId="1" applyNumberFormat="1" applyFont="1" applyFill="1" applyBorder="1" applyAlignment="1">
      <alignment horizontal="right"/>
    </xf>
    <xf numFmtId="0" fontId="27" fillId="0" borderId="0" xfId="0" applyFont="1" applyAlignment="1">
      <alignment horizontal="left" indent="1"/>
    </xf>
    <xf numFmtId="3" fontId="24" fillId="0" borderId="77" xfId="1" applyNumberFormat="1" applyFont="1" applyFill="1" applyBorder="1" applyAlignment="1"/>
    <xf numFmtId="3" fontId="24" fillId="0" borderId="0" xfId="1" applyNumberFormat="1" applyFont="1" applyFill="1" applyBorder="1" applyAlignment="1"/>
    <xf numFmtId="175" fontId="337" fillId="0" borderId="77" xfId="1" applyNumberFormat="1" applyFont="1" applyFill="1" applyBorder="1" applyAlignment="1"/>
    <xf numFmtId="175" fontId="337" fillId="0" borderId="0" xfId="1" applyNumberFormat="1" applyFont="1" applyFill="1" applyBorder="1" applyAlignment="1"/>
    <xf numFmtId="175" fontId="12" fillId="0" borderId="0" xfId="1" applyNumberFormat="1" applyFont="1" applyFill="1" applyBorder="1" applyAlignment="1"/>
    <xf numFmtId="175" fontId="12" fillId="0" borderId="77" xfId="1" applyNumberFormat="1" applyFont="1" applyFill="1" applyBorder="1" applyAlignment="1"/>
    <xf numFmtId="167" fontId="5" fillId="0" borderId="0" xfId="1" applyNumberFormat="1" applyFont="1" applyFill="1" applyAlignment="1">
      <alignment horizontal="right"/>
    </xf>
    <xf numFmtId="175" fontId="24" fillId="0" borderId="0" xfId="1" applyNumberFormat="1" applyFont="1" applyFill="1" applyBorder="1" applyAlignment="1"/>
    <xf numFmtId="175" fontId="24" fillId="0" borderId="77" xfId="1" applyNumberFormat="1" applyFont="1" applyFill="1" applyBorder="1" applyAlignment="1"/>
    <xf numFmtId="170" fontId="5" fillId="0" borderId="0" xfId="2" applyNumberFormat="1" applyFont="1" applyFill="1" applyAlignment="1">
      <alignment horizontal="right"/>
    </xf>
    <xf numFmtId="0" fontId="25" fillId="6" borderId="9" xfId="0" applyFont="1" applyFill="1" applyBorder="1"/>
    <xf numFmtId="0" fontId="25" fillId="6" borderId="10" xfId="0" applyFont="1" applyFill="1" applyBorder="1"/>
    <xf numFmtId="0" fontId="25" fillId="6" borderId="11" xfId="0" applyFont="1" applyFill="1" applyBorder="1"/>
    <xf numFmtId="168" fontId="25" fillId="6" borderId="10" xfId="1" applyNumberFormat="1" applyFont="1" applyFill="1" applyBorder="1"/>
    <xf numFmtId="168" fontId="25" fillId="6" borderId="9" xfId="1" applyNumberFormat="1" applyFont="1" applyFill="1" applyBorder="1"/>
    <xf numFmtId="168" fontId="25" fillId="6" borderId="11" xfId="1" applyNumberFormat="1" applyFont="1" applyFill="1" applyBorder="1"/>
    <xf numFmtId="171" fontId="25" fillId="86" borderId="9" xfId="0" applyNumberFormat="1" applyFont="1" applyFill="1" applyBorder="1"/>
    <xf numFmtId="171" fontId="25" fillId="86" borderId="11" xfId="0" applyNumberFormat="1" applyFont="1" applyFill="1" applyBorder="1"/>
    <xf numFmtId="171" fontId="25" fillId="86" borderId="10" xfId="0" applyNumberFormat="1" applyFont="1" applyFill="1" applyBorder="1"/>
    <xf numFmtId="167" fontId="6" fillId="86" borderId="9" xfId="1" applyNumberFormat="1" applyFont="1" applyFill="1" applyBorder="1" applyAlignment="1">
      <alignment horizontal="right"/>
    </xf>
    <xf numFmtId="170" fontId="27" fillId="0" borderId="78" xfId="2" applyNumberFormat="1" applyFont="1" applyBorder="1"/>
    <xf numFmtId="0" fontId="25" fillId="0" borderId="6" xfId="0" applyFont="1" applyBorder="1"/>
    <xf numFmtId="175" fontId="9" fillId="0" borderId="7" xfId="0" applyNumberFormat="1" applyFont="1" applyBorder="1"/>
    <xf numFmtId="175" fontId="9" fillId="0" borderId="6" xfId="0" applyNumberFormat="1" applyFont="1" applyBorder="1"/>
    <xf numFmtId="175" fontId="9" fillId="0" borderId="8" xfId="0" applyNumberFormat="1" applyFont="1" applyBorder="1"/>
    <xf numFmtId="1" fontId="25" fillId="0" borderId="6" xfId="0" applyNumberFormat="1" applyFont="1" applyBorder="1"/>
    <xf numFmtId="1" fontId="25" fillId="0" borderId="8" xfId="0" applyNumberFormat="1" applyFont="1" applyBorder="1"/>
    <xf numFmtId="1" fontId="25" fillId="0" borderId="7" xfId="0" applyNumberFormat="1" applyFont="1" applyBorder="1"/>
    <xf numFmtId="0" fontId="25" fillId="0" borderId="12" xfId="0" applyFont="1" applyBorder="1"/>
    <xf numFmtId="172" fontId="9" fillId="5" borderId="12" xfId="1" applyNumberFormat="1" applyFont="1" applyFill="1" applyBorder="1"/>
    <xf numFmtId="172" fontId="9" fillId="5" borderId="13" xfId="1" applyNumberFormat="1" applyFont="1" applyFill="1" applyBorder="1"/>
    <xf numFmtId="172" fontId="9" fillId="5" borderId="14" xfId="1" applyNumberFormat="1" applyFont="1" applyFill="1" applyBorder="1"/>
    <xf numFmtId="172" fontId="25" fillId="0" borderId="12" xfId="1" applyNumberFormat="1" applyFont="1" applyBorder="1"/>
    <xf numFmtId="172" fontId="25" fillId="0" borderId="14" xfId="1" applyNumberFormat="1" applyFont="1" applyBorder="1"/>
    <xf numFmtId="172" fontId="25" fillId="0" borderId="13" xfId="1" applyNumberFormat="1" applyFont="1" applyBorder="1"/>
    <xf numFmtId="171" fontId="24" fillId="5" borderId="77" xfId="0" applyNumberFormat="1" applyFont="1" applyFill="1" applyBorder="1"/>
    <xf numFmtId="170" fontId="24" fillId="0" borderId="77" xfId="0" applyNumberFormat="1" applyFont="1" applyBorder="1"/>
    <xf numFmtId="170" fontId="24" fillId="0" borderId="0" xfId="2" applyNumberFormat="1" applyFont="1" applyBorder="1"/>
    <xf numFmtId="167" fontId="17" fillId="0" borderId="0" xfId="4" applyNumberFormat="1" applyFont="1" applyFill="1" applyAlignment="1">
      <alignment horizontal="right"/>
    </xf>
    <xf numFmtId="167" fontId="6" fillId="0" borderId="0" xfId="4" applyNumberFormat="1" applyFont="1" applyFill="1" applyAlignment="1">
      <alignment horizontal="right"/>
    </xf>
    <xf numFmtId="167" fontId="6" fillId="0" borderId="0" xfId="1597" applyNumberFormat="1" applyFont="1" applyBorder="1"/>
    <xf numFmtId="0" fontId="330" fillId="2" borderId="3" xfId="3" applyFont="1" applyFill="1" applyBorder="1"/>
    <xf numFmtId="0" fontId="7" fillId="0" borderId="9" xfId="0" applyFont="1" applyBorder="1"/>
    <xf numFmtId="167" fontId="29" fillId="0" borderId="0" xfId="1" applyNumberFormat="1" applyFont="1"/>
    <xf numFmtId="168" fontId="21" fillId="0" borderId="0" xfId="1" applyNumberFormat="1" applyFont="1"/>
    <xf numFmtId="167" fontId="7" fillId="0" borderId="9" xfId="0" applyNumberFormat="1" applyFont="1" applyBorder="1"/>
    <xf numFmtId="175" fontId="7" fillId="0" borderId="9" xfId="1" applyNumberFormat="1" applyFont="1" applyBorder="1"/>
    <xf numFmtId="177" fontId="48" fillId="0" borderId="0" xfId="0" quotePrefix="1" applyNumberFormat="1" applyFont="1"/>
    <xf numFmtId="167" fontId="0" fillId="0" borderId="20" xfId="0" applyNumberFormat="1" applyBorder="1"/>
    <xf numFmtId="0" fontId="41" fillId="0" borderId="3" xfId="0" applyFont="1" applyBorder="1" applyAlignment="1">
      <alignment horizontal="left"/>
    </xf>
    <xf numFmtId="179" fontId="44" fillId="0" borderId="3" xfId="6" applyNumberFormat="1" applyFont="1" applyFill="1" applyBorder="1" applyAlignment="1">
      <alignment horizontal="right"/>
    </xf>
    <xf numFmtId="170" fontId="44" fillId="0" borderId="6" xfId="2" applyNumberFormat="1" applyFont="1" applyFill="1" applyBorder="1" applyAlignment="1">
      <alignment horizontal="right"/>
    </xf>
    <xf numFmtId="0" fontId="31" fillId="86" borderId="0" xfId="3" applyFont="1" applyFill="1" applyAlignment="1">
      <alignment horizontal="right"/>
    </xf>
    <xf numFmtId="176" fontId="32" fillId="4" borderId="0" xfId="1" applyNumberFormat="1" applyFont="1" applyFill="1"/>
    <xf numFmtId="170" fontId="10" fillId="0" borderId="77" xfId="2" applyNumberFormat="1" applyFont="1" applyBorder="1"/>
    <xf numFmtId="170" fontId="13" fillId="6" borderId="0" xfId="2" applyNumberFormat="1" applyFont="1" applyFill="1" applyBorder="1"/>
    <xf numFmtId="1" fontId="7" fillId="0" borderId="77" xfId="0" applyNumberFormat="1" applyFont="1" applyBorder="1"/>
    <xf numFmtId="170" fontId="10" fillId="0" borderId="0" xfId="2" applyNumberFormat="1" applyFont="1" applyAlignment="1">
      <alignment horizontal="right"/>
    </xf>
    <xf numFmtId="170" fontId="10" fillId="0" borderId="77" xfId="2" applyNumberFormat="1" applyFont="1" applyBorder="1" applyAlignment="1">
      <alignment horizontal="right"/>
    </xf>
    <xf numFmtId="167" fontId="9" fillId="6" borderId="0" xfId="4" applyNumberFormat="1" applyFont="1" applyFill="1" applyAlignment="1">
      <alignment horizontal="right"/>
    </xf>
    <xf numFmtId="43" fontId="30" fillId="0" borderId="0" xfId="4" applyNumberFormat="1" applyFont="1" applyAlignment="1">
      <alignment horizontal="right"/>
    </xf>
    <xf numFmtId="168" fontId="32" fillId="0" borderId="0" xfId="1" applyNumberFormat="1" applyFont="1"/>
    <xf numFmtId="168" fontId="338" fillId="6" borderId="0" xfId="1" applyNumberFormat="1" applyFont="1" applyFill="1"/>
    <xf numFmtId="167" fontId="338" fillId="6" borderId="0" xfId="1" applyNumberFormat="1" applyFont="1" applyFill="1"/>
    <xf numFmtId="167" fontId="17" fillId="4" borderId="0" xfId="4" applyNumberFormat="1" applyFont="1" applyFill="1" applyAlignment="1">
      <alignment horizontal="right"/>
    </xf>
    <xf numFmtId="167" fontId="30" fillId="0" borderId="0" xfId="4" applyNumberFormat="1" applyFont="1" applyFill="1" applyAlignment="1">
      <alignment horizontal="right"/>
    </xf>
    <xf numFmtId="167" fontId="19" fillId="4" borderId="0" xfId="4" applyNumberFormat="1" applyFont="1" applyFill="1" applyAlignment="1">
      <alignment horizontal="right"/>
    </xf>
    <xf numFmtId="167" fontId="6" fillId="4" borderId="0" xfId="4" applyNumberFormat="1" applyFont="1" applyFill="1" applyAlignment="1">
      <alignment horizontal="right"/>
    </xf>
    <xf numFmtId="0" fontId="340" fillId="87" borderId="0" xfId="0" applyFont="1" applyFill="1" applyAlignment="1">
      <alignment vertical="center" wrapText="1"/>
    </xf>
    <xf numFmtId="0" fontId="340" fillId="87" borderId="79" xfId="0" applyFont="1" applyFill="1" applyBorder="1" applyAlignment="1">
      <alignment vertical="center" wrapText="1"/>
    </xf>
    <xf numFmtId="0" fontId="339" fillId="87" borderId="79" xfId="0" applyFont="1" applyFill="1" applyBorder="1" applyAlignment="1">
      <alignment horizontal="right" vertical="center" wrapText="1"/>
    </xf>
    <xf numFmtId="0" fontId="339" fillId="87" borderId="82" xfId="0" applyFont="1" applyFill="1" applyBorder="1" applyAlignment="1">
      <alignment horizontal="right" vertical="center" wrapText="1"/>
    </xf>
    <xf numFmtId="0" fontId="339" fillId="87" borderId="83" xfId="0" applyFont="1" applyFill="1" applyBorder="1" applyAlignment="1">
      <alignment horizontal="right" vertical="center" wrapText="1"/>
    </xf>
    <xf numFmtId="0" fontId="340" fillId="88" borderId="0" xfId="0" applyFont="1" applyFill="1" applyAlignment="1">
      <alignment vertical="center" wrapText="1"/>
    </xf>
    <xf numFmtId="3" fontId="340" fillId="88" borderId="0" xfId="0" applyNumberFormat="1" applyFont="1" applyFill="1" applyAlignment="1">
      <alignment horizontal="right" vertical="center" wrapText="1"/>
    </xf>
    <xf numFmtId="3" fontId="340" fillId="88" borderId="84" xfId="0" applyNumberFormat="1" applyFont="1" applyFill="1" applyBorder="1" applyAlignment="1">
      <alignment horizontal="right" vertical="center" wrapText="1"/>
    </xf>
    <xf numFmtId="171" fontId="340" fillId="88" borderId="0" xfId="0" applyNumberFormat="1" applyFont="1" applyFill="1" applyAlignment="1">
      <alignment horizontal="right" vertical="center" wrapText="1"/>
    </xf>
    <xf numFmtId="0" fontId="341" fillId="0" borderId="0" xfId="0" applyFont="1" applyAlignment="1">
      <alignment vertical="center" wrapText="1"/>
    </xf>
    <xf numFmtId="3" fontId="340" fillId="0" borderId="0" xfId="0" applyNumberFormat="1" applyFont="1" applyAlignment="1">
      <alignment horizontal="right" vertical="center" wrapText="1"/>
    </xf>
    <xf numFmtId="3" fontId="340" fillId="0" borderId="84" xfId="0" applyNumberFormat="1" applyFont="1" applyBorder="1" applyAlignment="1">
      <alignment horizontal="right" vertical="center" wrapText="1"/>
    </xf>
    <xf numFmtId="171" fontId="340" fillId="0" borderId="0" xfId="0" applyNumberFormat="1" applyFont="1" applyAlignment="1">
      <alignment horizontal="right" vertical="center" wrapText="1"/>
    </xf>
    <xf numFmtId="0" fontId="341" fillId="0" borderId="79" xfId="0" applyFont="1" applyBorder="1" applyAlignment="1">
      <alignment vertical="center" wrapText="1"/>
    </xf>
    <xf numFmtId="175" fontId="340" fillId="0" borderId="79" xfId="0" applyNumberFormat="1" applyFont="1" applyBorder="1" applyAlignment="1">
      <alignment horizontal="right" vertical="center" wrapText="1"/>
    </xf>
    <xf numFmtId="175" fontId="340" fillId="0" borderId="80" xfId="0" applyNumberFormat="1" applyFont="1" applyBorder="1" applyAlignment="1">
      <alignment horizontal="right" vertical="center" wrapText="1"/>
    </xf>
    <xf numFmtId="0" fontId="41" fillId="10" borderId="26" xfId="0" applyFont="1" applyFill="1" applyBorder="1" applyAlignment="1">
      <alignment horizontal="left"/>
    </xf>
    <xf numFmtId="0" fontId="41" fillId="4" borderId="26" xfId="0" applyFont="1" applyFill="1" applyBorder="1" applyAlignment="1">
      <alignment horizontal="left"/>
    </xf>
    <xf numFmtId="43" fontId="0" fillId="0" borderId="0" xfId="0" applyNumberFormat="1"/>
    <xf numFmtId="0" fontId="40" fillId="2" borderId="0" xfId="0" applyFont="1" applyFill="1"/>
    <xf numFmtId="9" fontId="0" fillId="0" borderId="20" xfId="0" applyNumberFormat="1" applyBorder="1"/>
    <xf numFmtId="167" fontId="22" fillId="0" borderId="0" xfId="1" applyNumberFormat="1" applyFont="1" applyAlignment="1">
      <alignment horizontal="right"/>
    </xf>
    <xf numFmtId="3" fontId="336" fillId="0" borderId="0" xfId="0" applyNumberFormat="1" applyFont="1"/>
    <xf numFmtId="175" fontId="5" fillId="0" borderId="0" xfId="1" applyNumberFormat="1" applyFont="1" applyFill="1" applyAlignment="1">
      <alignment horizontal="right"/>
    </xf>
    <xf numFmtId="9" fontId="328" fillId="0" borderId="0" xfId="2" applyFont="1" applyAlignment="1">
      <alignment horizontal="right"/>
    </xf>
    <xf numFmtId="0" fontId="0" fillId="0" borderId="0" xfId="0" applyAlignment="1">
      <alignment horizontal="left" indent="1"/>
    </xf>
    <xf numFmtId="167" fontId="8" fillId="0" borderId="6" xfId="1" applyNumberFormat="1" applyFont="1" applyBorder="1"/>
    <xf numFmtId="0" fontId="8" fillId="0" borderId="7" xfId="0" applyFont="1" applyBorder="1"/>
    <xf numFmtId="167" fontId="8" fillId="0" borderId="8" xfId="1" applyNumberFormat="1" applyFont="1" applyBorder="1"/>
    <xf numFmtId="3" fontId="8" fillId="0" borderId="6" xfId="0" applyNumberFormat="1" applyFont="1" applyBorder="1"/>
    <xf numFmtId="171" fontId="336" fillId="0" borderId="0" xfId="0" applyNumberFormat="1" applyFont="1"/>
    <xf numFmtId="170" fontId="7" fillId="4" borderId="0" xfId="2" applyNumberFormat="1" applyFont="1" applyFill="1"/>
    <xf numFmtId="3" fontId="0" fillId="0" borderId="20" xfId="0" applyNumberFormat="1" applyBorder="1"/>
    <xf numFmtId="175" fontId="12" fillId="0" borderId="0" xfId="1" applyNumberFormat="1" applyFont="1" applyAlignment="1">
      <alignment horizontal="right"/>
    </xf>
    <xf numFmtId="168" fontId="12" fillId="4" borderId="0" xfId="4" applyNumberFormat="1" applyFont="1" applyFill="1" applyAlignment="1">
      <alignment horizontal="right"/>
    </xf>
    <xf numFmtId="169" fontId="13" fillId="4" borderId="0" xfId="1" applyNumberFormat="1" applyFont="1" applyFill="1"/>
    <xf numFmtId="9" fontId="7" fillId="0" borderId="77" xfId="2" applyFont="1" applyBorder="1"/>
    <xf numFmtId="168" fontId="24" fillId="0" borderId="0" xfId="1" applyNumberFormat="1" applyFont="1"/>
    <xf numFmtId="168" fontId="24" fillId="0" borderId="77" xfId="1" applyNumberFormat="1" applyFont="1" applyBorder="1"/>
    <xf numFmtId="171" fontId="19" fillId="6" borderId="0" xfId="0" applyNumberFormat="1" applyFont="1" applyFill="1"/>
    <xf numFmtId="1" fontId="13" fillId="6" borderId="0" xfId="0" applyNumberFormat="1" applyFont="1" applyFill="1"/>
    <xf numFmtId="170" fontId="0" fillId="0" borderId="0" xfId="2" applyNumberFormat="1" applyFont="1" applyFill="1" applyBorder="1"/>
    <xf numFmtId="165" fontId="0" fillId="0" borderId="0" xfId="0" applyNumberFormat="1"/>
    <xf numFmtId="4" fontId="344" fillId="0" borderId="0" xfId="0" applyNumberFormat="1" applyFont="1"/>
    <xf numFmtId="1" fontId="0" fillId="0" borderId="0" xfId="2" applyNumberFormat="1" applyFont="1"/>
    <xf numFmtId="14" fontId="0" fillId="86" borderId="0" xfId="0" applyNumberFormat="1" applyFill="1"/>
    <xf numFmtId="165" fontId="24" fillId="0" borderId="0" xfId="0" applyNumberFormat="1" applyFont="1"/>
    <xf numFmtId="173" fontId="24" fillId="0" borderId="0" xfId="0" applyNumberFormat="1" applyFont="1"/>
    <xf numFmtId="43" fontId="22" fillId="0" borderId="0" xfId="1" applyFont="1" applyAlignment="1">
      <alignment horizontal="right"/>
    </xf>
    <xf numFmtId="167" fontId="11" fillId="0" borderId="0" xfId="1" applyNumberFormat="1" applyFont="1" applyAlignment="1">
      <alignment horizontal="right"/>
    </xf>
    <xf numFmtId="0" fontId="345" fillId="12" borderId="19" xfId="0" applyFont="1" applyFill="1" applyBorder="1" applyAlignment="1">
      <alignment horizontal="left"/>
    </xf>
    <xf numFmtId="49" fontId="345" fillId="12" borderId="19" xfId="0" applyNumberFormat="1" applyFont="1" applyFill="1" applyBorder="1" applyAlignment="1">
      <alignment horizontal="right" wrapText="1"/>
    </xf>
    <xf numFmtId="0" fontId="346" fillId="10" borderId="19" xfId="0" applyFont="1" applyFill="1" applyBorder="1" applyAlignment="1">
      <alignment horizontal="left"/>
    </xf>
    <xf numFmtId="167" fontId="346" fillId="10" borderId="19" xfId="1" applyNumberFormat="1" applyFont="1" applyFill="1" applyBorder="1" applyAlignment="1">
      <alignment horizontal="right"/>
    </xf>
    <xf numFmtId="179" fontId="346" fillId="10" borderId="19" xfId="6" applyNumberFormat="1" applyFont="1" applyFill="1" applyBorder="1" applyAlignment="1">
      <alignment horizontal="right"/>
    </xf>
    <xf numFmtId="0" fontId="25" fillId="0" borderId="77" xfId="0" applyFont="1" applyBorder="1"/>
    <xf numFmtId="170" fontId="347" fillId="0" borderId="0" xfId="2" applyNumberFormat="1" applyFont="1" applyAlignment="1">
      <alignment horizontal="right"/>
    </xf>
    <xf numFmtId="170" fontId="11" fillId="93" borderId="0" xfId="2" applyNumberFormat="1" applyFont="1" applyFill="1" applyAlignment="1">
      <alignment horizontal="right"/>
    </xf>
    <xf numFmtId="0" fontId="0" fillId="0" borderId="0" xfId="0" quotePrefix="1" applyAlignment="1">
      <alignment horizontal="left" indent="1"/>
    </xf>
    <xf numFmtId="173" fontId="8" fillId="0" borderId="0" xfId="0" applyNumberFormat="1" applyFont="1"/>
    <xf numFmtId="169" fontId="13" fillId="0" borderId="0" xfId="1" applyNumberFormat="1" applyFont="1" applyFill="1"/>
    <xf numFmtId="167" fontId="22" fillId="0" borderId="0" xfId="1" applyNumberFormat="1" applyFont="1" applyFill="1" applyAlignment="1">
      <alignment horizontal="right"/>
    </xf>
    <xf numFmtId="170" fontId="10" fillId="0" borderId="77" xfId="2" quotePrefix="1" applyNumberFormat="1" applyFont="1" applyBorder="1"/>
    <xf numFmtId="170" fontId="20" fillId="0" borderId="77" xfId="2" quotePrefix="1" applyNumberFormat="1" applyFont="1" applyBorder="1"/>
    <xf numFmtId="3" fontId="13" fillId="4" borderId="0" xfId="0" applyNumberFormat="1" applyFont="1" applyFill="1"/>
    <xf numFmtId="167" fontId="7" fillId="4" borderId="9" xfId="0" applyNumberFormat="1" applyFont="1" applyFill="1" applyBorder="1"/>
    <xf numFmtId="168" fontId="5" fillId="5" borderId="0" xfId="4" applyNumberFormat="1" applyFont="1" applyFill="1" applyAlignment="1">
      <alignment horizontal="right"/>
    </xf>
    <xf numFmtId="179" fontId="44" fillId="0" borderId="0" xfId="6" applyNumberFormat="1" applyFont="1" applyFill="1" applyBorder="1" applyAlignment="1">
      <alignment horizontal="right"/>
    </xf>
    <xf numFmtId="0" fontId="118" fillId="0" borderId="32" xfId="0" applyFont="1" applyBorder="1" applyProtection="1">
      <protection locked="0"/>
    </xf>
    <xf numFmtId="0" fontId="350" fillId="11" borderId="85" xfId="0" applyFont="1" applyFill="1" applyBorder="1" applyAlignment="1">
      <alignment vertical="center"/>
    </xf>
    <xf numFmtId="0" fontId="351" fillId="0" borderId="56" xfId="0" applyFont="1" applyBorder="1" applyAlignment="1">
      <alignment horizontal="right" vertical="center"/>
    </xf>
    <xf numFmtId="0" fontId="351" fillId="0" borderId="0" xfId="0" applyFont="1" applyAlignment="1">
      <alignment vertical="center"/>
    </xf>
    <xf numFmtId="0" fontId="351" fillId="0" borderId="0" xfId="0" applyFont="1" applyAlignment="1">
      <alignment horizontal="center" vertical="center"/>
    </xf>
    <xf numFmtId="0" fontId="352" fillId="0" borderId="0" xfId="0" applyFont="1" applyAlignment="1">
      <alignment horizontal="right" vertical="center"/>
    </xf>
    <xf numFmtId="0" fontId="350" fillId="11" borderId="86" xfId="0" applyFont="1" applyFill="1" applyBorder="1" applyAlignment="1">
      <alignment vertical="center"/>
    </xf>
    <xf numFmtId="0" fontId="351" fillId="0" borderId="20" xfId="0" applyFont="1" applyBorder="1" applyAlignment="1">
      <alignment horizontal="center" vertical="center"/>
    </xf>
    <xf numFmtId="0" fontId="332" fillId="0" borderId="0" xfId="3235" applyNumberFormat="1" applyFill="1" applyBorder="1" applyAlignment="1" applyProtection="1">
      <alignment horizontal="right" vertical="center"/>
    </xf>
    <xf numFmtId="0" fontId="332" fillId="0" borderId="20" xfId="3235" applyNumberFormat="1" applyFill="1" applyBorder="1" applyAlignment="1" applyProtection="1">
      <alignment horizontal="right" vertical="center"/>
    </xf>
    <xf numFmtId="0" fontId="118" fillId="0" borderId="0" xfId="0" applyFont="1"/>
    <xf numFmtId="0" fontId="118" fillId="0" borderId="87" xfId="0" applyFont="1" applyBorder="1"/>
    <xf numFmtId="0" fontId="118" fillId="0" borderId="88" xfId="0" applyFont="1" applyBorder="1"/>
    <xf numFmtId="0" fontId="353" fillId="0" borderId="0" xfId="0" applyFont="1"/>
    <xf numFmtId="0" fontId="6" fillId="2" borderId="77" xfId="3" applyFont="1" applyFill="1" applyBorder="1" applyAlignment="1">
      <alignment horizontal="right"/>
    </xf>
    <xf numFmtId="167" fontId="18" fillId="0" borderId="77" xfId="4" applyNumberFormat="1" applyFont="1" applyBorder="1" applyAlignment="1">
      <alignment horizontal="right"/>
    </xf>
    <xf numFmtId="167" fontId="12" fillId="0" borderId="77" xfId="4" applyNumberFormat="1" applyFont="1" applyBorder="1" applyAlignment="1">
      <alignment horizontal="right"/>
    </xf>
    <xf numFmtId="170" fontId="13" fillId="0" borderId="0" xfId="2" applyNumberFormat="1" applyFont="1" applyBorder="1"/>
    <xf numFmtId="170" fontId="11" fillId="0" borderId="77" xfId="2" applyNumberFormat="1" applyFont="1" applyBorder="1" applyAlignment="1">
      <alignment horizontal="right"/>
    </xf>
    <xf numFmtId="1" fontId="21" fillId="0" borderId="77" xfId="0" applyNumberFormat="1" applyFont="1" applyBorder="1"/>
    <xf numFmtId="0" fontId="7" fillId="0" borderId="77" xfId="0" applyFont="1" applyBorder="1" applyAlignment="1">
      <alignment horizontal="left" indent="1"/>
    </xf>
    <xf numFmtId="168" fontId="12" fillId="0" borderId="77" xfId="4" applyNumberFormat="1" applyFont="1" applyFill="1" applyBorder="1" applyAlignment="1">
      <alignment horizontal="right"/>
    </xf>
    <xf numFmtId="170" fontId="6" fillId="0" borderId="77" xfId="2" applyNumberFormat="1" applyFont="1" applyBorder="1" applyAlignment="1">
      <alignment horizontal="right"/>
    </xf>
    <xf numFmtId="168" fontId="12" fillId="0" borderId="77" xfId="4" applyNumberFormat="1" applyFont="1" applyBorder="1" applyAlignment="1">
      <alignment horizontal="right"/>
    </xf>
    <xf numFmtId="3" fontId="13" fillId="0" borderId="77" xfId="0" applyNumberFormat="1" applyFont="1" applyBorder="1"/>
    <xf numFmtId="205" fontId="7" fillId="0" borderId="0" xfId="1" applyNumberFormat="1" applyFont="1"/>
    <xf numFmtId="9" fontId="13" fillId="0" borderId="0" xfId="2" applyFont="1" applyBorder="1"/>
    <xf numFmtId="167" fontId="328" fillId="0" borderId="0" xfId="1" applyNumberFormat="1" applyFont="1" applyBorder="1" applyAlignment="1">
      <alignment horizontal="right"/>
    </xf>
    <xf numFmtId="43" fontId="8" fillId="0" borderId="0" xfId="0" applyNumberFormat="1" applyFont="1"/>
    <xf numFmtId="168" fontId="0" fillId="0" borderId="0" xfId="0" applyNumberFormat="1"/>
    <xf numFmtId="165" fontId="0" fillId="4" borderId="0" xfId="0" applyNumberFormat="1" applyFill="1"/>
    <xf numFmtId="170" fontId="7" fillId="6" borderId="0" xfId="2" applyNumberFormat="1" applyFont="1" applyFill="1" applyBorder="1"/>
    <xf numFmtId="364" fontId="0" fillId="0" borderId="0" xfId="0" applyNumberFormat="1"/>
    <xf numFmtId="10" fontId="12" fillId="0" borderId="0" xfId="2" applyNumberFormat="1" applyFont="1" applyAlignment="1">
      <alignment horizontal="right"/>
    </xf>
    <xf numFmtId="167" fontId="17" fillId="0" borderId="0" xfId="4" applyNumberFormat="1" applyFont="1" applyBorder="1" applyAlignment="1">
      <alignment horizontal="right"/>
    </xf>
    <xf numFmtId="168" fontId="336" fillId="0" borderId="0" xfId="1" applyNumberFormat="1" applyFont="1"/>
    <xf numFmtId="0" fontId="354" fillId="0" borderId="89" xfId="0" applyFont="1" applyBorder="1" applyAlignment="1">
      <alignment horizontal="justify" vertical="center" wrapText="1"/>
    </xf>
    <xf numFmtId="0" fontId="354" fillId="0" borderId="90" xfId="0" applyFont="1" applyBorder="1" applyAlignment="1">
      <alignment horizontal="justify" vertical="center" wrapText="1"/>
    </xf>
    <xf numFmtId="0" fontId="354" fillId="0" borderId="90" xfId="0" applyFont="1" applyBorder="1" applyAlignment="1">
      <alignment horizontal="right" vertical="center" wrapText="1"/>
    </xf>
    <xf numFmtId="0" fontId="354" fillId="0" borderId="91" xfId="0" applyFont="1" applyBorder="1" applyAlignment="1">
      <alignment horizontal="right" vertical="center" wrapText="1"/>
    </xf>
    <xf numFmtId="0" fontId="355" fillId="0" borderId="90" xfId="0" applyFont="1" applyBorder="1" applyAlignment="1">
      <alignment horizontal="justify" vertical="center" wrapText="1"/>
    </xf>
    <xf numFmtId="168" fontId="12" fillId="6" borderId="0" xfId="4" applyNumberFormat="1" applyFont="1" applyFill="1" applyAlignment="1">
      <alignment horizontal="right"/>
    </xf>
    <xf numFmtId="43" fontId="3" fillId="0" borderId="20" xfId="1" applyFont="1" applyBorder="1"/>
    <xf numFmtId="170" fontId="333" fillId="0" borderId="0" xfId="2" applyNumberFormat="1" applyFont="1"/>
    <xf numFmtId="9" fontId="333" fillId="0" borderId="0" xfId="2" applyFont="1"/>
    <xf numFmtId="167" fontId="3" fillId="0" borderId="0" xfId="1" applyNumberFormat="1" applyFont="1"/>
    <xf numFmtId="170" fontId="3" fillId="0" borderId="0" xfId="2" applyNumberFormat="1" applyFont="1"/>
    <xf numFmtId="170" fontId="3" fillId="4" borderId="0" xfId="2" applyNumberFormat="1" applyFont="1" applyFill="1"/>
    <xf numFmtId="43" fontId="0" fillId="0" borderId="0" xfId="1" applyFont="1"/>
    <xf numFmtId="175" fontId="0" fillId="0" borderId="20" xfId="0" applyNumberFormat="1" applyBorder="1"/>
    <xf numFmtId="168" fontId="0" fillId="4" borderId="20" xfId="0" applyNumberFormat="1" applyFill="1" applyBorder="1"/>
    <xf numFmtId="168" fontId="7" fillId="6" borderId="0" xfId="1" applyNumberFormat="1" applyFont="1" applyFill="1"/>
    <xf numFmtId="168" fontId="7" fillId="6" borderId="0" xfId="0" applyNumberFormat="1" applyFont="1" applyFill="1"/>
    <xf numFmtId="165" fontId="7" fillId="6" borderId="0" xfId="0" applyNumberFormat="1" applyFont="1" applyFill="1"/>
    <xf numFmtId="170" fontId="14" fillId="6" borderId="0" xfId="0" applyNumberFormat="1" applyFont="1" applyFill="1"/>
    <xf numFmtId="170" fontId="22" fillId="0" borderId="0" xfId="2" applyNumberFormat="1" applyFont="1" applyBorder="1" applyAlignment="1">
      <alignment horizontal="right"/>
    </xf>
    <xf numFmtId="3" fontId="28" fillId="0" borderId="0" xfId="0" applyNumberFormat="1" applyFont="1"/>
    <xf numFmtId="167" fontId="5" fillId="4" borderId="0" xfId="4" applyNumberFormat="1" applyFont="1" applyFill="1" applyBorder="1" applyAlignment="1">
      <alignment horizontal="right"/>
    </xf>
    <xf numFmtId="168" fontId="5" fillId="92" borderId="0" xfId="4" applyNumberFormat="1" applyFont="1" applyFill="1" applyBorder="1" applyAlignment="1">
      <alignment horizontal="right"/>
    </xf>
    <xf numFmtId="167" fontId="12" fillId="0" borderId="0" xfId="4" applyNumberFormat="1" applyFont="1" applyFill="1" applyAlignment="1">
      <alignment horizontal="right"/>
    </xf>
    <xf numFmtId="168" fontId="12" fillId="0" borderId="0" xfId="4" applyNumberFormat="1" applyFont="1" applyFill="1" applyAlignment="1">
      <alignment horizontal="right"/>
    </xf>
    <xf numFmtId="0" fontId="5" fillId="0" borderId="0" xfId="1" applyNumberFormat="1" applyFont="1" applyFill="1" applyAlignment="1">
      <alignment horizontal="right"/>
    </xf>
    <xf numFmtId="9" fontId="5" fillId="0" borderId="0" xfId="2" applyFont="1" applyFill="1" applyAlignment="1">
      <alignment horizontal="right"/>
    </xf>
    <xf numFmtId="169" fontId="12" fillId="6" borderId="0" xfId="1" applyNumberFormat="1" applyFont="1" applyFill="1" applyAlignment="1">
      <alignment horizontal="right"/>
    </xf>
    <xf numFmtId="175" fontId="5" fillId="6" borderId="0" xfId="1" applyNumberFormat="1" applyFont="1" applyFill="1" applyAlignment="1">
      <alignment horizontal="right"/>
    </xf>
    <xf numFmtId="168" fontId="11" fillId="0" borderId="0" xfId="4" applyNumberFormat="1" applyFont="1" applyFill="1" applyAlignment="1">
      <alignment horizontal="right"/>
    </xf>
    <xf numFmtId="167" fontId="5" fillId="4" borderId="0" xfId="1" applyNumberFormat="1" applyFont="1" applyFill="1" applyAlignment="1">
      <alignment horizontal="right"/>
    </xf>
    <xf numFmtId="9" fontId="24" fillId="5" borderId="92" xfId="2" applyFont="1" applyFill="1" applyBorder="1" applyAlignment="1">
      <alignment horizontal="right" vertical="center" wrapText="1"/>
    </xf>
    <xf numFmtId="9" fontId="12" fillId="5" borderId="93" xfId="2" applyFont="1" applyFill="1" applyBorder="1" applyAlignment="1">
      <alignment horizontal="right"/>
    </xf>
    <xf numFmtId="9" fontId="17" fillId="5" borderId="93" xfId="0" applyNumberFormat="1" applyFont="1" applyFill="1" applyBorder="1" applyAlignment="1">
      <alignment horizontal="right"/>
    </xf>
    <xf numFmtId="9" fontId="24" fillId="5" borderId="93" xfId="2" applyFont="1" applyFill="1" applyBorder="1"/>
    <xf numFmtId="170" fontId="24" fillId="5" borderId="93" xfId="2" quotePrefix="1" applyNumberFormat="1" applyFont="1" applyFill="1" applyBorder="1"/>
    <xf numFmtId="4" fontId="3" fillId="0" borderId="0" xfId="0" applyNumberFormat="1" applyFont="1"/>
    <xf numFmtId="170" fontId="13" fillId="0" borderId="4" xfId="2" applyNumberFormat="1" applyFont="1" applyBorder="1"/>
    <xf numFmtId="168" fontId="5" fillId="0" borderId="0" xfId="1" applyNumberFormat="1" applyFont="1" applyAlignment="1">
      <alignment horizontal="right"/>
    </xf>
    <xf numFmtId="169" fontId="0" fillId="0" borderId="0" xfId="0" applyNumberFormat="1"/>
    <xf numFmtId="168" fontId="11" fillId="4" borderId="0" xfId="4" applyNumberFormat="1" applyFont="1" applyFill="1" applyAlignment="1">
      <alignment horizontal="right"/>
    </xf>
    <xf numFmtId="167" fontId="24" fillId="0" borderId="0" xfId="1" applyNumberFormat="1" applyFont="1"/>
    <xf numFmtId="168" fontId="24" fillId="6" borderId="0" xfId="1" applyNumberFormat="1" applyFont="1" applyFill="1"/>
    <xf numFmtId="168" fontId="24" fillId="6" borderId="77" xfId="1" applyNumberFormat="1" applyFont="1" applyFill="1" applyBorder="1"/>
    <xf numFmtId="168" fontId="24" fillId="0" borderId="0" xfId="1" applyNumberFormat="1" applyFont="1" applyBorder="1"/>
    <xf numFmtId="168" fontId="25" fillId="0" borderId="0" xfId="1" applyNumberFormat="1" applyFont="1"/>
    <xf numFmtId="0" fontId="49" fillId="0" borderId="0" xfId="0" applyFont="1"/>
    <xf numFmtId="168" fontId="49" fillId="0" borderId="0" xfId="1" applyNumberFormat="1" applyFont="1" applyBorder="1"/>
    <xf numFmtId="3" fontId="24" fillId="0" borderId="0" xfId="1" applyNumberFormat="1" applyFont="1"/>
    <xf numFmtId="1" fontId="21" fillId="4" borderId="0" xfId="0" applyNumberFormat="1" applyFont="1" applyFill="1"/>
    <xf numFmtId="168" fontId="9" fillId="4" borderId="0" xfId="4" applyNumberFormat="1" applyFont="1" applyFill="1" applyAlignment="1">
      <alignment horizontal="right"/>
    </xf>
    <xf numFmtId="167" fontId="6" fillId="0" borderId="0" xfId="4" applyNumberFormat="1" applyFont="1" applyFill="1" applyBorder="1" applyAlignment="1">
      <alignment horizontal="right"/>
    </xf>
    <xf numFmtId="1" fontId="13" fillId="4" borderId="0" xfId="0" applyNumberFormat="1" applyFont="1" applyFill="1"/>
    <xf numFmtId="170" fontId="329" fillId="0" borderId="0" xfId="2" applyNumberFormat="1" applyFont="1" applyFill="1" applyBorder="1" applyAlignment="1"/>
    <xf numFmtId="3" fontId="25" fillId="0" borderId="0" xfId="1" applyNumberFormat="1" applyFont="1" applyFill="1" applyBorder="1" applyAlignment="1"/>
    <xf numFmtId="3" fontId="25" fillId="0" borderId="77" xfId="1" applyNumberFormat="1" applyFont="1" applyFill="1" applyBorder="1" applyAlignment="1"/>
    <xf numFmtId="167" fontId="6" fillId="0" borderId="0" xfId="1" applyNumberFormat="1" applyFont="1" applyFill="1" applyBorder="1" applyAlignment="1">
      <alignment horizontal="right"/>
    </xf>
    <xf numFmtId="168" fontId="8" fillId="5" borderId="0" xfId="1" applyNumberFormat="1" applyFont="1" applyFill="1"/>
    <xf numFmtId="3" fontId="329" fillId="89" borderId="0" xfId="1" applyNumberFormat="1" applyFont="1" applyFill="1" applyBorder="1" applyAlignment="1"/>
    <xf numFmtId="175" fontId="337" fillId="89" borderId="0" xfId="1" applyNumberFormat="1" applyFont="1" applyFill="1" applyBorder="1" applyAlignment="1"/>
    <xf numFmtId="3" fontId="24" fillId="89" borderId="0" xfId="1" applyNumberFormat="1" applyFont="1" applyFill="1" applyBorder="1" applyAlignment="1"/>
    <xf numFmtId="175" fontId="24" fillId="89" borderId="0" xfId="1" applyNumberFormat="1" applyFont="1" applyFill="1" applyBorder="1" applyAlignment="1"/>
    <xf numFmtId="0" fontId="24" fillId="89" borderId="0" xfId="0" applyFont="1" applyFill="1"/>
    <xf numFmtId="168" fontId="25" fillId="89" borderId="9" xfId="1" applyNumberFormat="1" applyFont="1" applyFill="1" applyBorder="1"/>
    <xf numFmtId="170" fontId="27" fillId="89" borderId="0" xfId="2" applyNumberFormat="1" applyFont="1" applyFill="1" applyBorder="1"/>
    <xf numFmtId="173" fontId="23" fillId="6" borderId="0" xfId="0" applyNumberFormat="1" applyFont="1" applyFill="1"/>
    <xf numFmtId="170" fontId="7" fillId="6" borderId="0" xfId="2" applyNumberFormat="1" applyFont="1" applyFill="1"/>
    <xf numFmtId="172" fontId="330" fillId="5" borderId="0" xfId="0" applyNumberFormat="1" applyFont="1" applyFill="1"/>
    <xf numFmtId="167" fontId="13" fillId="4" borderId="0" xfId="1" applyNumberFormat="1" applyFont="1" applyFill="1"/>
    <xf numFmtId="170" fontId="18" fillId="0" borderId="0" xfId="2" applyNumberFormat="1" applyFont="1" applyFill="1" applyBorder="1" applyAlignment="1"/>
    <xf numFmtId="0" fontId="341" fillId="0" borderId="0" xfId="0" applyFont="1" applyAlignment="1">
      <alignment vertical="center"/>
    </xf>
    <xf numFmtId="167" fontId="24" fillId="0" borderId="0" xfId="0" applyNumberFormat="1" applyFont="1"/>
    <xf numFmtId="167" fontId="8" fillId="0" borderId="7" xfId="1" applyNumberFormat="1" applyFont="1" applyBorder="1"/>
    <xf numFmtId="168" fontId="333" fillId="0" borderId="0" xfId="1" applyNumberFormat="1" applyFont="1"/>
    <xf numFmtId="2" fontId="335" fillId="0" borderId="77" xfId="0" applyNumberFormat="1" applyFont="1" applyBorder="1"/>
    <xf numFmtId="167" fontId="6" fillId="8" borderId="94" xfId="1" applyNumberFormat="1" applyFont="1" applyFill="1" applyBorder="1" applyAlignment="1">
      <alignment horizontal="right"/>
    </xf>
    <xf numFmtId="0" fontId="0" fillId="91" borderId="0" xfId="0" applyFill="1"/>
    <xf numFmtId="17" fontId="0" fillId="91" borderId="0" xfId="0" applyNumberFormat="1" applyFill="1"/>
    <xf numFmtId="0" fontId="0" fillId="84" borderId="20" xfId="0" applyFill="1" applyBorder="1"/>
    <xf numFmtId="167" fontId="0" fillId="84" borderId="20" xfId="1" applyNumberFormat="1" applyFont="1" applyFill="1" applyBorder="1"/>
    <xf numFmtId="167" fontId="0" fillId="84" borderId="20" xfId="0" applyNumberFormat="1" applyFill="1" applyBorder="1"/>
    <xf numFmtId="167" fontId="0" fillId="84" borderId="20" xfId="0" applyNumberFormat="1" applyFill="1" applyBorder="1" applyAlignment="1">
      <alignment horizontal="right"/>
    </xf>
    <xf numFmtId="0" fontId="0" fillId="0" borderId="22" xfId="0" applyBorder="1"/>
    <xf numFmtId="0" fontId="0" fillId="0" borderId="19" xfId="0" applyBorder="1"/>
    <xf numFmtId="0" fontId="0" fillId="0" borderId="26" xfId="0" applyBorder="1"/>
    <xf numFmtId="167" fontId="0" fillId="0" borderId="0" xfId="1" applyNumberFormat="1" applyFont="1" applyBorder="1"/>
    <xf numFmtId="167" fontId="6" fillId="0" borderId="3" xfId="1" applyNumberFormat="1" applyFont="1" applyBorder="1" applyAlignment="1">
      <alignment horizontal="right"/>
    </xf>
    <xf numFmtId="167" fontId="6" fillId="0" borderId="5" xfId="1" applyNumberFormat="1" applyFont="1" applyBorder="1" applyAlignment="1">
      <alignment horizontal="right"/>
    </xf>
    <xf numFmtId="167" fontId="6" fillId="0" borderId="4" xfId="1" applyNumberFormat="1" applyFont="1" applyBorder="1" applyAlignment="1">
      <alignment horizontal="right"/>
    </xf>
    <xf numFmtId="167" fontId="18" fillId="0" borderId="4" xfId="1" applyNumberFormat="1" applyFont="1" applyBorder="1" applyAlignment="1">
      <alignment horizontal="right"/>
    </xf>
    <xf numFmtId="167" fontId="18" fillId="0" borderId="3" xfId="1" applyNumberFormat="1" applyFont="1" applyBorder="1" applyAlignment="1">
      <alignment horizontal="right"/>
    </xf>
    <xf numFmtId="167" fontId="18" fillId="0" borderId="5" xfId="1" applyNumberFormat="1" applyFont="1" applyBorder="1" applyAlignment="1">
      <alignment horizontal="right"/>
    </xf>
    <xf numFmtId="167" fontId="18" fillId="90" borderId="3" xfId="1" applyNumberFormat="1" applyFont="1" applyFill="1" applyBorder="1" applyAlignment="1">
      <alignment horizontal="right"/>
    </xf>
    <xf numFmtId="167" fontId="18" fillId="90" borderId="4" xfId="1" applyNumberFormat="1" applyFont="1" applyFill="1" applyBorder="1" applyAlignment="1">
      <alignment horizontal="right"/>
    </xf>
    <xf numFmtId="167" fontId="9" fillId="0" borderId="3" xfId="1" applyNumberFormat="1" applyFont="1" applyBorder="1" applyAlignment="1">
      <alignment horizontal="right"/>
    </xf>
    <xf numFmtId="167" fontId="9" fillId="0" borderId="5" xfId="1" applyNumberFormat="1" applyFont="1" applyBorder="1" applyAlignment="1">
      <alignment horizontal="right"/>
    </xf>
    <xf numFmtId="167" fontId="9" fillId="0" borderId="4" xfId="1" applyNumberFormat="1" applyFont="1" applyBorder="1" applyAlignment="1">
      <alignment horizontal="right"/>
    </xf>
    <xf numFmtId="167" fontId="6" fillId="8" borderId="3" xfId="1" applyNumberFormat="1" applyFont="1" applyFill="1" applyBorder="1" applyAlignment="1">
      <alignment horizontal="right"/>
    </xf>
    <xf numFmtId="167" fontId="6" fillId="5" borderId="3" xfId="1" applyNumberFormat="1" applyFont="1" applyFill="1" applyBorder="1" applyAlignment="1">
      <alignment horizontal="right"/>
    </xf>
    <xf numFmtId="167" fontId="10" fillId="0" borderId="0" xfId="1" applyNumberFormat="1" applyFont="1" applyBorder="1"/>
    <xf numFmtId="167" fontId="20" fillId="0" borderId="0" xfId="1" applyNumberFormat="1" applyFont="1"/>
    <xf numFmtId="167" fontId="7" fillId="0" borderId="0" xfId="1" applyNumberFormat="1" applyFont="1" applyBorder="1"/>
    <xf numFmtId="167" fontId="7" fillId="0" borderId="77" xfId="1" applyNumberFormat="1" applyFont="1" applyBorder="1"/>
    <xf numFmtId="167" fontId="7" fillId="5" borderId="0" xfId="1" applyNumberFormat="1" applyFont="1" applyFill="1"/>
    <xf numFmtId="167" fontId="331" fillId="0" borderId="0" xfId="1" applyNumberFormat="1" applyFont="1"/>
    <xf numFmtId="167" fontId="18" fillId="0" borderId="0" xfId="1" applyNumberFormat="1" applyFont="1" applyBorder="1" applyAlignment="1">
      <alignment horizontal="right"/>
    </xf>
    <xf numFmtId="167" fontId="18" fillId="0" borderId="77" xfId="1" applyNumberFormat="1" applyFont="1" applyBorder="1" applyAlignment="1">
      <alignment horizontal="right"/>
    </xf>
    <xf numFmtId="167" fontId="12" fillId="0" borderId="0" xfId="1" applyNumberFormat="1" applyFont="1" applyBorder="1" applyAlignment="1">
      <alignment horizontal="right"/>
    </xf>
    <xf numFmtId="167" fontId="12" fillId="0" borderId="77" xfId="1" applyNumberFormat="1" applyFont="1" applyBorder="1" applyAlignment="1">
      <alignment horizontal="right"/>
    </xf>
    <xf numFmtId="167" fontId="18" fillId="90" borderId="0" xfId="1" applyNumberFormat="1" applyFont="1" applyFill="1" applyBorder="1" applyAlignment="1">
      <alignment horizontal="right"/>
    </xf>
    <xf numFmtId="167" fontId="18" fillId="90" borderId="77" xfId="1" applyNumberFormat="1" applyFont="1" applyFill="1" applyBorder="1" applyAlignment="1">
      <alignment horizontal="right"/>
    </xf>
    <xf numFmtId="167" fontId="6" fillId="0" borderId="0" xfId="1" applyNumberFormat="1" applyFont="1" applyBorder="1" applyAlignment="1">
      <alignment horizontal="right"/>
    </xf>
    <xf numFmtId="167" fontId="6" fillId="5" borderId="0" xfId="1" applyNumberFormat="1" applyFont="1" applyFill="1" applyAlignment="1">
      <alignment horizontal="right"/>
    </xf>
    <xf numFmtId="167" fontId="12" fillId="90" borderId="0" xfId="1" applyNumberFormat="1" applyFont="1" applyFill="1" applyBorder="1" applyAlignment="1">
      <alignment horizontal="right"/>
    </xf>
    <xf numFmtId="167" fontId="12" fillId="90" borderId="77" xfId="1" applyNumberFormat="1" applyFont="1" applyFill="1" applyBorder="1" applyAlignment="1">
      <alignment horizontal="right"/>
    </xf>
    <xf numFmtId="167" fontId="19" fillId="0" borderId="0" xfId="1" applyNumberFormat="1" applyFont="1" applyBorder="1" applyAlignment="1">
      <alignment horizontal="right"/>
    </xf>
    <xf numFmtId="167" fontId="12" fillId="6" borderId="0" xfId="1" applyNumberFormat="1" applyFont="1" applyFill="1" applyAlignment="1">
      <alignment horizontal="right"/>
    </xf>
    <xf numFmtId="167" fontId="5" fillId="5" borderId="0" xfId="1" applyNumberFormat="1" applyFont="1" applyFill="1" applyAlignment="1">
      <alignment horizontal="right"/>
    </xf>
    <xf numFmtId="167" fontId="10" fillId="0" borderId="0" xfId="1" quotePrefix="1" applyNumberFormat="1" applyFont="1" applyBorder="1"/>
    <xf numFmtId="167" fontId="10" fillId="0" borderId="0" xfId="1" quotePrefix="1" applyNumberFormat="1" applyFont="1"/>
    <xf numFmtId="167" fontId="5" fillId="6" borderId="0" xfId="1" applyNumberFormat="1" applyFont="1" applyFill="1" applyAlignment="1">
      <alignment horizontal="right"/>
    </xf>
    <xf numFmtId="167" fontId="11" fillId="5" borderId="0" xfId="1" applyNumberFormat="1" applyFont="1" applyFill="1" applyAlignment="1">
      <alignment horizontal="right"/>
    </xf>
    <xf numFmtId="167" fontId="5" fillId="0" borderId="0" xfId="1" applyNumberFormat="1" applyFont="1" applyBorder="1" applyAlignment="1">
      <alignment horizontal="right"/>
    </xf>
    <xf numFmtId="167" fontId="5" fillId="0" borderId="77" xfId="1" applyNumberFormat="1" applyFont="1" applyBorder="1" applyAlignment="1">
      <alignment horizontal="right"/>
    </xf>
    <xf numFmtId="167" fontId="5" fillId="90" borderId="0" xfId="1" applyNumberFormat="1" applyFont="1" applyFill="1" applyBorder="1" applyAlignment="1">
      <alignment horizontal="right"/>
    </xf>
    <xf numFmtId="167" fontId="12" fillId="0" borderId="0" xfId="1" applyNumberFormat="1" applyFont="1" applyAlignment="1">
      <alignment horizontal="right"/>
    </xf>
    <xf numFmtId="167" fontId="20" fillId="0" borderId="0" xfId="1" quotePrefix="1" applyNumberFormat="1" applyFont="1" applyBorder="1"/>
    <xf numFmtId="167" fontId="20" fillId="0" borderId="77" xfId="1" quotePrefix="1" applyNumberFormat="1" applyFont="1" applyBorder="1"/>
    <xf numFmtId="167" fontId="20" fillId="5" borderId="0" xfId="1" applyNumberFormat="1" applyFont="1" applyFill="1"/>
    <xf numFmtId="167" fontId="13" fillId="0" borderId="0" xfId="1" applyNumberFormat="1" applyFont="1" applyBorder="1"/>
    <xf numFmtId="167" fontId="13" fillId="0" borderId="4" xfId="1" applyNumberFormat="1" applyFont="1" applyBorder="1"/>
    <xf numFmtId="167" fontId="13" fillId="0" borderId="77" xfId="1" applyNumberFormat="1" applyFont="1" applyBorder="1"/>
    <xf numFmtId="167" fontId="6" fillId="0" borderId="6" xfId="1" applyNumberFormat="1" applyFont="1" applyBorder="1" applyAlignment="1">
      <alignment horizontal="right"/>
    </xf>
    <xf numFmtId="167" fontId="6" fillId="0" borderId="7" xfId="1" applyNumberFormat="1" applyFont="1" applyBorder="1" applyAlignment="1">
      <alignment horizontal="right"/>
    </xf>
    <xf numFmtId="167" fontId="6" fillId="0" borderId="8" xfId="1" applyNumberFormat="1" applyFont="1" applyBorder="1" applyAlignment="1">
      <alignment horizontal="right"/>
    </xf>
    <xf numFmtId="167" fontId="6" fillId="90" borderId="6" xfId="1" applyNumberFormat="1" applyFont="1" applyFill="1" applyBorder="1" applyAlignment="1">
      <alignment horizontal="right"/>
    </xf>
    <xf numFmtId="167" fontId="6" fillId="90" borderId="7" xfId="1" applyNumberFormat="1" applyFont="1" applyFill="1" applyBorder="1" applyAlignment="1">
      <alignment horizontal="right"/>
    </xf>
    <xf numFmtId="167" fontId="6" fillId="5" borderId="6" xfId="1" applyNumberFormat="1" applyFont="1" applyFill="1" applyBorder="1" applyAlignment="1">
      <alignment horizontal="right"/>
    </xf>
    <xf numFmtId="167" fontId="8" fillId="0" borderId="0" xfId="1" applyNumberFormat="1" applyFont="1"/>
    <xf numFmtId="167" fontId="8" fillId="0" borderId="77" xfId="1" applyNumberFormat="1" applyFont="1" applyBorder="1"/>
    <xf numFmtId="167" fontId="6" fillId="0" borderId="9" xfId="1" applyNumberFormat="1" applyFont="1" applyBorder="1" applyAlignment="1">
      <alignment horizontal="right"/>
    </xf>
    <xf numFmtId="167" fontId="6" fillId="0" borderId="10" xfId="1" applyNumberFormat="1" applyFont="1" applyBorder="1" applyAlignment="1">
      <alignment horizontal="right"/>
    </xf>
    <xf numFmtId="167" fontId="6" fillId="0" borderId="11" xfId="1" applyNumberFormat="1" applyFont="1" applyBorder="1" applyAlignment="1">
      <alignment horizontal="right"/>
    </xf>
    <xf numFmtId="167" fontId="18" fillId="0" borderId="11" xfId="1" applyNumberFormat="1" applyFont="1" applyBorder="1" applyAlignment="1">
      <alignment horizontal="right"/>
    </xf>
    <xf numFmtId="167" fontId="18" fillId="0" borderId="9" xfId="1" applyNumberFormat="1" applyFont="1" applyBorder="1" applyAlignment="1">
      <alignment horizontal="right"/>
    </xf>
    <xf numFmtId="167" fontId="6" fillId="5" borderId="9" xfId="1" applyNumberFormat="1" applyFont="1" applyFill="1" applyBorder="1" applyAlignment="1">
      <alignment horizontal="right"/>
    </xf>
    <xf numFmtId="167" fontId="7" fillId="0" borderId="0" xfId="1" applyNumberFormat="1" applyFont="1" applyAlignment="1">
      <alignment horizontal="right"/>
    </xf>
    <xf numFmtId="167" fontId="6" fillId="0" borderId="12" xfId="1" applyNumberFormat="1" applyFont="1" applyBorder="1" applyAlignment="1">
      <alignment horizontal="right"/>
    </xf>
    <xf numFmtId="167" fontId="6" fillId="0" borderId="13" xfId="1" applyNumberFormat="1" applyFont="1" applyBorder="1" applyAlignment="1">
      <alignment horizontal="right"/>
    </xf>
    <xf numFmtId="167" fontId="6" fillId="0" borderId="14" xfId="1" applyNumberFormat="1" applyFont="1" applyBorder="1" applyAlignment="1">
      <alignment horizontal="right"/>
    </xf>
    <xf numFmtId="167" fontId="18" fillId="0" borderId="12" xfId="1" applyNumberFormat="1" applyFont="1" applyBorder="1" applyAlignment="1">
      <alignment horizontal="right"/>
    </xf>
    <xf numFmtId="167" fontId="6" fillId="5" borderId="12" xfId="1" applyNumberFormat="1" applyFont="1" applyFill="1" applyBorder="1" applyAlignment="1">
      <alignment horizontal="right"/>
    </xf>
    <xf numFmtId="167" fontId="21" fillId="0" borderId="77" xfId="1" applyNumberFormat="1" applyFont="1" applyBorder="1"/>
    <xf numFmtId="167" fontId="21" fillId="4" borderId="0" xfId="1" applyNumberFormat="1" applyFont="1" applyFill="1"/>
    <xf numFmtId="167" fontId="21" fillId="4" borderId="77" xfId="1" applyNumberFormat="1" applyFont="1" applyFill="1" applyBorder="1"/>
    <xf numFmtId="167" fontId="13" fillId="6" borderId="0" xfId="1" applyNumberFormat="1" applyFont="1" applyFill="1"/>
    <xf numFmtId="167" fontId="17" fillId="5" borderId="0" xfId="1" applyNumberFormat="1" applyFont="1" applyFill="1" applyAlignment="1">
      <alignment horizontal="right"/>
    </xf>
    <xf numFmtId="167" fontId="21" fillId="6" borderId="0" xfId="1" applyNumberFormat="1" applyFont="1" applyFill="1"/>
    <xf numFmtId="167" fontId="7" fillId="0" borderId="0" xfId="1" applyNumberFormat="1" applyFont="1" applyAlignment="1">
      <alignment horizontal="left" indent="1"/>
    </xf>
    <xf numFmtId="167" fontId="7" fillId="0" borderId="77" xfId="1" applyNumberFormat="1" applyFont="1" applyBorder="1" applyAlignment="1">
      <alignment horizontal="left" indent="1"/>
    </xf>
    <xf numFmtId="167" fontId="12" fillId="8" borderId="0" xfId="1" applyNumberFormat="1" applyFont="1" applyFill="1" applyAlignment="1">
      <alignment horizontal="right"/>
    </xf>
    <xf numFmtId="167" fontId="14" fillId="0" borderId="77" xfId="1" applyNumberFormat="1" applyFont="1" applyBorder="1"/>
    <xf numFmtId="167" fontId="18" fillId="0" borderId="6" xfId="1" applyNumberFormat="1" applyFont="1" applyBorder="1" applyAlignment="1">
      <alignment horizontal="right"/>
    </xf>
    <xf numFmtId="167" fontId="22" fillId="0" borderId="0" xfId="1" applyNumberFormat="1" applyFont="1" applyBorder="1" applyAlignment="1">
      <alignment horizontal="right"/>
    </xf>
    <xf numFmtId="167" fontId="6" fillId="0" borderId="77" xfId="1" applyNumberFormat="1" applyFont="1" applyBorder="1" applyAlignment="1">
      <alignment horizontal="right"/>
    </xf>
    <xf numFmtId="167" fontId="22" fillId="0" borderId="77" xfId="1" applyNumberFormat="1" applyFont="1" applyBorder="1" applyAlignment="1">
      <alignment horizontal="right"/>
    </xf>
    <xf numFmtId="167" fontId="6" fillId="0" borderId="77" xfId="1" applyNumberFormat="1" applyFont="1" applyFill="1" applyBorder="1" applyAlignment="1">
      <alignment horizontal="right"/>
    </xf>
    <xf numFmtId="167" fontId="8" fillId="5" borderId="0" xfId="1" applyNumberFormat="1" applyFont="1" applyFill="1"/>
    <xf numFmtId="167" fontId="12" fillId="0" borderId="0" xfId="1" applyNumberFormat="1" applyFont="1" applyFill="1" applyBorder="1" applyAlignment="1">
      <alignment horizontal="right"/>
    </xf>
    <xf numFmtId="167" fontId="5" fillId="0" borderId="0" xfId="1" applyNumberFormat="1" applyFont="1" applyFill="1" applyBorder="1" applyAlignment="1">
      <alignment horizontal="right"/>
    </xf>
    <xf numFmtId="167" fontId="12" fillId="0" borderId="77" xfId="1" applyNumberFormat="1" applyFont="1" applyFill="1" applyBorder="1" applyAlignment="1">
      <alignment horizontal="right"/>
    </xf>
    <xf numFmtId="167" fontId="12" fillId="4" borderId="77" xfId="1" applyNumberFormat="1" applyFont="1" applyFill="1" applyBorder="1" applyAlignment="1">
      <alignment horizontal="right"/>
    </xf>
    <xf numFmtId="167" fontId="18" fillId="4" borderId="77" xfId="1" applyNumberFormat="1" applyFont="1" applyFill="1" applyBorder="1" applyAlignment="1">
      <alignment horizontal="right"/>
    </xf>
    <xf numFmtId="167" fontId="6" fillId="8" borderId="0" xfId="1" applyNumberFormat="1" applyFont="1" applyFill="1" applyAlignment="1">
      <alignment horizontal="right"/>
    </xf>
    <xf numFmtId="167" fontId="7" fillId="0" borderId="0" xfId="1" applyNumberFormat="1" applyFont="1" applyFill="1"/>
    <xf numFmtId="167" fontId="17" fillId="0" borderId="0" xfId="1" applyNumberFormat="1" applyFont="1" applyBorder="1" applyAlignment="1">
      <alignment horizontal="right"/>
    </xf>
    <xf numFmtId="167" fontId="18" fillId="0" borderId="0" xfId="1" applyNumberFormat="1" applyFont="1" applyAlignment="1">
      <alignment horizontal="right"/>
    </xf>
    <xf numFmtId="167" fontId="5" fillId="4" borderId="0" xfId="1" applyNumberFormat="1" applyFont="1" applyFill="1" applyBorder="1" applyAlignment="1">
      <alignment horizontal="right"/>
    </xf>
    <xf numFmtId="167" fontId="7" fillId="3" borderId="0" xfId="1" applyNumberFormat="1" applyFont="1" applyFill="1"/>
    <xf numFmtId="167" fontId="7" fillId="3" borderId="77" xfId="1" applyNumberFormat="1" applyFont="1" applyFill="1" applyBorder="1"/>
    <xf numFmtId="167" fontId="7" fillId="6" borderId="0" xfId="1" applyNumberFormat="1" applyFont="1" applyFill="1" applyBorder="1"/>
    <xf numFmtId="167" fontId="13" fillId="4" borderId="0" xfId="1" applyNumberFormat="1" applyFont="1" applyFill="1" applyBorder="1"/>
    <xf numFmtId="167" fontId="14" fillId="4" borderId="77" xfId="1" applyNumberFormat="1" applyFont="1" applyFill="1" applyBorder="1"/>
    <xf numFmtId="167" fontId="20" fillId="0" borderId="77" xfId="1" applyNumberFormat="1" applyFont="1" applyBorder="1"/>
    <xf numFmtId="167" fontId="19" fillId="0" borderId="77" xfId="1" applyNumberFormat="1" applyFont="1" applyBorder="1" applyAlignment="1">
      <alignment horizontal="right"/>
    </xf>
    <xf numFmtId="0" fontId="0" fillId="0" borderId="7" xfId="0" applyBorder="1"/>
    <xf numFmtId="167" fontId="0" fillId="0" borderId="6" xfId="1" applyNumberFormat="1" applyFont="1" applyBorder="1"/>
    <xf numFmtId="167" fontId="0" fillId="0" borderId="8" xfId="1" applyNumberFormat="1" applyFont="1" applyBorder="1"/>
    <xf numFmtId="0" fontId="0" fillId="0" borderId="6" xfId="0" applyBorder="1"/>
    <xf numFmtId="0" fontId="0" fillId="0" borderId="4" xfId="0" applyBorder="1"/>
    <xf numFmtId="167" fontId="0" fillId="0" borderId="3" xfId="1" applyNumberFormat="1" applyFont="1" applyBorder="1"/>
    <xf numFmtId="167" fontId="0" fillId="0" borderId="5" xfId="1" applyNumberFormat="1" applyFont="1" applyBorder="1"/>
    <xf numFmtId="0" fontId="16" fillId="0" borderId="7" xfId="0" applyFont="1" applyBorder="1" applyAlignment="1">
      <alignment horizontal="center"/>
    </xf>
    <xf numFmtId="175" fontId="7" fillId="0" borderId="7" xfId="0" applyNumberFormat="1" applyFont="1" applyBorder="1"/>
    <xf numFmtId="175" fontId="7" fillId="0" borderId="6" xfId="0" applyNumberFormat="1" applyFont="1" applyBorder="1"/>
    <xf numFmtId="175" fontId="7" fillId="0" borderId="8" xfId="0" applyNumberFormat="1" applyFont="1" applyBorder="1"/>
    <xf numFmtId="175" fontId="14" fillId="4" borderId="6" xfId="0" applyNumberFormat="1" applyFont="1" applyFill="1" applyBorder="1"/>
    <xf numFmtId="175" fontId="14" fillId="4" borderId="8" xfId="0" applyNumberFormat="1" applyFont="1" applyFill="1" applyBorder="1"/>
    <xf numFmtId="175" fontId="14" fillId="4" borderId="7" xfId="0" applyNumberFormat="1" applyFont="1" applyFill="1" applyBorder="1"/>
    <xf numFmtId="168" fontId="5" fillId="0" borderId="6" xfId="4" applyNumberFormat="1" applyFont="1" applyBorder="1" applyAlignment="1">
      <alignment horizontal="right"/>
    </xf>
    <xf numFmtId="168" fontId="17" fillId="5" borderId="6" xfId="4" applyNumberFormat="1" applyFont="1" applyFill="1" applyBorder="1" applyAlignment="1">
      <alignment horizontal="right"/>
    </xf>
    <xf numFmtId="9" fontId="0" fillId="0" borderId="6" xfId="2" applyFont="1" applyBorder="1"/>
    <xf numFmtId="0" fontId="16" fillId="0" borderId="4" xfId="0" applyFont="1" applyBorder="1" applyAlignment="1">
      <alignment horizontal="center"/>
    </xf>
    <xf numFmtId="167" fontId="0" fillId="0" borderId="19" xfId="1" applyNumberFormat="1" applyFont="1" applyBorder="1"/>
    <xf numFmtId="167" fontId="0" fillId="0" borderId="26" xfId="1" applyNumberFormat="1" applyFont="1" applyBorder="1"/>
    <xf numFmtId="167" fontId="0" fillId="0" borderId="19" xfId="0" applyNumberFormat="1" applyBorder="1"/>
    <xf numFmtId="0" fontId="16" fillId="0" borderId="22" xfId="0" applyFont="1" applyBorder="1" applyAlignment="1">
      <alignment horizontal="center"/>
    </xf>
    <xf numFmtId="0" fontId="7" fillId="0" borderId="19" xfId="0" applyFont="1" applyBorder="1"/>
    <xf numFmtId="0" fontId="7" fillId="0" borderId="22" xfId="0" applyFont="1" applyBorder="1"/>
    <xf numFmtId="175" fontId="7" fillId="0" borderId="19" xfId="0" applyNumberFormat="1" applyFont="1" applyBorder="1"/>
    <xf numFmtId="167" fontId="7" fillId="0" borderId="19" xfId="1" applyNumberFormat="1" applyFont="1" applyBorder="1"/>
    <xf numFmtId="167" fontId="7" fillId="0" borderId="26" xfId="1" applyNumberFormat="1" applyFont="1" applyBorder="1"/>
    <xf numFmtId="167" fontId="7" fillId="0" borderId="22" xfId="1" applyNumberFormat="1" applyFont="1" applyBorder="1"/>
    <xf numFmtId="167" fontId="7" fillId="5" borderId="19" xfId="1" applyNumberFormat="1" applyFont="1" applyFill="1" applyBorder="1"/>
    <xf numFmtId="0" fontId="8" fillId="0" borderId="19" xfId="0" applyFont="1" applyBorder="1"/>
    <xf numFmtId="167" fontId="18" fillId="0" borderId="19" xfId="1" applyNumberFormat="1" applyFont="1" applyBorder="1" applyAlignment="1">
      <alignment horizontal="right"/>
    </xf>
    <xf numFmtId="167" fontId="18" fillId="0" borderId="22" xfId="1" applyNumberFormat="1" applyFont="1" applyBorder="1" applyAlignment="1">
      <alignment horizontal="right"/>
    </xf>
    <xf numFmtId="0" fontId="16" fillId="0" borderId="77" xfId="0" applyFont="1" applyBorder="1" applyAlignment="1">
      <alignment horizontal="center"/>
    </xf>
    <xf numFmtId="167" fontId="7" fillId="5" borderId="0" xfId="1" applyNumberFormat="1" applyFont="1" applyFill="1" applyBorder="1"/>
    <xf numFmtId="167" fontId="6" fillId="6" borderId="0" xfId="1" applyNumberFormat="1" applyFont="1" applyFill="1" applyBorder="1" applyAlignment="1">
      <alignment horizontal="right"/>
    </xf>
    <xf numFmtId="167" fontId="18" fillId="6" borderId="0" xfId="1" applyNumberFormat="1" applyFont="1" applyFill="1" applyBorder="1" applyAlignment="1">
      <alignment horizontal="right"/>
    </xf>
    <xf numFmtId="167" fontId="6" fillId="5" borderId="0" xfId="1" applyNumberFormat="1" applyFont="1" applyFill="1" applyBorder="1" applyAlignment="1">
      <alignment horizontal="right"/>
    </xf>
    <xf numFmtId="167" fontId="12" fillId="0" borderId="4" xfId="4" applyNumberFormat="1" applyFont="1" applyBorder="1" applyAlignment="1">
      <alignment horizontal="right"/>
    </xf>
    <xf numFmtId="167" fontId="12" fillId="0" borderId="3" xfId="4" applyNumberFormat="1" applyFont="1" applyBorder="1" applyAlignment="1">
      <alignment horizontal="right"/>
    </xf>
    <xf numFmtId="167" fontId="12" fillId="0" borderId="3" xfId="1" applyNumberFormat="1" applyFont="1" applyBorder="1" applyAlignment="1">
      <alignment horizontal="right"/>
    </xf>
    <xf numFmtId="167" fontId="12" fillId="0" borderId="5" xfId="1" applyNumberFormat="1" applyFont="1" applyBorder="1" applyAlignment="1">
      <alignment horizontal="right"/>
    </xf>
    <xf numFmtId="167" fontId="12" fillId="0" borderId="4" xfId="1" applyNumberFormat="1" applyFont="1" applyBorder="1" applyAlignment="1">
      <alignment horizontal="right"/>
    </xf>
    <xf numFmtId="167" fontId="12" fillId="90" borderId="4" xfId="1" applyNumberFormat="1" applyFont="1" applyFill="1" applyBorder="1" applyAlignment="1">
      <alignment horizontal="right"/>
    </xf>
    <xf numFmtId="167" fontId="19" fillId="0" borderId="3" xfId="1" applyNumberFormat="1" applyFont="1" applyBorder="1" applyAlignment="1">
      <alignment horizontal="right"/>
    </xf>
    <xf numFmtId="167" fontId="19" fillId="0" borderId="5" xfId="1" applyNumberFormat="1" applyFont="1" applyBorder="1" applyAlignment="1">
      <alignment horizontal="right"/>
    </xf>
    <xf numFmtId="167" fontId="19" fillId="0" borderId="4" xfId="1" applyNumberFormat="1" applyFont="1" applyBorder="1" applyAlignment="1">
      <alignment horizontal="right"/>
    </xf>
    <xf numFmtId="167" fontId="12" fillId="6" borderId="3" xfId="1" applyNumberFormat="1" applyFont="1" applyFill="1" applyBorder="1" applyAlignment="1">
      <alignment horizontal="right"/>
    </xf>
    <xf numFmtId="167" fontId="5" fillId="5" borderId="3" xfId="1" applyNumberFormat="1" applyFont="1" applyFill="1" applyBorder="1" applyAlignment="1">
      <alignment horizontal="right"/>
    </xf>
    <xf numFmtId="167" fontId="12" fillId="0" borderId="22" xfId="4" applyNumberFormat="1" applyFont="1" applyBorder="1" applyAlignment="1">
      <alignment horizontal="right"/>
    </xf>
    <xf numFmtId="167" fontId="12" fillId="0" borderId="19" xfId="4" applyNumberFormat="1" applyFont="1" applyBorder="1" applyAlignment="1">
      <alignment horizontal="right"/>
    </xf>
    <xf numFmtId="167" fontId="12" fillId="0" borderId="19" xfId="1" applyNumberFormat="1" applyFont="1" applyBorder="1" applyAlignment="1">
      <alignment horizontal="right"/>
    </xf>
    <xf numFmtId="167" fontId="12" fillId="0" borderId="26" xfId="1" applyNumberFormat="1" applyFont="1" applyBorder="1" applyAlignment="1">
      <alignment horizontal="right"/>
    </xf>
    <xf numFmtId="167" fontId="12" fillId="0" borderId="22" xfId="1" applyNumberFormat="1" applyFont="1" applyBorder="1" applyAlignment="1">
      <alignment horizontal="right"/>
    </xf>
    <xf numFmtId="167" fontId="12" fillId="90" borderId="19" xfId="1" applyNumberFormat="1" applyFont="1" applyFill="1" applyBorder="1" applyAlignment="1">
      <alignment horizontal="right"/>
    </xf>
    <xf numFmtId="167" fontId="12" fillId="90" borderId="22" xfId="1" applyNumberFormat="1" applyFont="1" applyFill="1" applyBorder="1" applyAlignment="1">
      <alignment horizontal="right"/>
    </xf>
    <xf numFmtId="167" fontId="19" fillId="0" borderId="19" xfId="1" applyNumberFormat="1" applyFont="1" applyBorder="1" applyAlignment="1">
      <alignment horizontal="right"/>
    </xf>
    <xf numFmtId="167" fontId="19" fillId="0" borderId="26" xfId="1" applyNumberFormat="1" applyFont="1" applyBorder="1" applyAlignment="1">
      <alignment horizontal="right"/>
    </xf>
    <xf numFmtId="167" fontId="19" fillId="0" borderId="22" xfId="1" applyNumberFormat="1" applyFont="1" applyBorder="1" applyAlignment="1">
      <alignment horizontal="right"/>
    </xf>
    <xf numFmtId="167" fontId="12" fillId="6" borderId="19" xfId="1" applyNumberFormat="1" applyFont="1" applyFill="1" applyBorder="1" applyAlignment="1">
      <alignment horizontal="right"/>
    </xf>
    <xf numFmtId="167" fontId="5" fillId="5" borderId="19" xfId="1" applyNumberFormat="1" applyFont="1" applyFill="1" applyBorder="1" applyAlignment="1">
      <alignment horizontal="right"/>
    </xf>
    <xf numFmtId="0" fontId="10" fillId="0" borderId="6" xfId="0" quotePrefix="1" applyFont="1" applyBorder="1"/>
    <xf numFmtId="170" fontId="10" fillId="0" borderId="7" xfId="2" quotePrefix="1" applyNumberFormat="1" applyFont="1" applyBorder="1"/>
    <xf numFmtId="170" fontId="10" fillId="0" borderId="6" xfId="2" quotePrefix="1" applyNumberFormat="1" applyFont="1" applyBorder="1"/>
    <xf numFmtId="167" fontId="10" fillId="0" borderId="6" xfId="1" quotePrefix="1" applyNumberFormat="1" applyFont="1" applyBorder="1"/>
    <xf numFmtId="167" fontId="10" fillId="0" borderId="7" xfId="1" quotePrefix="1" applyNumberFormat="1" applyFont="1" applyBorder="1"/>
    <xf numFmtId="167" fontId="10" fillId="0" borderId="8" xfId="1" quotePrefix="1" applyNumberFormat="1" applyFont="1" applyBorder="1"/>
    <xf numFmtId="167" fontId="10" fillId="5" borderId="6" xfId="1" quotePrefix="1" applyNumberFormat="1" applyFont="1" applyFill="1" applyBorder="1"/>
    <xf numFmtId="167" fontId="17" fillId="90" borderId="3" xfId="1" applyNumberFormat="1" applyFont="1" applyFill="1" applyBorder="1" applyAlignment="1">
      <alignment horizontal="right"/>
    </xf>
    <xf numFmtId="167" fontId="5" fillId="6" borderId="3" xfId="1" applyNumberFormat="1" applyFont="1" applyFill="1" applyBorder="1" applyAlignment="1">
      <alignment horizontal="right"/>
    </xf>
    <xf numFmtId="175" fontId="7" fillId="0" borderId="22" xfId="0" applyNumberFormat="1" applyFont="1" applyBorder="1"/>
    <xf numFmtId="9" fontId="0" fillId="0" borderId="0" xfId="1" applyNumberFormat="1" applyFont="1"/>
    <xf numFmtId="9" fontId="20" fillId="0" borderId="0" xfId="1" quotePrefix="1" applyNumberFormat="1" applyFont="1" applyBorder="1"/>
    <xf numFmtId="9" fontId="7" fillId="0" borderId="0" xfId="1" applyNumberFormat="1" applyFont="1" applyBorder="1"/>
    <xf numFmtId="9" fontId="7" fillId="0" borderId="77" xfId="1" applyNumberFormat="1" applyFont="1" applyBorder="1"/>
    <xf numFmtId="9" fontId="10" fillId="0" borderId="0" xfId="2" applyFont="1" applyBorder="1"/>
    <xf numFmtId="9" fontId="10" fillId="0" borderId="77" xfId="2" applyFont="1" applyBorder="1"/>
    <xf numFmtId="9" fontId="10" fillId="0" borderId="0" xfId="1" applyNumberFormat="1" applyFont="1" applyBorder="1"/>
    <xf numFmtId="9" fontId="10" fillId="0" borderId="77" xfId="1" applyNumberFormat="1" applyFont="1" applyBorder="1"/>
    <xf numFmtId="9" fontId="11" fillId="0" borderId="0" xfId="1" applyNumberFormat="1" applyFont="1" applyBorder="1" applyAlignment="1">
      <alignment horizontal="right"/>
    </xf>
    <xf numFmtId="9" fontId="11" fillId="0" borderId="77" xfId="1" applyNumberFormat="1" applyFont="1" applyBorder="1" applyAlignment="1">
      <alignment horizontal="right"/>
    </xf>
    <xf numFmtId="9" fontId="10" fillId="0" borderId="0" xfId="2" applyFont="1"/>
    <xf numFmtId="9" fontId="10" fillId="0" borderId="0" xfId="1" applyNumberFormat="1" applyFont="1"/>
    <xf numFmtId="9" fontId="11" fillId="90" borderId="0" xfId="1" applyNumberFormat="1" applyFont="1" applyFill="1" applyBorder="1" applyAlignment="1">
      <alignment horizontal="right"/>
    </xf>
    <xf numFmtId="9" fontId="11" fillId="90" borderId="77" xfId="1" applyNumberFormat="1" applyFont="1" applyFill="1" applyBorder="1" applyAlignment="1">
      <alignment horizontal="right"/>
    </xf>
    <xf numFmtId="9" fontId="20" fillId="0" borderId="77" xfId="1" quotePrefix="1" applyNumberFormat="1" applyFont="1" applyBorder="1"/>
    <xf numFmtId="9" fontId="10" fillId="0" borderId="0" xfId="2" quotePrefix="1" applyFont="1" applyBorder="1"/>
    <xf numFmtId="9" fontId="10" fillId="0" borderId="0" xfId="1" quotePrefix="1" applyNumberFormat="1" applyFont="1" applyBorder="1"/>
    <xf numFmtId="9" fontId="10" fillId="0" borderId="77" xfId="1" quotePrefix="1" applyNumberFormat="1" applyFont="1" applyBorder="1"/>
    <xf numFmtId="9" fontId="7" fillId="0" borderId="26" xfId="1" applyNumberFormat="1" applyFont="1" applyBorder="1"/>
    <xf numFmtId="9" fontId="7" fillId="0" borderId="22" xfId="1" applyNumberFormat="1" applyFont="1" applyBorder="1"/>
    <xf numFmtId="9" fontId="7" fillId="0" borderId="19" xfId="1" applyNumberFormat="1" applyFont="1" applyBorder="1"/>
    <xf numFmtId="9" fontId="20" fillId="0" borderId="0" xfId="1" applyNumberFormat="1" applyFont="1"/>
    <xf numFmtId="9" fontId="10" fillId="5" borderId="0" xfId="1" applyNumberFormat="1" applyFont="1" applyFill="1"/>
    <xf numFmtId="9" fontId="10" fillId="0" borderId="19" xfId="1" applyNumberFormat="1" applyFont="1" applyBorder="1"/>
    <xf numFmtId="9" fontId="20" fillId="0" borderId="19" xfId="1" applyNumberFormat="1" applyFont="1" applyBorder="1"/>
    <xf numFmtId="9" fontId="7" fillId="5" borderId="19" xfId="1" applyNumberFormat="1" applyFont="1" applyFill="1" applyBorder="1"/>
    <xf numFmtId="9" fontId="7" fillId="5" borderId="0" xfId="1" applyNumberFormat="1" applyFont="1" applyFill="1" applyBorder="1"/>
    <xf numFmtId="9" fontId="10" fillId="0" borderId="0" xfId="1" quotePrefix="1" applyNumberFormat="1" applyFont="1"/>
    <xf numFmtId="9" fontId="10" fillId="5" borderId="0" xfId="1" quotePrefix="1" applyNumberFormat="1" applyFont="1" applyFill="1"/>
    <xf numFmtId="9" fontId="11" fillId="0" borderId="0" xfId="1" applyNumberFormat="1" applyFont="1" applyAlignment="1">
      <alignment horizontal="right"/>
    </xf>
    <xf numFmtId="9" fontId="11" fillId="5" borderId="0" xfId="1" applyNumberFormat="1" applyFont="1" applyFill="1" applyAlignment="1">
      <alignment horizontal="right"/>
    </xf>
    <xf numFmtId="9" fontId="7" fillId="0" borderId="0" xfId="1" applyNumberFormat="1" applyFont="1"/>
    <xf numFmtId="9" fontId="7" fillId="4" borderId="0" xfId="1" applyNumberFormat="1" applyFont="1" applyFill="1"/>
    <xf numFmtId="9" fontId="7" fillId="5" borderId="0" xfId="1" applyNumberFormat="1" applyFont="1" applyFill="1"/>
    <xf numFmtId="9" fontId="6" fillId="0" borderId="0" xfId="1" applyNumberFormat="1" applyFont="1" applyAlignment="1">
      <alignment horizontal="right"/>
    </xf>
    <xf numFmtId="9" fontId="6" fillId="5" borderId="0" xfId="1" applyNumberFormat="1" applyFont="1" applyFill="1" applyAlignment="1">
      <alignment horizontal="right"/>
    </xf>
    <xf numFmtId="9" fontId="0" fillId="0" borderId="3" xfId="0" applyNumberFormat="1" applyBorder="1"/>
    <xf numFmtId="0" fontId="0" fillId="0" borderId="25" xfId="0" applyBorder="1"/>
    <xf numFmtId="0" fontId="0" fillId="0" borderId="23" xfId="0" applyBorder="1"/>
    <xf numFmtId="167" fontId="0" fillId="0" borderId="23" xfId="1" applyNumberFormat="1" applyFont="1" applyBorder="1"/>
    <xf numFmtId="167" fontId="0" fillId="0" borderId="25" xfId="1" applyNumberFormat="1" applyFont="1" applyBorder="1"/>
    <xf numFmtId="167" fontId="12" fillId="4" borderId="0" xfId="1" applyNumberFormat="1" applyFont="1" applyFill="1" applyAlignment="1">
      <alignment horizontal="right"/>
    </xf>
    <xf numFmtId="170" fontId="17" fillId="5" borderId="0" xfId="2" applyNumberFormat="1" applyFont="1" applyFill="1" applyAlignment="1">
      <alignment horizontal="right"/>
    </xf>
    <xf numFmtId="167" fontId="5" fillId="83" borderId="0" xfId="1" applyNumberFormat="1" applyFont="1" applyFill="1" applyAlignment="1">
      <alignment horizontal="right"/>
    </xf>
    <xf numFmtId="3" fontId="340" fillId="0" borderId="95" xfId="0" applyNumberFormat="1" applyFont="1" applyBorder="1" applyAlignment="1">
      <alignment horizontal="right" vertical="center" wrapText="1"/>
    </xf>
    <xf numFmtId="9" fontId="7" fillId="0" borderId="22" xfId="2" applyFont="1" applyBorder="1"/>
    <xf numFmtId="9" fontId="7" fillId="0" borderId="19" xfId="2" applyFont="1" applyBorder="1"/>
    <xf numFmtId="167" fontId="0" fillId="0" borderId="96" xfId="1" applyNumberFormat="1" applyFont="1" applyBorder="1"/>
    <xf numFmtId="170" fontId="11" fillId="0" borderId="0" xfId="1" applyNumberFormat="1" applyFont="1" applyAlignment="1">
      <alignment horizontal="right"/>
    </xf>
    <xf numFmtId="170" fontId="11" fillId="5" borderId="0" xfId="1" applyNumberFormat="1" applyFont="1" applyFill="1" applyAlignment="1">
      <alignment horizontal="right"/>
    </xf>
    <xf numFmtId="0" fontId="0" fillId="0" borderId="24" xfId="0" applyBorder="1"/>
    <xf numFmtId="170" fontId="7" fillId="0" borderId="77" xfId="1" applyNumberFormat="1" applyFont="1" applyBorder="1"/>
    <xf numFmtId="167" fontId="8" fillId="0" borderId="0" xfId="1" applyNumberFormat="1" applyFont="1" applyBorder="1"/>
    <xf numFmtId="170" fontId="7" fillId="0" borderId="6" xfId="2" applyNumberFormat="1" applyFont="1" applyBorder="1"/>
    <xf numFmtId="3" fontId="7" fillId="0" borderId="0" xfId="1" applyNumberFormat="1" applyFont="1"/>
    <xf numFmtId="3" fontId="3" fillId="0" borderId="0" xfId="0" applyNumberFormat="1" applyFont="1"/>
    <xf numFmtId="167" fontId="50" fillId="0" borderId="0" xfId="0" applyNumberFormat="1" applyFont="1"/>
    <xf numFmtId="172" fontId="8" fillId="12" borderId="0" xfId="1" applyNumberFormat="1" applyFont="1" applyFill="1"/>
    <xf numFmtId="167" fontId="8" fillId="12" borderId="0" xfId="0" applyNumberFormat="1" applyFont="1" applyFill="1"/>
    <xf numFmtId="3" fontId="50" fillId="12" borderId="0" xfId="0" applyNumberFormat="1" applyFont="1" applyFill="1"/>
    <xf numFmtId="172" fontId="8" fillId="0" borderId="0" xfId="1" applyNumberFormat="1" applyFont="1" applyFill="1"/>
    <xf numFmtId="170" fontId="11" fillId="0" borderId="0" xfId="1" applyNumberFormat="1" applyFont="1" applyBorder="1" applyAlignment="1">
      <alignment horizontal="right"/>
    </xf>
    <xf numFmtId="9" fontId="6" fillId="0" borderId="0" xfId="2" applyFont="1" applyBorder="1" applyAlignment="1">
      <alignment horizontal="right"/>
    </xf>
    <xf numFmtId="9" fontId="6" fillId="0" borderId="0" xfId="1" applyNumberFormat="1" applyFont="1" applyBorder="1" applyAlignment="1">
      <alignment horizontal="right"/>
    </xf>
    <xf numFmtId="9" fontId="6" fillId="0" borderId="77" xfId="1" applyNumberFormat="1" applyFont="1" applyBorder="1" applyAlignment="1">
      <alignment horizontal="right"/>
    </xf>
    <xf numFmtId="167" fontId="17" fillId="0" borderId="77" xfId="1" applyNumberFormat="1" applyFont="1" applyBorder="1" applyAlignment="1">
      <alignment horizontal="right"/>
    </xf>
    <xf numFmtId="167" fontId="21" fillId="4" borderId="0" xfId="1" applyNumberFormat="1" applyFont="1" applyFill="1" applyBorder="1"/>
    <xf numFmtId="167" fontId="7" fillId="0" borderId="0" xfId="1" applyNumberFormat="1" applyFont="1" applyBorder="1" applyAlignment="1">
      <alignment horizontal="left" indent="1"/>
    </xf>
    <xf numFmtId="167" fontId="12" fillId="4" borderId="0" xfId="1" applyNumberFormat="1" applyFont="1" applyFill="1" applyBorder="1" applyAlignment="1">
      <alignment horizontal="right"/>
    </xf>
    <xf numFmtId="167" fontId="18" fillId="4" borderId="0" xfId="1" applyNumberFormat="1" applyFont="1" applyFill="1" applyBorder="1" applyAlignment="1">
      <alignment horizontal="right"/>
    </xf>
    <xf numFmtId="170" fontId="7" fillId="0" borderId="0" xfId="1" applyNumberFormat="1" applyFont="1" applyBorder="1"/>
    <xf numFmtId="167" fontId="7" fillId="3" borderId="0" xfId="1" applyNumberFormat="1" applyFont="1" applyFill="1" applyBorder="1"/>
    <xf numFmtId="167" fontId="20" fillId="0" borderId="0" xfId="1" applyNumberFormat="1" applyFont="1" applyBorder="1"/>
    <xf numFmtId="167" fontId="7" fillId="4" borderId="0" xfId="1" applyNumberFormat="1" applyFont="1" applyFill="1" applyBorder="1"/>
    <xf numFmtId="170" fontId="6" fillId="0" borderId="0" xfId="1" applyNumberFormat="1" applyFont="1" applyBorder="1" applyAlignment="1">
      <alignment horizontal="right"/>
    </xf>
    <xf numFmtId="167" fontId="20" fillId="0" borderId="96" xfId="1" quotePrefix="1" applyNumberFormat="1" applyFont="1" applyBorder="1"/>
    <xf numFmtId="43" fontId="17" fillId="0" borderId="77" xfId="1" applyFont="1" applyFill="1" applyBorder="1" applyAlignment="1">
      <alignment horizontal="right"/>
    </xf>
    <xf numFmtId="170" fontId="11" fillId="0" borderId="77" xfId="1" applyNumberFormat="1" applyFont="1" applyBorder="1" applyAlignment="1">
      <alignment horizontal="right"/>
    </xf>
    <xf numFmtId="9" fontId="24" fillId="5" borderId="97" xfId="2" applyFont="1" applyFill="1" applyBorder="1" applyAlignment="1">
      <alignment horizontal="right" vertical="center" wrapText="1"/>
    </xf>
    <xf numFmtId="2" fontId="335" fillId="0" borderId="0" xfId="0" applyNumberFormat="1" applyFont="1"/>
    <xf numFmtId="167" fontId="24" fillId="0" borderId="0" xfId="1" applyNumberFormat="1" applyFont="1" applyBorder="1"/>
    <xf numFmtId="168" fontId="27" fillId="0" borderId="0" xfId="1" applyNumberFormat="1" applyFont="1" applyBorder="1"/>
    <xf numFmtId="167" fontId="24" fillId="0" borderId="77" xfId="1" applyNumberFormat="1" applyFont="1" applyBorder="1"/>
    <xf numFmtId="0" fontId="49" fillId="0" borderId="77" xfId="0" applyFont="1" applyBorder="1"/>
    <xf numFmtId="3" fontId="24" fillId="0" borderId="77" xfId="0" applyNumberFormat="1" applyFont="1" applyBorder="1"/>
    <xf numFmtId="3" fontId="329" fillId="8" borderId="97" xfId="1" applyNumberFormat="1" applyFont="1" applyFill="1" applyBorder="1" applyAlignment="1"/>
    <xf numFmtId="170" fontId="27" fillId="0" borderId="98" xfId="2" applyNumberFormat="1" applyFont="1" applyBorder="1"/>
    <xf numFmtId="170" fontId="20" fillId="0" borderId="0" xfId="1" quotePrefix="1" applyNumberFormat="1" applyFont="1" applyBorder="1"/>
    <xf numFmtId="170" fontId="13" fillId="6" borderId="0" xfId="1" applyNumberFormat="1" applyFont="1" applyFill="1" applyBorder="1"/>
    <xf numFmtId="170" fontId="10" fillId="0" borderId="0" xfId="1" applyNumberFormat="1" applyFont="1" applyAlignment="1">
      <alignment horizontal="right"/>
    </xf>
    <xf numFmtId="170" fontId="10" fillId="0" borderId="77" xfId="1" applyNumberFormat="1" applyFont="1" applyBorder="1" applyAlignment="1">
      <alignment horizontal="right"/>
    </xf>
    <xf numFmtId="170" fontId="10" fillId="0" borderId="0" xfId="1" applyNumberFormat="1" applyFont="1" applyBorder="1"/>
    <xf numFmtId="167" fontId="13" fillId="0" borderId="77" xfId="1" applyNumberFormat="1" applyFont="1" applyFill="1" applyBorder="1"/>
    <xf numFmtId="167" fontId="7" fillId="0" borderId="0" xfId="1" applyNumberFormat="1" applyFont="1" applyFill="1" applyAlignment="1">
      <alignment horizontal="left" indent="1"/>
    </xf>
    <xf numFmtId="167" fontId="13" fillId="0" borderId="0" xfId="1" applyNumberFormat="1" applyFont="1" applyFill="1"/>
    <xf numFmtId="167" fontId="13" fillId="0" borderId="0" xfId="1" applyNumberFormat="1" applyFont="1" applyFill="1" applyBorder="1"/>
    <xf numFmtId="170" fontId="20" fillId="5" borderId="0" xfId="1" applyNumberFormat="1" applyFont="1" applyFill="1"/>
    <xf numFmtId="1" fontId="0" fillId="84" borderId="20" xfId="0" applyNumberFormat="1" applyFill="1" applyBorder="1"/>
    <xf numFmtId="174" fontId="7" fillId="4" borderId="0" xfId="0" applyNumberFormat="1" applyFont="1" applyFill="1"/>
    <xf numFmtId="174" fontId="7" fillId="95" borderId="0" xfId="0" applyNumberFormat="1" applyFont="1" applyFill="1"/>
    <xf numFmtId="174" fontId="7" fillId="91" borderId="0" xfId="0" applyNumberFormat="1" applyFont="1" applyFill="1"/>
    <xf numFmtId="2" fontId="11" fillId="0" borderId="0" xfId="2" applyNumberFormat="1" applyFont="1" applyAlignment="1">
      <alignment horizontal="right"/>
    </xf>
    <xf numFmtId="43" fontId="17" fillId="0" borderId="0" xfId="1" applyFont="1" applyFill="1" applyBorder="1" applyAlignment="1">
      <alignment horizontal="right"/>
    </xf>
    <xf numFmtId="43" fontId="18" fillId="0" borderId="0" xfId="1" applyFont="1" applyAlignment="1">
      <alignment horizontal="right"/>
    </xf>
    <xf numFmtId="170" fontId="0" fillId="0" borderId="3" xfId="2" applyNumberFormat="1" applyFont="1" applyBorder="1"/>
    <xf numFmtId="170" fontId="0" fillId="0" borderId="6" xfId="2" applyNumberFormat="1" applyFont="1" applyBorder="1"/>
    <xf numFmtId="175" fontId="336" fillId="0" borderId="20" xfId="0" applyNumberFormat="1" applyFont="1" applyBorder="1"/>
    <xf numFmtId="10" fontId="336" fillId="0" borderId="0" xfId="0" applyNumberFormat="1" applyFont="1"/>
    <xf numFmtId="4" fontId="336" fillId="0" borderId="20" xfId="0" applyNumberFormat="1" applyFont="1" applyBorder="1"/>
    <xf numFmtId="0" fontId="336" fillId="0" borderId="20" xfId="0" applyFont="1" applyBorder="1"/>
    <xf numFmtId="9" fontId="336" fillId="0" borderId="0" xfId="0" applyNumberFormat="1" applyFont="1"/>
    <xf numFmtId="3" fontId="343" fillId="0" borderId="0" xfId="0" applyNumberFormat="1" applyFont="1"/>
    <xf numFmtId="0" fontId="336" fillId="4" borderId="0" xfId="0" applyFont="1" applyFill="1"/>
    <xf numFmtId="168" fontId="3" fillId="0" borderId="0" xfId="1" applyNumberFormat="1" applyFont="1"/>
    <xf numFmtId="167" fontId="333" fillId="0" borderId="0" xfId="1" applyNumberFormat="1" applyFont="1"/>
    <xf numFmtId="43" fontId="0" fillId="0" borderId="0" xfId="1" applyFont="1" applyBorder="1"/>
    <xf numFmtId="170" fontId="0" fillId="0" borderId="0" xfId="2" applyNumberFormat="1" applyFont="1" applyBorder="1"/>
    <xf numFmtId="0" fontId="356" fillId="0" borderId="0" xfId="0" applyFont="1"/>
    <xf numFmtId="9" fontId="3" fillId="0" borderId="0" xfId="2" applyFont="1" applyBorder="1"/>
    <xf numFmtId="173" fontId="3" fillId="0" borderId="0" xfId="0" applyNumberFormat="1" applyFont="1"/>
    <xf numFmtId="170" fontId="3" fillId="0" borderId="0" xfId="2" applyNumberFormat="1" applyFont="1" applyBorder="1"/>
    <xf numFmtId="43" fontId="333" fillId="0" borderId="0" xfId="1" applyFont="1"/>
    <xf numFmtId="43" fontId="3" fillId="0" borderId="0" xfId="1" applyFont="1" applyFill="1" applyBorder="1"/>
    <xf numFmtId="43" fontId="336" fillId="0" borderId="20" xfId="1" applyFont="1" applyBorder="1"/>
    <xf numFmtId="168" fontId="3" fillId="0" borderId="20" xfId="1" applyNumberFormat="1" applyFont="1" applyBorder="1"/>
    <xf numFmtId="168" fontId="3" fillId="0" borderId="20" xfId="0" applyNumberFormat="1" applyFont="1" applyBorder="1"/>
    <xf numFmtId="167" fontId="1" fillId="0" borderId="20" xfId="1" applyNumberFormat="1" applyFont="1" applyBorder="1"/>
    <xf numFmtId="0" fontId="333" fillId="0" borderId="20" xfId="0" applyFont="1" applyBorder="1"/>
    <xf numFmtId="168" fontId="333" fillId="0" borderId="20" xfId="1" applyNumberFormat="1" applyFont="1" applyBorder="1"/>
    <xf numFmtId="167" fontId="0" fillId="0" borderId="96" xfId="0" applyNumberFormat="1" applyBorder="1"/>
    <xf numFmtId="167" fontId="0" fillId="0" borderId="23" xfId="1" applyNumberFormat="1" applyFont="1" applyBorder="1" applyAlignment="1">
      <alignment horizontal="center" vertical="center"/>
    </xf>
    <xf numFmtId="0" fontId="359" fillId="0" borderId="23" xfId="0" applyFont="1" applyBorder="1" applyAlignment="1">
      <alignment horizontal="center" vertical="center"/>
    </xf>
    <xf numFmtId="167" fontId="0" fillId="0" borderId="23" xfId="0" applyNumberFormat="1" applyBorder="1"/>
    <xf numFmtId="9" fontId="0" fillId="0" borderId="23" xfId="0" applyNumberFormat="1" applyBorder="1"/>
    <xf numFmtId="165" fontId="0" fillId="0" borderId="20" xfId="0" applyNumberFormat="1" applyBorder="1"/>
    <xf numFmtId="3" fontId="0" fillId="0" borderId="23" xfId="0" applyNumberFormat="1" applyBorder="1"/>
    <xf numFmtId="9" fontId="0" fillId="0" borderId="24" xfId="0" applyNumberFormat="1" applyBorder="1"/>
    <xf numFmtId="167" fontId="0" fillId="0" borderId="26" xfId="0" applyNumberFormat="1" applyBorder="1"/>
    <xf numFmtId="9" fontId="0" fillId="0" borderId="0" xfId="2" applyFont="1" applyBorder="1"/>
    <xf numFmtId="167" fontId="2" fillId="0" borderId="20" xfId="0" applyNumberFormat="1" applyFont="1" applyBorder="1"/>
    <xf numFmtId="9" fontId="0" fillId="0" borderId="23" xfId="2" applyFont="1" applyBorder="1"/>
    <xf numFmtId="9" fontId="0" fillId="0" borderId="19" xfId="0" applyNumberFormat="1" applyBorder="1"/>
    <xf numFmtId="167" fontId="0" fillId="0" borderId="25" xfId="0" applyNumberFormat="1" applyBorder="1"/>
    <xf numFmtId="167" fontId="0" fillId="0" borderId="6" xfId="0" applyNumberFormat="1" applyBorder="1"/>
    <xf numFmtId="167" fontId="0" fillId="0" borderId="20" xfId="1" applyNumberFormat="1" applyFont="1" applyBorder="1" applyAlignment="1">
      <alignment horizontal="left" vertical="center" indent="2"/>
    </xf>
    <xf numFmtId="167" fontId="0" fillId="0" borderId="19" xfId="1" applyNumberFormat="1" applyFont="1" applyBorder="1" applyAlignment="1">
      <alignment horizontal="left" indent="2"/>
    </xf>
    <xf numFmtId="167" fontId="0" fillId="0" borderId="25" xfId="1" applyNumberFormat="1" applyFont="1" applyBorder="1" applyAlignment="1">
      <alignment horizontal="center" vertical="center"/>
    </xf>
    <xf numFmtId="9" fontId="0" fillId="0" borderId="24" xfId="0" applyNumberFormat="1" applyBorder="1" applyAlignment="1">
      <alignment horizontal="center" vertical="center"/>
    </xf>
    <xf numFmtId="9" fontId="0" fillId="0" borderId="3" xfId="0" applyNumberFormat="1" applyBorder="1" applyAlignment="1">
      <alignment horizontal="center" vertical="center"/>
    </xf>
    <xf numFmtId="9" fontId="13" fillId="0" borderId="0" xfId="1" applyNumberFormat="1" applyFont="1" applyBorder="1"/>
    <xf numFmtId="9" fontId="12" fillId="90" borderId="0" xfId="1" applyNumberFormat="1" applyFont="1" applyFill="1" applyBorder="1" applyAlignment="1">
      <alignment horizontal="right"/>
    </xf>
    <xf numFmtId="3" fontId="5" fillId="0" borderId="77" xfId="1" applyNumberFormat="1" applyFont="1" applyFill="1" applyBorder="1" applyAlignment="1"/>
    <xf numFmtId="3" fontId="5" fillId="0" borderId="0" xfId="1" applyNumberFormat="1" applyFont="1" applyFill="1" applyBorder="1" applyAlignment="1"/>
    <xf numFmtId="175" fontId="11" fillId="0" borderId="77" xfId="1" applyNumberFormat="1" applyFont="1" applyFill="1" applyBorder="1" applyAlignment="1"/>
    <xf numFmtId="175" fontId="11" fillId="0" borderId="0" xfId="1" applyNumberFormat="1" applyFont="1" applyFill="1" applyBorder="1" applyAlignment="1"/>
    <xf numFmtId="175" fontId="11" fillId="89" borderId="0" xfId="1" applyNumberFormat="1" applyFont="1" applyFill="1" applyBorder="1" applyAlignment="1"/>
    <xf numFmtId="168" fontId="6" fillId="6" borderId="11" xfId="1" applyNumberFormat="1" applyFont="1" applyFill="1" applyBorder="1"/>
    <xf numFmtId="168" fontId="6" fillId="6" borderId="9" xfId="1" applyNumberFormat="1" applyFont="1" applyFill="1" applyBorder="1"/>
    <xf numFmtId="168" fontId="6" fillId="6" borderId="10" xfId="1" applyNumberFormat="1" applyFont="1" applyFill="1" applyBorder="1"/>
    <xf numFmtId="168" fontId="6" fillId="89" borderId="9" xfId="1" applyNumberFormat="1" applyFont="1" applyFill="1" applyBorder="1"/>
    <xf numFmtId="170" fontId="22" fillId="0" borderId="0" xfId="1" applyNumberFormat="1" applyFont="1" applyBorder="1" applyAlignment="1">
      <alignment horizontal="right"/>
    </xf>
    <xf numFmtId="43" fontId="7" fillId="0" borderId="0" xfId="1" applyFont="1"/>
    <xf numFmtId="10" fontId="24" fillId="0" borderId="0" xfId="2" applyNumberFormat="1" applyFont="1"/>
    <xf numFmtId="170" fontId="6" fillId="0" borderId="0" xfId="1" applyNumberFormat="1" applyFont="1" applyAlignment="1">
      <alignment horizontal="right"/>
    </xf>
    <xf numFmtId="169" fontId="330" fillId="0" borderId="0" xfId="1" applyNumberFormat="1" applyFont="1"/>
    <xf numFmtId="167" fontId="7" fillId="6" borderId="0" xfId="1" applyNumberFormat="1" applyFont="1" applyFill="1"/>
    <xf numFmtId="167" fontId="7" fillId="6" borderId="0" xfId="0" applyNumberFormat="1" applyFont="1" applyFill="1"/>
    <xf numFmtId="175" fontId="24" fillId="0" borderId="77" xfId="0" applyNumberFormat="1" applyFont="1" applyBorder="1"/>
    <xf numFmtId="175" fontId="24" fillId="0" borderId="0" xfId="1" applyNumberFormat="1" applyFont="1"/>
    <xf numFmtId="175" fontId="24" fillId="0" borderId="77" xfId="1" applyNumberFormat="1" applyFont="1" applyBorder="1"/>
    <xf numFmtId="174" fontId="12" fillId="0" borderId="0" xfId="2" applyNumberFormat="1" applyFont="1" applyAlignment="1">
      <alignment horizontal="right"/>
    </xf>
    <xf numFmtId="174" fontId="7" fillId="4" borderId="6" xfId="0" applyNumberFormat="1" applyFont="1" applyFill="1" applyBorder="1"/>
    <xf numFmtId="172" fontId="8" fillId="4" borderId="0" xfId="1" applyNumberFormat="1" applyFont="1" applyFill="1"/>
    <xf numFmtId="174" fontId="14" fillId="0" borderId="0" xfId="0" applyNumberFormat="1" applyFont="1"/>
    <xf numFmtId="167" fontId="14" fillId="4" borderId="0" xfId="1" applyNumberFormat="1" applyFont="1" applyFill="1"/>
    <xf numFmtId="167" fontId="8" fillId="4" borderId="0" xfId="0" applyNumberFormat="1" applyFont="1" applyFill="1"/>
    <xf numFmtId="171" fontId="0" fillId="0" borderId="20" xfId="0" applyNumberFormat="1" applyBorder="1"/>
    <xf numFmtId="168" fontId="17" fillId="0" borderId="0" xfId="1" applyNumberFormat="1" applyFont="1" applyAlignment="1">
      <alignment horizontal="right"/>
    </xf>
    <xf numFmtId="167" fontId="17" fillId="0" borderId="0" xfId="1" applyNumberFormat="1" applyFont="1" applyAlignment="1">
      <alignment horizontal="right"/>
    </xf>
    <xf numFmtId="168" fontId="2" fillId="92" borderId="0" xfId="1" applyNumberFormat="1" applyFont="1" applyFill="1"/>
    <xf numFmtId="16" fontId="360" fillId="0" borderId="82" xfId="0" quotePrefix="1" applyNumberFormat="1" applyFont="1" applyBorder="1" applyAlignment="1">
      <alignment horizontal="right"/>
    </xf>
    <xf numFmtId="0" fontId="361" fillId="0" borderId="99" xfId="0" applyFont="1" applyBorder="1"/>
    <xf numFmtId="0" fontId="361" fillId="0" borderId="99" xfId="0" applyFont="1" applyBorder="1" applyAlignment="1">
      <alignment horizontal="right"/>
    </xf>
    <xf numFmtId="0" fontId="361" fillId="85" borderId="91" xfId="0" applyFont="1" applyFill="1" applyBorder="1"/>
    <xf numFmtId="0" fontId="362" fillId="85" borderId="91" xfId="0" applyFont="1" applyFill="1" applyBorder="1" applyAlignment="1">
      <alignment horizontal="right"/>
    </xf>
    <xf numFmtId="0" fontId="361" fillId="0" borderId="91" xfId="0" applyFont="1" applyBorder="1"/>
    <xf numFmtId="37" fontId="362" fillId="0" borderId="91" xfId="0" applyNumberFormat="1" applyFont="1" applyBorder="1" applyAlignment="1">
      <alignment horizontal="right"/>
    </xf>
    <xf numFmtId="0" fontId="362" fillId="0" borderId="91" xfId="0" applyFont="1" applyBorder="1" applyAlignment="1">
      <alignment horizontal="right"/>
    </xf>
    <xf numFmtId="0" fontId="362" fillId="85" borderId="91" xfId="0" applyFont="1" applyFill="1" applyBorder="1"/>
    <xf numFmtId="364" fontId="7" fillId="0" borderId="0" xfId="0" applyNumberFormat="1" applyFont="1"/>
    <xf numFmtId="0" fontId="363" fillId="0" borderId="91" xfId="0" applyFont="1" applyBorder="1"/>
    <xf numFmtId="0" fontId="346" fillId="10" borderId="0" xfId="0" applyFont="1" applyFill="1" applyAlignment="1">
      <alignment horizontal="left"/>
    </xf>
    <xf numFmtId="179" fontId="346" fillId="10" borderId="0" xfId="6" applyNumberFormat="1" applyFont="1" applyFill="1" applyBorder="1" applyAlignment="1">
      <alignment horizontal="right"/>
    </xf>
    <xf numFmtId="3" fontId="346" fillId="10" borderId="19" xfId="1" applyNumberFormat="1" applyFont="1" applyFill="1" applyBorder="1" applyAlignment="1">
      <alignment horizontal="right"/>
    </xf>
    <xf numFmtId="175" fontId="346" fillId="10" borderId="19" xfId="6" applyNumberFormat="1" applyFont="1" applyFill="1" applyBorder="1" applyAlignment="1">
      <alignment horizontal="right"/>
    </xf>
    <xf numFmtId="171" fontId="7" fillId="0" borderId="90" xfId="0" applyNumberFormat="1" applyFont="1" applyBorder="1" applyAlignment="1">
      <alignment horizontal="right" vertical="center" wrapText="1"/>
    </xf>
    <xf numFmtId="171" fontId="7" fillId="0" borderId="91" xfId="0" applyNumberFormat="1" applyFont="1" applyBorder="1" applyAlignment="1">
      <alignment horizontal="right" vertical="center" wrapText="1"/>
    </xf>
    <xf numFmtId="170" fontId="11" fillId="90" borderId="0" xfId="1" applyNumberFormat="1" applyFont="1" applyFill="1" applyBorder="1" applyAlignment="1">
      <alignment horizontal="right"/>
    </xf>
    <xf numFmtId="0" fontId="363" fillId="0" borderId="0" xfId="0" applyFont="1"/>
    <xf numFmtId="49" fontId="42" fillId="10" borderId="22" xfId="0" applyNumberFormat="1" applyFont="1" applyFill="1" applyBorder="1" applyAlignment="1">
      <alignment horizontal="right" wrapText="1"/>
    </xf>
    <xf numFmtId="179" fontId="44" fillId="4" borderId="22" xfId="6" applyNumberFormat="1" applyFont="1" applyFill="1" applyBorder="1" applyAlignment="1">
      <alignment horizontal="right"/>
    </xf>
    <xf numFmtId="49" fontId="357" fillId="0" borderId="0" xfId="0" applyNumberFormat="1" applyFont="1" applyAlignment="1">
      <alignment horizontal="right" wrapText="1"/>
    </xf>
    <xf numFmtId="0" fontId="0" fillId="0" borderId="0" xfId="0" applyAlignment="1">
      <alignment horizontal="center" wrapText="1"/>
    </xf>
    <xf numFmtId="172" fontId="7" fillId="6" borderId="0" xfId="0" applyNumberFormat="1" applyFont="1" applyFill="1"/>
    <xf numFmtId="43" fontId="7" fillId="0" borderId="0" xfId="0" applyNumberFormat="1" applyFont="1"/>
    <xf numFmtId="9" fontId="0" fillId="0" borderId="0" xfId="2" applyFont="1" applyAlignment="1">
      <alignment horizontal="center" wrapText="1"/>
    </xf>
    <xf numFmtId="175" fontId="337" fillId="0" borderId="96" xfId="1" applyNumberFormat="1" applyFont="1" applyFill="1" applyBorder="1" applyAlignment="1"/>
    <xf numFmtId="175" fontId="5" fillId="0" borderId="96" xfId="1" applyNumberFormat="1" applyFont="1" applyFill="1" applyBorder="1" applyAlignment="1"/>
    <xf numFmtId="175" fontId="24" fillId="0" borderId="96" xfId="1" applyNumberFormat="1" applyFont="1" applyFill="1" applyBorder="1" applyAlignment="1"/>
    <xf numFmtId="0" fontId="0" fillId="0" borderId="0" xfId="0" applyAlignment="1">
      <alignment horizontal="center"/>
    </xf>
    <xf numFmtId="167" fontId="6" fillId="8" borderId="9" xfId="1" applyNumberFormat="1" applyFont="1" applyFill="1" applyBorder="1" applyAlignment="1">
      <alignment horizontal="center"/>
    </xf>
    <xf numFmtId="167" fontId="6" fillId="8" borderId="9" xfId="1" applyNumberFormat="1" applyFont="1" applyFill="1" applyBorder="1" applyAlignment="1"/>
    <xf numFmtId="0" fontId="3" fillId="97" borderId="0" xfId="0" applyFont="1" applyFill="1"/>
    <xf numFmtId="0" fontId="368" fillId="0" borderId="0" xfId="0" applyFont="1"/>
    <xf numFmtId="365" fontId="343" fillId="6" borderId="0" xfId="0" applyNumberFormat="1" applyFont="1" applyFill="1" applyAlignment="1">
      <alignment horizontal="right"/>
    </xf>
    <xf numFmtId="0" fontId="369" fillId="0" borderId="0" xfId="0" applyFont="1"/>
    <xf numFmtId="366" fontId="333" fillId="0" borderId="0" xfId="0" applyNumberFormat="1" applyFont="1" applyAlignment="1">
      <alignment horizontal="right"/>
    </xf>
    <xf numFmtId="175" fontId="370" fillId="0" borderId="0" xfId="0" applyNumberFormat="1" applyFont="1"/>
    <xf numFmtId="170" fontId="370" fillId="0" borderId="0" xfId="0" applyNumberFormat="1" applyFont="1"/>
    <xf numFmtId="0" fontId="3" fillId="98" borderId="0" xfId="0" applyFont="1" applyFill="1"/>
    <xf numFmtId="0" fontId="371" fillId="0" borderId="0" xfId="0" applyFont="1"/>
    <xf numFmtId="0" fontId="372" fillId="96" borderId="0" xfId="0" applyFont="1" applyFill="1" applyAlignment="1">
      <alignment horizontal="center"/>
    </xf>
    <xf numFmtId="365" fontId="0" fillId="98" borderId="0" xfId="0" applyNumberFormat="1" applyFill="1" applyAlignment="1">
      <alignment horizontal="center"/>
    </xf>
    <xf numFmtId="175" fontId="0" fillId="98" borderId="0" xfId="0" applyNumberFormat="1" applyFill="1"/>
    <xf numFmtId="170" fontId="0" fillId="98" borderId="0" xfId="0" applyNumberFormat="1" applyFill="1"/>
    <xf numFmtId="365" fontId="336" fillId="0" borderId="0" xfId="0" applyNumberFormat="1" applyFont="1" applyAlignment="1">
      <alignment horizontal="center"/>
    </xf>
    <xf numFmtId="0" fontId="373" fillId="98" borderId="0" xfId="0" applyFont="1" applyFill="1"/>
    <xf numFmtId="175" fontId="370" fillId="0" borderId="0" xfId="0" applyNumberFormat="1" applyFont="1" applyAlignment="1">
      <alignment horizontal="right"/>
    </xf>
    <xf numFmtId="367" fontId="343" fillId="6" borderId="0" xfId="0" applyNumberFormat="1" applyFont="1" applyFill="1" applyAlignment="1">
      <alignment horizontal="right"/>
    </xf>
    <xf numFmtId="170" fontId="370" fillId="0" borderId="0" xfId="0" applyNumberFormat="1" applyFont="1" applyAlignment="1">
      <alignment horizontal="right"/>
    </xf>
    <xf numFmtId="0" fontId="373" fillId="97" borderId="0" xfId="0" applyFont="1" applyFill="1"/>
    <xf numFmtId="3" fontId="0" fillId="0" borderId="0" xfId="0" applyNumberFormat="1" applyAlignment="1">
      <alignment horizontal="right"/>
    </xf>
    <xf numFmtId="4" fontId="0" fillId="0" borderId="0" xfId="0" applyNumberFormat="1" applyAlignment="1">
      <alignment horizontal="right"/>
    </xf>
    <xf numFmtId="4" fontId="3" fillId="0" borderId="0" xfId="0" applyNumberFormat="1" applyFont="1" applyAlignment="1">
      <alignment horizontal="right"/>
    </xf>
    <xf numFmtId="175" fontId="374" fillId="0" borderId="0" xfId="0" applyNumberFormat="1" applyFont="1" applyAlignment="1">
      <alignment horizontal="right"/>
    </xf>
    <xf numFmtId="330" fontId="374" fillId="0" borderId="0" xfId="0" applyNumberFormat="1" applyFont="1" applyAlignment="1">
      <alignment horizontal="right"/>
    </xf>
    <xf numFmtId="0" fontId="375" fillId="96" borderId="0" xfId="0" applyFont="1" applyFill="1" applyAlignment="1">
      <alignment horizontal="center"/>
    </xf>
    <xf numFmtId="4" fontId="0" fillId="99" borderId="0" xfId="0" applyNumberFormat="1" applyFill="1" applyAlignment="1">
      <alignment horizontal="right"/>
    </xf>
    <xf numFmtId="175" fontId="3" fillId="99" borderId="0" xfId="0" applyNumberFormat="1" applyFont="1" applyFill="1" applyAlignment="1">
      <alignment horizontal="right"/>
    </xf>
    <xf numFmtId="330" fontId="3" fillId="99" borderId="0" xfId="0" applyNumberFormat="1" applyFont="1" applyFill="1" applyAlignment="1">
      <alignment horizontal="right"/>
    </xf>
    <xf numFmtId="175" fontId="3" fillId="0" borderId="0" xfId="0" applyNumberFormat="1" applyFont="1" applyAlignment="1">
      <alignment horizontal="right"/>
    </xf>
    <xf numFmtId="330" fontId="3" fillId="0" borderId="0" xfId="0" applyNumberFormat="1" applyFont="1" applyAlignment="1">
      <alignment horizontal="right"/>
    </xf>
    <xf numFmtId="2" fontId="0" fillId="0" borderId="0" xfId="0" applyNumberFormat="1"/>
    <xf numFmtId="2" fontId="0" fillId="0" borderId="0" xfId="2" applyNumberFormat="1" applyFont="1" applyFill="1" applyBorder="1"/>
    <xf numFmtId="2" fontId="41" fillId="0" borderId="0" xfId="0" applyNumberFormat="1" applyFont="1" applyAlignment="1">
      <alignment horizontal="right" wrapText="1"/>
    </xf>
    <xf numFmtId="2" fontId="0" fillId="0" borderId="0" xfId="1" applyNumberFormat="1" applyFont="1" applyFill="1" applyBorder="1"/>
    <xf numFmtId="0" fontId="3" fillId="0" borderId="20" xfId="0" applyFont="1" applyBorder="1" applyAlignment="1">
      <alignment horizontal="center" vertical="center" wrapText="1"/>
    </xf>
    <xf numFmtId="0" fontId="0" fillId="0" borderId="20" xfId="0" applyBorder="1" applyAlignment="1">
      <alignment horizontal="center" vertical="center" wrapText="1"/>
    </xf>
    <xf numFmtId="2" fontId="0" fillId="0" borderId="20" xfId="0" applyNumberFormat="1" applyBorder="1" applyAlignment="1">
      <alignment horizontal="center" vertical="center" wrapText="1"/>
    </xf>
    <xf numFmtId="171" fontId="0" fillId="0" borderId="20" xfId="0" applyNumberFormat="1" applyBorder="1" applyAlignment="1">
      <alignment horizontal="center" vertical="center" wrapText="1"/>
    </xf>
    <xf numFmtId="1" fontId="0" fillId="0" borderId="20" xfId="0" applyNumberFormat="1" applyBorder="1" applyAlignment="1">
      <alignment horizontal="center" vertical="center" wrapText="1"/>
    </xf>
    <xf numFmtId="170" fontId="0" fillId="0" borderId="20" xfId="2" applyNumberFormat="1" applyFont="1" applyBorder="1" applyAlignment="1">
      <alignment horizontal="center"/>
    </xf>
    <xf numFmtId="1" fontId="0" fillId="4" borderId="20" xfId="0" applyNumberFormat="1" applyFill="1" applyBorder="1" applyAlignment="1">
      <alignment horizontal="center" vertical="center" wrapText="1"/>
    </xf>
    <xf numFmtId="2" fontId="0" fillId="4" borderId="20" xfId="0" applyNumberFormat="1" applyFill="1" applyBorder="1" applyAlignment="1">
      <alignment horizontal="center" vertical="center" wrapText="1"/>
    </xf>
    <xf numFmtId="171" fontId="0" fillId="4" borderId="20" xfId="0" applyNumberFormat="1" applyFill="1" applyBorder="1" applyAlignment="1">
      <alignment horizontal="center" vertical="center" wrapText="1"/>
    </xf>
    <xf numFmtId="170" fontId="0" fillId="4" borderId="20" xfId="2" applyNumberFormat="1" applyFont="1" applyFill="1" applyBorder="1" applyAlignment="1">
      <alignment horizontal="center"/>
    </xf>
    <xf numFmtId="10" fontId="0" fillId="0" borderId="20" xfId="0" applyNumberFormat="1" applyBorder="1"/>
    <xf numFmtId="2" fontId="0" fillId="0" borderId="20" xfId="0" applyNumberFormat="1" applyBorder="1"/>
    <xf numFmtId="1" fontId="0" fillId="0" borderId="20" xfId="0" applyNumberFormat="1" applyBorder="1"/>
    <xf numFmtId="9" fontId="32" fillId="0" borderId="0" xfId="2" applyFont="1"/>
    <xf numFmtId="0" fontId="352" fillId="0" borderId="22" xfId="0" quotePrefix="1" applyFont="1" applyBorder="1" applyAlignment="1">
      <alignment horizontal="center" vertical="center"/>
    </xf>
    <xf numFmtId="0" fontId="352" fillId="0" borderId="26" xfId="0" quotePrefix="1" applyFont="1" applyBorder="1" applyAlignment="1">
      <alignment horizontal="center" vertical="center"/>
    </xf>
    <xf numFmtId="0" fontId="348" fillId="11" borderId="0" xfId="0" applyFont="1" applyFill="1" applyAlignment="1">
      <alignment horizontal="left"/>
    </xf>
    <xf numFmtId="0" fontId="349" fillId="94" borderId="0" xfId="0" applyFont="1" applyFill="1" applyAlignment="1">
      <alignment horizontal="center" vertical="center"/>
    </xf>
    <xf numFmtId="0" fontId="351" fillId="0" borderId="0" xfId="0" applyFont="1" applyAlignment="1">
      <alignment horizontal="center" vertical="center"/>
    </xf>
    <xf numFmtId="0" fontId="352" fillId="0" borderId="0" xfId="0" applyFont="1" applyAlignment="1">
      <alignment horizontal="right" vertical="center"/>
    </xf>
    <xf numFmtId="0" fontId="332" fillId="0" borderId="0" xfId="3235" applyNumberFormat="1" applyFill="1" applyBorder="1" applyAlignment="1" applyProtection="1">
      <alignment horizontal="right" vertical="center"/>
    </xf>
    <xf numFmtId="0" fontId="339" fillId="87" borderId="79" xfId="0" applyFont="1" applyFill="1" applyBorder="1" applyAlignment="1">
      <alignment horizontal="center" vertical="center" wrapText="1"/>
    </xf>
    <xf numFmtId="0" fontId="339" fillId="87" borderId="80" xfId="0" applyFont="1" applyFill="1" applyBorder="1" applyAlignment="1">
      <alignment horizontal="center" vertical="center" wrapText="1"/>
    </xf>
    <xf numFmtId="0" fontId="339" fillId="87" borderId="81" xfId="0" applyFont="1" applyFill="1" applyBorder="1" applyAlignment="1">
      <alignment horizontal="center" vertical="center" wrapText="1"/>
    </xf>
    <xf numFmtId="0" fontId="0" fillId="0" borderId="0" xfId="0" applyAlignment="1">
      <alignment horizontal="center"/>
    </xf>
    <xf numFmtId="0" fontId="0" fillId="0" borderId="20" xfId="0" applyBorder="1" applyAlignment="1">
      <alignment horizontal="center"/>
    </xf>
    <xf numFmtId="0" fontId="0" fillId="0" borderId="0" xfId="0" applyAlignment="1">
      <alignment horizontal="center" wrapText="1"/>
    </xf>
    <xf numFmtId="0" fontId="0" fillId="0" borderId="6" xfId="0" applyBorder="1" applyAlignment="1">
      <alignment horizontal="center"/>
    </xf>
    <xf numFmtId="0" fontId="0" fillId="0" borderId="8" xfId="0" applyBorder="1" applyAlignment="1">
      <alignment horizontal="center"/>
    </xf>
    <xf numFmtId="0" fontId="366" fillId="96" borderId="0" xfId="0" applyFont="1" applyFill="1" applyAlignment="1">
      <alignment horizontal="center"/>
    </xf>
    <xf numFmtId="0" fontId="367" fillId="0" borderId="0" xfId="0" applyFont="1" applyAlignment="1">
      <alignment horizontal="center"/>
    </xf>
    <xf numFmtId="0" fontId="5" fillId="2" borderId="77" xfId="3" applyFont="1" applyFill="1" applyBorder="1"/>
    <xf numFmtId="0" fontId="5" fillId="2" borderId="96" xfId="3" applyFont="1" applyFill="1" applyBorder="1"/>
    <xf numFmtId="0" fontId="6" fillId="2" borderId="96" xfId="3" applyFont="1" applyFill="1" applyBorder="1" applyAlignment="1">
      <alignment horizontal="right"/>
    </xf>
    <xf numFmtId="0" fontId="25" fillId="2" borderId="77" xfId="3" applyFont="1" applyFill="1" applyBorder="1" applyAlignment="1">
      <alignment horizontal="right"/>
    </xf>
    <xf numFmtId="0" fontId="25" fillId="2" borderId="96" xfId="3" applyFont="1" applyFill="1" applyBorder="1" applyAlignment="1">
      <alignment horizontal="right"/>
    </xf>
    <xf numFmtId="0" fontId="7" fillId="0" borderId="96" xfId="0" applyFont="1" applyBorder="1"/>
    <xf numFmtId="43" fontId="7" fillId="0" borderId="77" xfId="1" applyFont="1" applyBorder="1"/>
    <xf numFmtId="175" fontId="7" fillId="0" borderId="96" xfId="0" applyNumberFormat="1" applyFont="1" applyBorder="1"/>
    <xf numFmtId="43" fontId="7" fillId="0" borderId="96" xfId="0" applyNumberFormat="1" applyFont="1" applyBorder="1"/>
    <xf numFmtId="9" fontId="10" fillId="0" borderId="96" xfId="1" applyNumberFormat="1" applyFont="1" applyBorder="1"/>
    <xf numFmtId="167" fontId="7" fillId="0" borderId="96" xfId="1" applyNumberFormat="1" applyFont="1" applyBorder="1"/>
    <xf numFmtId="167" fontId="18" fillId="0" borderId="96" xfId="1" applyNumberFormat="1" applyFont="1" applyBorder="1" applyAlignment="1">
      <alignment horizontal="right"/>
    </xf>
    <xf numFmtId="167" fontId="6" fillId="0" borderId="96" xfId="1" applyNumberFormat="1" applyFont="1" applyBorder="1" applyAlignment="1">
      <alignment horizontal="right"/>
    </xf>
    <xf numFmtId="167" fontId="19" fillId="0" borderId="96" xfId="1" applyNumberFormat="1" applyFont="1" applyBorder="1" applyAlignment="1">
      <alignment horizontal="right"/>
    </xf>
    <xf numFmtId="9" fontId="10" fillId="0" borderId="96" xfId="1" quotePrefix="1" applyNumberFormat="1" applyFont="1" applyBorder="1"/>
    <xf numFmtId="9" fontId="10" fillId="0" borderId="77" xfId="2" quotePrefix="1" applyFont="1" applyBorder="1"/>
    <xf numFmtId="167" fontId="5" fillId="0" borderId="96" xfId="1" applyNumberFormat="1" applyFont="1" applyBorder="1" applyAlignment="1">
      <alignment horizontal="right"/>
    </xf>
    <xf numFmtId="167" fontId="10" fillId="0" borderId="96" xfId="1" quotePrefix="1" applyNumberFormat="1" applyFont="1" applyBorder="1"/>
    <xf numFmtId="170" fontId="20" fillId="0" borderId="77" xfId="1" quotePrefix="1" applyNumberFormat="1" applyFont="1" applyBorder="1"/>
    <xf numFmtId="170" fontId="20" fillId="0" borderId="96" xfId="1" quotePrefix="1" applyNumberFormat="1" applyFont="1" applyBorder="1"/>
    <xf numFmtId="167" fontId="8" fillId="0" borderId="96" xfId="1" applyNumberFormat="1" applyFont="1" applyBorder="1"/>
    <xf numFmtId="9" fontId="11" fillId="0" borderId="96" xfId="1" applyNumberFormat="1" applyFont="1" applyBorder="1" applyAlignment="1">
      <alignment horizontal="right"/>
    </xf>
    <xf numFmtId="9" fontId="11" fillId="90" borderId="96" xfId="1" applyNumberFormat="1" applyFont="1" applyFill="1" applyBorder="1" applyAlignment="1">
      <alignment horizontal="right"/>
    </xf>
    <xf numFmtId="170" fontId="11" fillId="0" borderId="96" xfId="1" applyNumberFormat="1" applyFont="1" applyBorder="1" applyAlignment="1">
      <alignment horizontal="right"/>
    </xf>
    <xf numFmtId="167" fontId="11" fillId="0" borderId="96" xfId="1" applyNumberFormat="1" applyFont="1" applyBorder="1" applyAlignment="1">
      <alignment horizontal="right"/>
    </xf>
    <xf numFmtId="167" fontId="7" fillId="0" borderId="96" xfId="1" applyNumberFormat="1" applyFont="1" applyBorder="1" applyAlignment="1">
      <alignment horizontal="right"/>
    </xf>
    <xf numFmtId="167" fontId="7" fillId="0" borderId="77" xfId="1" applyNumberFormat="1" applyFont="1" applyBorder="1" applyAlignment="1">
      <alignment horizontal="right"/>
    </xf>
    <xf numFmtId="9" fontId="10" fillId="0" borderId="96" xfId="1" applyNumberFormat="1" applyFont="1" applyBorder="1" applyAlignment="1">
      <alignment horizontal="right"/>
    </xf>
    <xf numFmtId="170" fontId="10" fillId="0" borderId="96" xfId="1" applyNumberFormat="1" applyFont="1" applyBorder="1" applyAlignment="1">
      <alignment horizontal="right"/>
    </xf>
    <xf numFmtId="170" fontId="13" fillId="6" borderId="77" xfId="1" applyNumberFormat="1" applyFont="1" applyFill="1" applyBorder="1"/>
    <xf numFmtId="170" fontId="13" fillId="6" borderId="96" xfId="1" applyNumberFormat="1" applyFont="1" applyFill="1" applyBorder="1"/>
    <xf numFmtId="167" fontId="14" fillId="0" borderId="96" xfId="1" applyNumberFormat="1" applyFont="1" applyBorder="1"/>
    <xf numFmtId="167" fontId="13" fillId="2" borderId="77" xfId="1" applyNumberFormat="1" applyFont="1" applyFill="1" applyBorder="1"/>
    <xf numFmtId="167" fontId="13" fillId="6" borderId="96" xfId="1" applyNumberFormat="1" applyFont="1" applyFill="1" applyBorder="1"/>
    <xf numFmtId="167" fontId="21" fillId="6" borderId="77" xfId="1" applyNumberFormat="1" applyFont="1" applyFill="1" applyBorder="1"/>
    <xf numFmtId="167" fontId="21" fillId="6" borderId="96" xfId="1" applyNumberFormat="1" applyFont="1" applyFill="1" applyBorder="1"/>
    <xf numFmtId="167" fontId="13" fillId="6" borderId="77" xfId="1" applyNumberFormat="1" applyFont="1" applyFill="1" applyBorder="1"/>
    <xf numFmtId="167" fontId="7" fillId="0" borderId="96" xfId="1" applyNumberFormat="1" applyFont="1" applyBorder="1" applyAlignment="1">
      <alignment horizontal="left" indent="1"/>
    </xf>
    <xf numFmtId="167" fontId="12" fillId="0" borderId="96" xfId="1" applyNumberFormat="1" applyFont="1" applyFill="1" applyBorder="1" applyAlignment="1">
      <alignment horizontal="right"/>
    </xf>
    <xf numFmtId="170" fontId="22" fillId="0" borderId="77" xfId="1" applyNumberFormat="1" applyFont="1" applyBorder="1" applyAlignment="1">
      <alignment horizontal="right"/>
    </xf>
    <xf numFmtId="170" fontId="22" fillId="0" borderId="96" xfId="1" applyNumberFormat="1" applyFont="1" applyBorder="1" applyAlignment="1">
      <alignment horizontal="right"/>
    </xf>
    <xf numFmtId="167" fontId="22" fillId="0" borderId="96" xfId="1" applyNumberFormat="1" applyFont="1" applyBorder="1" applyAlignment="1">
      <alignment horizontal="right"/>
    </xf>
    <xf numFmtId="167" fontId="13" fillId="0" borderId="96" xfId="1" applyNumberFormat="1" applyFont="1" applyBorder="1"/>
    <xf numFmtId="167" fontId="5" fillId="0" borderId="77" xfId="1" applyNumberFormat="1" applyFont="1" applyFill="1" applyBorder="1" applyAlignment="1">
      <alignment horizontal="right"/>
    </xf>
    <xf numFmtId="167" fontId="5" fillId="0" borderId="96" xfId="1" applyNumberFormat="1" applyFont="1" applyFill="1" applyBorder="1" applyAlignment="1">
      <alignment horizontal="right"/>
    </xf>
    <xf numFmtId="9" fontId="6" fillId="0" borderId="77" xfId="2" applyFont="1" applyBorder="1" applyAlignment="1">
      <alignment horizontal="right"/>
    </xf>
    <xf numFmtId="9" fontId="6" fillId="0" borderId="96" xfId="1" applyNumberFormat="1" applyFont="1" applyBorder="1" applyAlignment="1">
      <alignment horizontal="right"/>
    </xf>
    <xf numFmtId="167" fontId="12" fillId="0" borderId="96" xfId="1" applyNumberFormat="1" applyFont="1" applyBorder="1" applyAlignment="1">
      <alignment horizontal="right"/>
    </xf>
    <xf numFmtId="167" fontId="5" fillId="4" borderId="77" xfId="1" applyNumberFormat="1" applyFont="1" applyFill="1" applyBorder="1" applyAlignment="1">
      <alignment horizontal="right"/>
    </xf>
    <xf numFmtId="9" fontId="7" fillId="0" borderId="96" xfId="1" applyNumberFormat="1" applyFont="1" applyBorder="1"/>
    <xf numFmtId="167" fontId="7" fillId="3" borderId="96" xfId="1" applyNumberFormat="1" applyFont="1" applyFill="1" applyBorder="1"/>
    <xf numFmtId="167" fontId="7" fillId="6" borderId="77" xfId="1" applyNumberFormat="1" applyFont="1" applyFill="1" applyBorder="1"/>
    <xf numFmtId="167" fontId="7" fillId="6" borderId="96" xfId="1" applyNumberFormat="1" applyFont="1" applyFill="1" applyBorder="1"/>
    <xf numFmtId="167" fontId="23" fillId="6" borderId="96" xfId="1" applyNumberFormat="1" applyFont="1" applyFill="1" applyBorder="1"/>
    <xf numFmtId="0" fontId="24" fillId="2" borderId="77" xfId="3" applyFont="1" applyFill="1" applyBorder="1"/>
    <xf numFmtId="0" fontId="24" fillId="2" borderId="96" xfId="3" applyFont="1" applyFill="1" applyBorder="1"/>
    <xf numFmtId="175" fontId="19" fillId="0" borderId="77" xfId="0" applyNumberFormat="1" applyFont="1" applyBorder="1"/>
    <xf numFmtId="175" fontId="19" fillId="0" borderId="96" xfId="0" applyNumberFormat="1" applyFont="1" applyBorder="1"/>
    <xf numFmtId="171" fontId="19" fillId="0" borderId="96" xfId="0" applyNumberFormat="1" applyFont="1" applyBorder="1"/>
    <xf numFmtId="171" fontId="19" fillId="6" borderId="77" xfId="0" applyNumberFormat="1" applyFont="1" applyFill="1" applyBorder="1"/>
    <xf numFmtId="171" fontId="19" fillId="6" borderId="96" xfId="0" applyNumberFormat="1" applyFont="1" applyFill="1" applyBorder="1"/>
    <xf numFmtId="0" fontId="24" fillId="0" borderId="96" xfId="0" applyFont="1" applyBorder="1"/>
    <xf numFmtId="3" fontId="24" fillId="0" borderId="77" xfId="1" applyNumberFormat="1" applyFont="1" applyBorder="1" applyAlignment="1"/>
    <xf numFmtId="3" fontId="24" fillId="0" borderId="96" xfId="1" applyNumberFormat="1" applyFont="1" applyBorder="1" applyAlignment="1"/>
    <xf numFmtId="3" fontId="19" fillId="0" borderId="96" xfId="1" applyNumberFormat="1" applyFont="1" applyBorder="1" applyAlignment="1">
      <alignment horizontal="right"/>
    </xf>
    <xf numFmtId="3" fontId="24" fillId="0" borderId="96" xfId="1" applyNumberFormat="1" applyFont="1" applyBorder="1" applyAlignment="1">
      <alignment horizontal="right"/>
    </xf>
    <xf numFmtId="3" fontId="25" fillId="5" borderId="77" xfId="0" applyNumberFormat="1" applyFont="1" applyFill="1" applyBorder="1"/>
    <xf numFmtId="3" fontId="25" fillId="0" borderId="77" xfId="0" applyNumberFormat="1" applyFont="1" applyBorder="1"/>
    <xf numFmtId="3" fontId="25" fillId="0" borderId="96" xfId="0" applyNumberFormat="1" applyFont="1" applyBorder="1"/>
    <xf numFmtId="3" fontId="24" fillId="0" borderId="96" xfId="0" applyNumberFormat="1" applyFont="1" applyBorder="1"/>
    <xf numFmtId="169" fontId="19" fillId="0" borderId="77" xfId="1" applyNumberFormat="1" applyFont="1" applyBorder="1"/>
    <xf numFmtId="169" fontId="19" fillId="0" borderId="96" xfId="1" applyNumberFormat="1" applyFont="1" applyBorder="1"/>
    <xf numFmtId="169" fontId="17" fillId="0" borderId="77" xfId="1" applyNumberFormat="1" applyFont="1" applyBorder="1"/>
    <xf numFmtId="169" fontId="17" fillId="0" borderId="96" xfId="1" applyNumberFormat="1" applyFont="1" applyBorder="1"/>
    <xf numFmtId="1" fontId="25" fillId="0" borderId="77" xfId="0" applyNumberFormat="1" applyFont="1" applyBorder="1"/>
    <xf numFmtId="1" fontId="25" fillId="0" borderId="96" xfId="0" applyNumberFormat="1" applyFont="1" applyBorder="1"/>
    <xf numFmtId="9" fontId="24" fillId="5" borderId="77" xfId="2" applyFont="1" applyFill="1" applyBorder="1" applyAlignment="1">
      <alignment horizontal="right" vertical="center" wrapText="1"/>
    </xf>
    <xf numFmtId="9" fontId="24" fillId="0" borderId="96" xfId="0" applyNumberFormat="1" applyFont="1" applyBorder="1" applyAlignment="1">
      <alignment horizontal="right" vertical="center" wrapText="1"/>
    </xf>
    <xf numFmtId="9" fontId="24" fillId="0" borderId="77" xfId="0" applyNumberFormat="1" applyFont="1" applyBorder="1" applyAlignment="1">
      <alignment horizontal="right" vertical="center" wrapText="1"/>
    </xf>
    <xf numFmtId="9" fontId="12" fillId="5" borderId="77" xfId="2" applyFont="1" applyFill="1" applyBorder="1" applyAlignment="1">
      <alignment horizontal="right"/>
    </xf>
    <xf numFmtId="9" fontId="12" fillId="0" borderId="96" xfId="0" applyNumberFormat="1" applyFont="1" applyBorder="1"/>
    <xf numFmtId="9" fontId="12" fillId="0" borderId="77" xfId="0" applyNumberFormat="1" applyFont="1" applyBorder="1"/>
    <xf numFmtId="9" fontId="17" fillId="5" borderId="77" xfId="0" applyNumberFormat="1" applyFont="1" applyFill="1" applyBorder="1" applyAlignment="1">
      <alignment horizontal="right"/>
    </xf>
    <xf numFmtId="9" fontId="24" fillId="0" borderId="96" xfId="0" applyNumberFormat="1" applyFont="1" applyBorder="1" applyAlignment="1">
      <alignment horizontal="right"/>
    </xf>
    <xf numFmtId="9" fontId="24" fillId="0" borderId="77" xfId="0" applyNumberFormat="1" applyFont="1" applyBorder="1" applyAlignment="1">
      <alignment horizontal="right"/>
    </xf>
    <xf numFmtId="9" fontId="24" fillId="0" borderId="77" xfId="0" applyNumberFormat="1" applyFont="1" applyBorder="1"/>
    <xf numFmtId="9" fontId="24" fillId="0" borderId="96" xfId="0" applyNumberFormat="1" applyFont="1" applyBorder="1"/>
    <xf numFmtId="170" fontId="24" fillId="5" borderId="77" xfId="2" quotePrefix="1" applyNumberFormat="1" applyFont="1" applyFill="1" applyBorder="1"/>
    <xf numFmtId="170" fontId="17" fillId="0" borderId="77" xfId="2" quotePrefix="1" applyNumberFormat="1" applyFont="1" applyBorder="1"/>
    <xf numFmtId="170" fontId="17" fillId="0" borderId="96" xfId="2" quotePrefix="1" applyNumberFormat="1" applyFont="1" applyBorder="1"/>
    <xf numFmtId="169" fontId="9" fillId="3" borderId="77" xfId="1" applyNumberFormat="1" applyFont="1" applyFill="1" applyBorder="1"/>
    <xf numFmtId="169" fontId="9" fillId="3" borderId="96" xfId="1" applyNumberFormat="1" applyFont="1" applyFill="1" applyBorder="1"/>
    <xf numFmtId="169" fontId="25" fillId="3" borderId="77" xfId="1" applyNumberFormat="1" applyFont="1" applyFill="1" applyBorder="1"/>
    <xf numFmtId="169" fontId="25" fillId="3" borderId="96" xfId="1" applyNumberFormat="1" applyFont="1" applyFill="1" applyBorder="1"/>
    <xf numFmtId="0" fontId="25" fillId="0" borderId="96" xfId="0" applyFont="1" applyBorder="1"/>
    <xf numFmtId="9" fontId="17" fillId="0" borderId="77" xfId="0" applyNumberFormat="1" applyFont="1" applyBorder="1"/>
    <xf numFmtId="9" fontId="17" fillId="0" borderId="96" xfId="0" applyNumberFormat="1" applyFont="1" applyBorder="1"/>
    <xf numFmtId="170" fontId="25" fillId="0" borderId="77" xfId="2" applyNumberFormat="1" applyFont="1" applyBorder="1"/>
    <xf numFmtId="170" fontId="25" fillId="0" borderId="96" xfId="2" applyNumberFormat="1" applyFont="1" applyBorder="1"/>
    <xf numFmtId="3" fontId="25" fillId="0" borderId="77" xfId="1" applyNumberFormat="1" applyFont="1" applyBorder="1"/>
    <xf numFmtId="3" fontId="25" fillId="0" borderId="96" xfId="1" applyNumberFormat="1" applyFont="1" applyBorder="1"/>
    <xf numFmtId="3" fontId="24" fillId="0" borderId="77" xfId="1" quotePrefix="1" applyNumberFormat="1" applyFont="1" applyBorder="1"/>
    <xf numFmtId="3" fontId="24" fillId="0" borderId="96" xfId="1" quotePrefix="1" applyNumberFormat="1" applyFont="1" applyBorder="1"/>
    <xf numFmtId="3" fontId="27" fillId="0" borderId="77" xfId="0" quotePrefix="1" applyNumberFormat="1" applyFont="1" applyBorder="1"/>
    <xf numFmtId="3" fontId="27" fillId="0" borderId="96" xfId="0" quotePrefix="1" applyNumberFormat="1" applyFont="1" applyBorder="1"/>
    <xf numFmtId="3" fontId="25" fillId="5" borderId="77" xfId="0" quotePrefix="1" applyNumberFormat="1" applyFont="1" applyFill="1" applyBorder="1"/>
    <xf numFmtId="3" fontId="24" fillId="0" borderId="77" xfId="0" quotePrefix="1" applyNumberFormat="1" applyFont="1" applyBorder="1"/>
    <xf numFmtId="3" fontId="24" fillId="0" borderId="96" xfId="0" quotePrefix="1" applyNumberFormat="1" applyFont="1" applyBorder="1"/>
    <xf numFmtId="0" fontId="27" fillId="0" borderId="77" xfId="0" quotePrefix="1" applyFont="1" applyBorder="1"/>
    <xf numFmtId="0" fontId="27" fillId="0" borderId="96" xfId="0" quotePrefix="1" applyFont="1" applyBorder="1"/>
    <xf numFmtId="172" fontId="24" fillId="0" borderId="96" xfId="1" applyNumberFormat="1" applyFont="1" applyBorder="1"/>
    <xf numFmtId="170" fontId="22" fillId="0" borderId="96" xfId="0" applyNumberFormat="1" applyFont="1" applyBorder="1"/>
    <xf numFmtId="171" fontId="24" fillId="0" borderId="96" xfId="0" applyNumberFormat="1" applyFont="1" applyBorder="1"/>
    <xf numFmtId="170" fontId="27" fillId="0" borderId="96" xfId="2" applyNumberFormat="1" applyFont="1" applyBorder="1"/>
    <xf numFmtId="168" fontId="25" fillId="0" borderId="96" xfId="1" applyNumberFormat="1" applyFont="1" applyBorder="1"/>
    <xf numFmtId="168" fontId="24" fillId="6" borderId="96" xfId="1" applyNumberFormat="1" applyFont="1" applyFill="1" applyBorder="1"/>
    <xf numFmtId="171" fontId="335" fillId="0" borderId="96" xfId="0" applyNumberFormat="1" applyFont="1" applyBorder="1"/>
    <xf numFmtId="0" fontId="335" fillId="0" borderId="96" xfId="0" applyFont="1" applyBorder="1"/>
    <xf numFmtId="168" fontId="24" fillId="0" borderId="96" xfId="1" applyNumberFormat="1" applyFont="1" applyBorder="1"/>
    <xf numFmtId="167" fontId="24" fillId="0" borderId="96" xfId="1" applyNumberFormat="1" applyFont="1" applyBorder="1"/>
    <xf numFmtId="170" fontId="24" fillId="0" borderId="96" xfId="2" applyNumberFormat="1" applyFont="1" applyBorder="1"/>
    <xf numFmtId="3" fontId="329" fillId="8" borderId="96" xfId="1" applyNumberFormat="1" applyFont="1" applyFill="1" applyBorder="1" applyAlignment="1"/>
    <xf numFmtId="3" fontId="25" fillId="8" borderId="96" xfId="1" applyNumberFormat="1" applyFont="1" applyFill="1" applyBorder="1" applyAlignment="1"/>
    <xf numFmtId="175" fontId="12" fillId="0" borderId="96" xfId="1" applyNumberFormat="1" applyFont="1" applyFill="1" applyBorder="1" applyAlignment="1"/>
    <xf numFmtId="3" fontId="24" fillId="0" borderId="96" xfId="1" applyNumberFormat="1" applyFont="1" applyFill="1" applyBorder="1" applyAlignment="1"/>
    <xf numFmtId="175" fontId="24" fillId="0" borderId="96" xfId="1" applyNumberFormat="1" applyFont="1" applyBorder="1"/>
    <xf numFmtId="175" fontId="11" fillId="0" borderId="96" xfId="1" applyNumberFormat="1" applyFont="1" applyFill="1" applyBorder="1" applyAlignment="1"/>
    <xf numFmtId="3" fontId="6" fillId="8" borderId="96" xfId="1" applyNumberFormat="1" applyFont="1" applyFill="1" applyBorder="1" applyAlignment="1"/>
    <xf numFmtId="9" fontId="7" fillId="0" borderId="96" xfId="0" applyNumberFormat="1" applyFont="1" applyBorder="1"/>
    <xf numFmtId="0" fontId="7" fillId="3" borderId="96" xfId="0" applyFont="1" applyFill="1" applyBorder="1"/>
    <xf numFmtId="172" fontId="29" fillId="0" borderId="77" xfId="1" applyNumberFormat="1" applyFont="1" applyBorder="1"/>
    <xf numFmtId="172" fontId="7" fillId="0" borderId="96" xfId="1" applyNumberFormat="1" applyFont="1" applyBorder="1"/>
    <xf numFmtId="170" fontId="7" fillId="6" borderId="96" xfId="2" applyNumberFormat="1" applyFont="1" applyFill="1" applyBorder="1"/>
    <xf numFmtId="170" fontId="7" fillId="0" borderId="96" xfId="2" applyNumberFormat="1" applyFont="1" applyBorder="1"/>
    <xf numFmtId="174" fontId="7" fillId="0" borderId="77" xfId="0" applyNumberFormat="1" applyFont="1" applyBorder="1"/>
    <xf numFmtId="170" fontId="14" fillId="0" borderId="96" xfId="0" applyNumberFormat="1" applyFont="1" applyBorder="1"/>
    <xf numFmtId="10" fontId="14" fillId="5" borderId="77" xfId="0" applyNumberFormat="1" applyFont="1" applyFill="1" applyBorder="1"/>
    <xf numFmtId="3" fontId="7" fillId="0" borderId="77" xfId="0" applyNumberFormat="1" applyFont="1" applyBorder="1"/>
    <xf numFmtId="3" fontId="7" fillId="0" borderId="96" xfId="0" applyNumberFormat="1" applyFont="1" applyBorder="1"/>
    <xf numFmtId="41" fontId="7" fillId="0" borderId="96" xfId="0" applyNumberFormat="1" applyFont="1" applyBorder="1"/>
    <xf numFmtId="174" fontId="7" fillId="0" borderId="96" xfId="0" applyNumberFormat="1" applyFont="1" applyBorder="1"/>
    <xf numFmtId="170" fontId="14" fillId="6" borderId="77" xfId="0" applyNumberFormat="1" applyFont="1" applyFill="1" applyBorder="1"/>
    <xf numFmtId="167" fontId="6" fillId="82" borderId="77" xfId="4" applyNumberFormat="1" applyFont="1" applyFill="1" applyBorder="1" applyAlignment="1">
      <alignment horizontal="right"/>
    </xf>
    <xf numFmtId="169" fontId="6" fillId="3" borderId="77" xfId="1" applyNumberFormat="1" applyFont="1" applyFill="1" applyBorder="1" applyAlignment="1">
      <alignment horizontal="right"/>
    </xf>
    <xf numFmtId="168" fontId="5" fillId="0" borderId="77" xfId="4" applyNumberFormat="1" applyFont="1" applyBorder="1" applyAlignment="1">
      <alignment horizontal="right"/>
    </xf>
    <xf numFmtId="167" fontId="7" fillId="0" borderId="77" xfId="0" applyNumberFormat="1" applyFont="1" applyBorder="1"/>
    <xf numFmtId="0" fontId="0" fillId="0" borderId="77" xfId="0" applyBorder="1"/>
    <xf numFmtId="175" fontId="14" fillId="4" borderId="96" xfId="0" applyNumberFormat="1" applyFont="1" applyFill="1" applyBorder="1"/>
    <xf numFmtId="170" fontId="10" fillId="0" borderId="96" xfId="2" applyNumberFormat="1" applyFont="1" applyBorder="1"/>
    <xf numFmtId="167" fontId="6" fillId="0" borderId="96" xfId="4" applyNumberFormat="1" applyFont="1" applyBorder="1" applyAlignment="1">
      <alignment horizontal="right"/>
    </xf>
    <xf numFmtId="167" fontId="19" fillId="0" borderId="77" xfId="4" applyNumberFormat="1" applyFont="1" applyBorder="1" applyAlignment="1">
      <alignment horizontal="right"/>
    </xf>
    <xf numFmtId="167" fontId="19" fillId="0" borderId="96" xfId="4" applyNumberFormat="1" applyFont="1" applyBorder="1" applyAlignment="1">
      <alignment horizontal="right"/>
    </xf>
    <xf numFmtId="170" fontId="10" fillId="0" borderId="96" xfId="2" quotePrefix="1" applyNumberFormat="1" applyFont="1" applyBorder="1"/>
    <xf numFmtId="167" fontId="5" fillId="0" borderId="96" xfId="4" applyNumberFormat="1" applyFont="1" applyBorder="1" applyAlignment="1">
      <alignment horizontal="right"/>
    </xf>
    <xf numFmtId="170" fontId="20" fillId="0" borderId="96" xfId="2" quotePrefix="1" applyNumberFormat="1" applyFont="1" applyBorder="1"/>
    <xf numFmtId="0" fontId="8" fillId="0" borderId="96" xfId="0" applyFont="1" applyBorder="1"/>
    <xf numFmtId="170" fontId="11" fillId="0" borderId="96" xfId="2" applyNumberFormat="1" applyFont="1" applyBorder="1" applyAlignment="1">
      <alignment horizontal="right"/>
    </xf>
    <xf numFmtId="1" fontId="7" fillId="0" borderId="96" xfId="0" applyNumberFormat="1" applyFont="1" applyBorder="1"/>
    <xf numFmtId="1" fontId="7" fillId="0" borderId="96" xfId="0" applyNumberFormat="1" applyFont="1" applyBorder="1" applyAlignment="1">
      <alignment horizontal="right"/>
    </xf>
    <xf numFmtId="1" fontId="7" fillId="0" borderId="77" xfId="0" applyNumberFormat="1" applyFont="1" applyBorder="1" applyAlignment="1">
      <alignment horizontal="right"/>
    </xf>
    <xf numFmtId="170" fontId="10" fillId="0" borderId="96" xfId="2" applyNumberFormat="1" applyFont="1" applyBorder="1" applyAlignment="1">
      <alignment horizontal="right"/>
    </xf>
    <xf numFmtId="170" fontId="13" fillId="6" borderId="77" xfId="2" applyNumberFormat="1" applyFont="1" applyFill="1" applyBorder="1"/>
    <xf numFmtId="170" fontId="13" fillId="6" borderId="96" xfId="2" applyNumberFormat="1" applyFont="1" applyFill="1" applyBorder="1"/>
    <xf numFmtId="1" fontId="14" fillId="0" borderId="96" xfId="0" applyNumberFormat="1" applyFont="1" applyBorder="1"/>
    <xf numFmtId="1" fontId="13" fillId="2" borderId="77" xfId="0" applyNumberFormat="1" applyFont="1" applyFill="1" applyBorder="1"/>
    <xf numFmtId="1" fontId="13" fillId="6" borderId="96" xfId="0" applyNumberFormat="1" applyFont="1" applyFill="1" applyBorder="1"/>
    <xf numFmtId="1" fontId="21" fillId="6" borderId="77" xfId="0" applyNumberFormat="1" applyFont="1" applyFill="1" applyBorder="1"/>
    <xf numFmtId="1" fontId="21" fillId="6" borderId="96" xfId="0" applyNumberFormat="1" applyFont="1" applyFill="1" applyBorder="1"/>
    <xf numFmtId="1" fontId="13" fillId="6" borderId="77" xfId="0" applyNumberFormat="1" applyFont="1" applyFill="1" applyBorder="1"/>
    <xf numFmtId="0" fontId="7" fillId="0" borderId="96" xfId="0" applyFont="1" applyBorder="1" applyAlignment="1">
      <alignment horizontal="left" indent="1"/>
    </xf>
    <xf numFmtId="0" fontId="13" fillId="0" borderId="77" xfId="0" applyFont="1" applyBorder="1"/>
    <xf numFmtId="167" fontId="12" fillId="0" borderId="96" xfId="4" applyNumberFormat="1" applyFont="1" applyFill="1" applyBorder="1" applyAlignment="1">
      <alignment horizontal="right"/>
    </xf>
    <xf numFmtId="170" fontId="22" fillId="0" borderId="77" xfId="2" applyNumberFormat="1" applyFont="1" applyBorder="1" applyAlignment="1">
      <alignment horizontal="right"/>
    </xf>
    <xf numFmtId="170" fontId="22" fillId="0" borderId="96" xfId="2" applyNumberFormat="1" applyFont="1" applyBorder="1" applyAlignment="1">
      <alignment horizontal="right"/>
    </xf>
    <xf numFmtId="9" fontId="22" fillId="0" borderId="96" xfId="2" applyFont="1" applyBorder="1" applyAlignment="1">
      <alignment horizontal="right"/>
    </xf>
    <xf numFmtId="167" fontId="5" fillId="0" borderId="96" xfId="4" applyNumberFormat="1" applyFont="1" applyFill="1" applyBorder="1" applyAlignment="1">
      <alignment horizontal="right"/>
    </xf>
    <xf numFmtId="168" fontId="5" fillId="0" borderId="77" xfId="4" applyNumberFormat="1" applyFont="1" applyFill="1" applyBorder="1" applyAlignment="1">
      <alignment horizontal="right"/>
    </xf>
    <xf numFmtId="168" fontId="5" fillId="0" borderId="96" xfId="4" applyNumberFormat="1" applyFont="1" applyFill="1" applyBorder="1" applyAlignment="1">
      <alignment horizontal="right"/>
    </xf>
    <xf numFmtId="170" fontId="6" fillId="0" borderId="96" xfId="2" applyNumberFormat="1" applyFont="1" applyBorder="1" applyAlignment="1">
      <alignment horizontal="right"/>
    </xf>
    <xf numFmtId="167" fontId="12" fillId="0" borderId="96" xfId="4" applyNumberFormat="1" applyFont="1" applyBorder="1" applyAlignment="1">
      <alignment horizontal="right"/>
    </xf>
    <xf numFmtId="168" fontId="5" fillId="92" borderId="96" xfId="4" applyNumberFormat="1" applyFont="1" applyFill="1" applyBorder="1" applyAlignment="1">
      <alignment horizontal="right"/>
    </xf>
    <xf numFmtId="168" fontId="5" fillId="92" borderId="77" xfId="4" applyNumberFormat="1" applyFont="1" applyFill="1" applyBorder="1" applyAlignment="1">
      <alignment horizontal="right"/>
    </xf>
    <xf numFmtId="168" fontId="5" fillId="0" borderId="96" xfId="4" applyNumberFormat="1" applyFont="1" applyBorder="1" applyAlignment="1">
      <alignment horizontal="right"/>
    </xf>
    <xf numFmtId="3" fontId="25" fillId="0" borderId="96" xfId="1" applyNumberFormat="1" applyFont="1" applyFill="1" applyBorder="1" applyAlignment="1"/>
    <xf numFmtId="170" fontId="13" fillId="0" borderId="77" xfId="2" applyNumberFormat="1" applyFont="1" applyBorder="1"/>
    <xf numFmtId="170" fontId="13" fillId="0" borderId="96" xfId="2" applyNumberFormat="1" applyFont="1" applyBorder="1"/>
  </cellXfs>
  <cellStyles count="3241">
    <cellStyle name="—" xfId="24" xr:uid="{00000000-0005-0000-0000-000000000000}"/>
    <cellStyle name=" " xfId="25" xr:uid="{00000000-0005-0000-0000-000001000000}"/>
    <cellStyle name="_x000a_386grabber=M" xfId="26" xr:uid="{00000000-0005-0000-0000-000002000000}"/>
    <cellStyle name="$" xfId="27" xr:uid="{00000000-0005-0000-0000-000003000000}"/>
    <cellStyle name="$_Lakshmi Energy Quarter" xfId="28" xr:uid="{00000000-0005-0000-0000-000004000000}"/>
    <cellStyle name="$3dp" xfId="29" xr:uid="{00000000-0005-0000-0000-000005000000}"/>
    <cellStyle name="$3dp 2" xfId="30" xr:uid="{00000000-0005-0000-0000-000006000000}"/>
    <cellStyle name="$3dp 3" xfId="31" xr:uid="{00000000-0005-0000-0000-000007000000}"/>
    <cellStyle name="$m" xfId="32" xr:uid="{00000000-0005-0000-0000-000008000000}"/>
    <cellStyle name="$q" xfId="33" xr:uid="{00000000-0005-0000-0000-000009000000}"/>
    <cellStyle name="$q*" xfId="34" xr:uid="{00000000-0005-0000-0000-00000A000000}"/>
    <cellStyle name="$qA" xfId="35" xr:uid="{00000000-0005-0000-0000-00000B000000}"/>
    <cellStyle name="$qRange" xfId="36" xr:uid="{00000000-0005-0000-0000-00000C000000}"/>
    <cellStyle name="%" xfId="37" xr:uid="{00000000-0005-0000-0000-00000D000000}"/>
    <cellStyle name="(1,000)" xfId="38" xr:uid="{00000000-0005-0000-0000-00000E000000}"/>
    <cellStyle name="(1,000)x" xfId="39" xr:uid="{00000000-0005-0000-0000-00000F000000}"/>
    <cellStyle name="******************************************" xfId="40" xr:uid="{00000000-0005-0000-0000-000010000000}"/>
    <cellStyle name="?? [0]_~5416864-dlink" xfId="41" xr:uid="{00000000-0005-0000-0000-000011000000}"/>
    <cellStyle name="??????mplate-qtrlinklink" xfId="42" xr:uid="{00000000-0005-0000-0000-000012000000}"/>
    <cellStyle name="???[0]_~5416864alinkad43" xfId="43" xr:uid="{00000000-0005-0000-0000-000013000000}"/>
    <cellStyle name="???_~5416864Mainon-dl" xfId="44" xr:uid="{00000000-0005-0000-0000-000014000000}"/>
    <cellStyle name="???238mplate" xfId="45" xr:uid="{00000000-0005-0000-0000-000015000000}"/>
    <cellStyle name="??_~5416864_Maino" xfId="46" xr:uid="{00000000-0005-0000-0000-000016000000}"/>
    <cellStyle name="?@疾_2332JT3_2313COP2 " xfId="47" xr:uid="{00000000-0005-0000-0000-000017000000}"/>
    <cellStyle name="?d?A|i[0]_capacity" xfId="48" xr:uid="{00000000-0005-0000-0000-000018000000}"/>
    <cellStyle name="?d?A|i_capacity" xfId="49" xr:uid="{00000000-0005-0000-0000-000019000000}"/>
    <cellStyle name="?Q\?1@" xfId="50" xr:uid="{00000000-0005-0000-0000-00001A000000}"/>
    <cellStyle name="@NOW" xfId="51" xr:uid="{00000000-0005-0000-0000-00001B000000}"/>
    <cellStyle name="[per" xfId="52" xr:uid="{00000000-0005-0000-0000-00001C000000}"/>
    <cellStyle name="_%(SignOnly)" xfId="53" xr:uid="{00000000-0005-0000-0000-00001D000000}"/>
    <cellStyle name="_%(SignSpaceOnly)" xfId="54" xr:uid="{00000000-0005-0000-0000-00001E000000}"/>
    <cellStyle name="_~9171418" xfId="55" xr:uid="{00000000-0005-0000-0000-00001F000000}"/>
    <cellStyle name="_~9736082" xfId="56" xr:uid="{00000000-0005-0000-0000-000020000000}"/>
    <cellStyle name="_1301 quarterly result" xfId="57" xr:uid="{00000000-0005-0000-0000-000021000000}"/>
    <cellStyle name="_1301 quarterly result 2" xfId="58" xr:uid="{00000000-0005-0000-0000-000022000000}"/>
    <cellStyle name="_1710 wted shares" xfId="59" xr:uid="{00000000-0005-0000-0000-000023000000}"/>
    <cellStyle name="_1710 wted shares 2" xfId="60" xr:uid="{00000000-0005-0000-0000-000024000000}"/>
    <cellStyle name="_1QFY09-review" xfId="61" xr:uid="{00000000-0005-0000-0000-000025000000}"/>
    <cellStyle name="_2409modl_temp0707 by sam" xfId="62" xr:uid="{00000000-0005-0000-0000-000026000000}"/>
    <cellStyle name="_2409modl_temp0707 by sam 2" xfId="63" xr:uid="{00000000-0005-0000-0000-000027000000}"/>
    <cellStyle name="_4QFY07 result" xfId="64" xr:uid="{00000000-0005-0000-0000-000028000000}"/>
    <cellStyle name="_Aardvark" xfId="65" xr:uid="{00000000-0005-0000-0000-000029000000}"/>
    <cellStyle name="_Aardvark - BHEL" xfId="66" xr:uid="{00000000-0005-0000-0000-00002A000000}"/>
    <cellStyle name="_Aardvark - BHEL 2" xfId="67" xr:uid="{00000000-0005-0000-0000-00002B000000}"/>
    <cellStyle name="_Aardvark - BHEL 3" xfId="68" xr:uid="{00000000-0005-0000-0000-00002C000000}"/>
    <cellStyle name="_Aardvark - L&amp;T" xfId="69" xr:uid="{00000000-0005-0000-0000-00002D000000}"/>
    <cellStyle name="_Aardvark - L&amp;T 2" xfId="70" xr:uid="{00000000-0005-0000-0000-00002E000000}"/>
    <cellStyle name="_Aardvark - L&amp;T 3" xfId="71" xr:uid="{00000000-0005-0000-0000-00002F000000}"/>
    <cellStyle name="_Aardvark 2" xfId="72" xr:uid="{00000000-0005-0000-0000-000030000000}"/>
    <cellStyle name="_Aardvark 3" xfId="73" xr:uid="{00000000-0005-0000-0000-000031000000}"/>
    <cellStyle name="_additional tables-metals" xfId="74" xr:uid="{00000000-0005-0000-0000-000032000000}"/>
    <cellStyle name="_Aggregator" xfId="75" xr:uid="{00000000-0005-0000-0000-000033000000}"/>
    <cellStyle name="—_AP capex comparison" xfId="76" xr:uid="{00000000-0005-0000-0000-000034000000}"/>
    <cellStyle name="_apr02 tp, eps revision" xfId="77" xr:uid="{00000000-0005-0000-0000-000035000000}"/>
    <cellStyle name="_apr22 ril 4QFY08 results review" xfId="78" xr:uid="{00000000-0005-0000-0000-000036000000}"/>
    <cellStyle name="_apr22 rpet downgraded to REDUCE" xfId="79" xr:uid="{00000000-0005-0000-0000-000037000000}"/>
    <cellStyle name="_ARIL master" xfId="80" xr:uid="{00000000-0005-0000-0000-000038000000}"/>
    <cellStyle name="_Ashapura - Earnings Model" xfId="81" xr:uid="{00000000-0005-0000-0000-000039000000}"/>
    <cellStyle name="—_Asia-Japan Chemicals Valuation new" xfId="82" xr:uid="{00000000-0005-0000-0000-00003A000000}"/>
    <cellStyle name="_Asustek Main" xfId="83" xr:uid="{00000000-0005-0000-0000-00003B000000}"/>
    <cellStyle name="_Asustek Main 2" xfId="84" xr:uid="{00000000-0005-0000-0000-00003C000000}"/>
    <cellStyle name="_aug08 pricing formula in limbo" xfId="85" xr:uid="{00000000-0005-0000-0000-00003D000000}"/>
    <cellStyle name="_Auto interest rate sensitivity" xfId="86" xr:uid="{00000000-0005-0000-0000-00003E000000}"/>
    <cellStyle name="_Bhavesh_jan08" xfId="87" xr:uid="{00000000-0005-0000-0000-00003F000000}"/>
    <cellStyle name="_Bhavesh_Steel" xfId="88" xr:uid="{00000000-0005-0000-0000-000040000000}"/>
    <cellStyle name="_Bidadi" xfId="89" xr:uid="{00000000-0005-0000-0000-000041000000}"/>
    <cellStyle name="_Birla Corp" xfId="90" xr:uid="{00000000-0005-0000-0000-000042000000}"/>
    <cellStyle name="_bjat_format" xfId="91" xr:uid="{00000000-0005-0000-0000-000043000000}"/>
    <cellStyle name="_bjat_format 2" xfId="92" xr:uid="{00000000-0005-0000-0000-000044000000}"/>
    <cellStyle name="_bjat_format 3" xfId="93" xr:uid="{00000000-0005-0000-0000-000045000000}"/>
    <cellStyle name="_bjat_format_Aardvark" xfId="94" xr:uid="{00000000-0005-0000-0000-000046000000}"/>
    <cellStyle name="_bjat_format_Aardvark - BHEL" xfId="95" xr:uid="{00000000-0005-0000-0000-000047000000}"/>
    <cellStyle name="_bjat_format_Aardvark - L&amp;T" xfId="96" xr:uid="{00000000-0005-0000-0000-000048000000}"/>
    <cellStyle name="_Book1" xfId="97" xr:uid="{00000000-0005-0000-0000-000049000000}"/>
    <cellStyle name="_Book1 (2)" xfId="98" xr:uid="{00000000-0005-0000-0000-00004A000000}"/>
    <cellStyle name="_Book1 (3)" xfId="99" xr:uid="{00000000-0005-0000-0000-00004B000000}"/>
    <cellStyle name="_Book1 2" xfId="100" xr:uid="{00000000-0005-0000-0000-00004C000000}"/>
    <cellStyle name="_Book1_DLF exhibits" xfId="101" xr:uid="{00000000-0005-0000-0000-00004D000000}"/>
    <cellStyle name="_Book11" xfId="102" xr:uid="{00000000-0005-0000-0000-00004E000000}"/>
    <cellStyle name="_Book2" xfId="103" xr:uid="{00000000-0005-0000-0000-00004F000000}"/>
    <cellStyle name="—_Book2" xfId="104" xr:uid="{00000000-0005-0000-0000-000050000000}"/>
    <cellStyle name="_Book2 (2)" xfId="105" xr:uid="{00000000-0005-0000-0000-000051000000}"/>
    <cellStyle name="—_Book2_alpha bet aug07" xfId="106" xr:uid="{00000000-0005-0000-0000-000052000000}"/>
    <cellStyle name="—_Book2_apr22 rpet downgraded to REDUCE" xfId="107" xr:uid="{00000000-0005-0000-0000-000053000000}"/>
    <cellStyle name="—_Book2_aug08 pricing formula in limbo" xfId="108" xr:uid="{00000000-0005-0000-0000-000054000000}"/>
    <cellStyle name="—_Book2_Book1" xfId="109" xr:uid="{00000000-0005-0000-0000-000055000000}"/>
    <cellStyle name="—_Book2_Book2 (2)" xfId="110" xr:uid="{00000000-0005-0000-0000-000056000000}"/>
    <cellStyle name="—_Book2_Book2 (3)" xfId="111" xr:uid="{00000000-0005-0000-0000-000057000000}"/>
    <cellStyle name="—_Book2_cairn feb07 exhibits" xfId="112" xr:uid="{00000000-0005-0000-0000-000058000000}"/>
    <cellStyle name="—_Book2_cairn master" xfId="113" xr:uid="{00000000-0005-0000-0000-000059000000}"/>
    <cellStyle name="—_Book2_cairn master sep06" xfId="114" xr:uid="{00000000-0005-0000-0000-00005A000000}"/>
    <cellStyle name="—_Book2_capex spending by energy sector(1)" xfId="115" xr:uid="{00000000-0005-0000-0000-00005B000000}"/>
    <cellStyle name="—_Book2_Chennai ex NEW" xfId="116" xr:uid="{00000000-0005-0000-0000-00005C000000}"/>
    <cellStyle name="—_Book2_dec06 2007 strategy" xfId="117" xr:uid="{00000000-0005-0000-0000-00005D000000}"/>
    <cellStyle name="—_Book2_DLF 3Q08" xfId="118" xr:uid="{00000000-0005-0000-0000-00005E000000}"/>
    <cellStyle name="—_Book2_DLF Dec01 exhibits" xfId="119" xr:uid="{00000000-0005-0000-0000-00005F000000}"/>
    <cellStyle name="—_Book2_DLF exhibits" xfId="120" xr:uid="{00000000-0005-0000-0000-000060000000}"/>
    <cellStyle name="—_Book2_DLF Model final" xfId="121" xr:uid="{00000000-0005-0000-0000-000061000000}"/>
    <cellStyle name="—_Book2_DLF2Q08_new exhibits" xfId="122" xr:uid="{00000000-0005-0000-0000-000062000000}"/>
    <cellStyle name="—_Book2_Energy master" xfId="123" xr:uid="{00000000-0005-0000-0000-000063000000}"/>
    <cellStyle name="—_Book2_GMR - exhibit sheet" xfId="124" xr:uid="{00000000-0005-0000-0000-000064000000}"/>
    <cellStyle name="—_Book2_HDIL Dec 2007 qtr" xfId="125" xr:uid="{00000000-0005-0000-0000-000065000000}"/>
    <cellStyle name="—_Book2_Honam Master_external" xfId="126" xr:uid="{00000000-0005-0000-0000-000066000000}"/>
    <cellStyle name="—_Book2_honam -Quantum 220704" xfId="127" xr:uid="{00000000-0005-0000-0000-000067000000}"/>
    <cellStyle name="—_Book2_India Gas Market" xfId="128" xr:uid="{00000000-0005-0000-0000-000068000000}"/>
    <cellStyle name="—_Book2_IVR  master" xfId="129" xr:uid="{00000000-0005-0000-0000-000069000000}"/>
    <cellStyle name="—_Book2_jun14 doomsday scenario" xfId="130" xr:uid="{00000000-0005-0000-0000-00006A000000}"/>
    <cellStyle name="—_Book2_kotak asset val, normalized val for emic" xfId="131" xr:uid="{00000000-0005-0000-0000-00006B000000}"/>
    <cellStyle name="—_Book2_lg petrochem-Quantum Template" xfId="132" xr:uid="{00000000-0005-0000-0000-00006C000000}"/>
    <cellStyle name="—_Book2_long term valuations" xfId="133" xr:uid="{00000000-0005-0000-0000-00006D000000}"/>
    <cellStyle name="—_Book2_mar24 lower crude price impact" xfId="134" xr:uid="{00000000-0005-0000-0000-00006E000000}"/>
    <cellStyle name="—_Book2_Mobile_demographics" xfId="135" xr:uid="{00000000-0005-0000-0000-00006F000000}"/>
    <cellStyle name="—_Book2_New Presentation exhibits" xfId="136" xr:uid="{00000000-0005-0000-0000-000070000000}"/>
    <cellStyle name="—_Book2_nov07 pricing scenario for strategy" xfId="137" xr:uid="{00000000-0005-0000-0000-000071000000}"/>
    <cellStyle name="—_Book2_ONGC master" xfId="138" xr:uid="{00000000-0005-0000-0000-000072000000}"/>
    <cellStyle name="—_Book2_ongoing projects" xfId="139" xr:uid="{00000000-0005-0000-0000-000073000000}"/>
    <cellStyle name="—_Book2_Other Company-prsntn-sep03 link free" xfId="140" xr:uid="{00000000-0005-0000-0000-000074000000}"/>
    <cellStyle name="—_Book2_Other Company-prsntn-sep03 link free 1" xfId="141" xr:uid="{00000000-0005-0000-0000-000075000000}"/>
    <cellStyle name="—_Book2_pg24" xfId="142" xr:uid="{00000000-0005-0000-0000-000076000000}"/>
    <cellStyle name="—_Book2_Power projects" xfId="143" xr:uid="{00000000-0005-0000-0000-000077000000}"/>
    <cellStyle name="—_Book2_price to book bphpiocl" xfId="144" xr:uid="{00000000-0005-0000-0000-000078000000}"/>
    <cellStyle name="—_Book2_q" xfId="145" xr:uid="{00000000-0005-0000-0000-000079000000}"/>
    <cellStyle name="—_Book2_Ref cap addns" xfId="146" xr:uid="{00000000-0005-0000-0000-00007A000000}"/>
    <cellStyle name="—_Book2_Reliance presentation" xfId="147" xr:uid="{00000000-0005-0000-0000-00007B000000}"/>
    <cellStyle name="—_Book2_ril_mar03_exhibits" xfId="148" xr:uid="{00000000-0005-0000-0000-00007C000000}"/>
    <cellStyle name="—_Book2_ril_may03_exhibits" xfId="149" xr:uid="{00000000-0005-0000-0000-00007D000000}"/>
    <cellStyle name="—_Book2_rilmstr" xfId="150" xr:uid="{00000000-0005-0000-0000-00007E000000}"/>
    <cellStyle name="—_Book2_RILMSTR " xfId="151" xr:uid="{00000000-0005-0000-0000-00007F000000}"/>
    <cellStyle name="—_Book2_sep26 oil bonds are coming" xfId="152" xr:uid="{00000000-0005-0000-0000-000080000000}"/>
    <cellStyle name="—_Book2_Sheet1" xfId="153" xr:uid="{00000000-0005-0000-0000-000081000000}"/>
    <cellStyle name="—_Book2_Sheet2" xfId="154" xr:uid="{00000000-0005-0000-0000-000082000000}"/>
    <cellStyle name="—_Book2_Sobha Dec 2007 qtr" xfId="155" xr:uid="{00000000-0005-0000-0000-000083000000}"/>
    <cellStyle name="—_Book2_Unitech exhibits" xfId="156" xr:uid="{00000000-0005-0000-0000-000084000000}"/>
    <cellStyle name="—_Book2_Unitech Sept 2007 qtr" xfId="157" xr:uid="{00000000-0005-0000-0000-000085000000}"/>
    <cellStyle name="—_Book2_valuation" xfId="158" xr:uid="{00000000-0005-0000-0000-000086000000}"/>
    <cellStyle name="—_Book2_Voltas - exh sheet" xfId="159" xr:uid="{00000000-0005-0000-0000-000087000000}"/>
    <cellStyle name="—_Book2_Weekly Input" xfId="160" xr:uid="{00000000-0005-0000-0000-000088000000}"/>
    <cellStyle name="_Book4" xfId="161" xr:uid="{00000000-0005-0000-0000-000089000000}"/>
    <cellStyle name="—_Book7" xfId="162" xr:uid="{00000000-0005-0000-0000-00008A000000}"/>
    <cellStyle name="—_Book7_IVRCL - results - 2Q09 - exhibits" xfId="163" xr:uid="{00000000-0005-0000-0000-00008B000000}"/>
    <cellStyle name="_borl_master jan08" xfId="164" xr:uid="{00000000-0005-0000-0000-00008C000000}"/>
    <cellStyle name="_BOT Projects information and rough valuation (2)" xfId="165" xr:uid="{00000000-0005-0000-0000-00008D000000}"/>
    <cellStyle name="_Budget07-08A" xfId="166" xr:uid="{00000000-0005-0000-0000-00008E000000}"/>
    <cellStyle name="_cairn feb07 exhibits" xfId="167" xr:uid="{00000000-0005-0000-0000-00008F000000}"/>
    <cellStyle name="_cairn master" xfId="168" xr:uid="{00000000-0005-0000-0000-000090000000}"/>
    <cellStyle name="_calculations" xfId="169" xr:uid="{00000000-0005-0000-0000-000091000000}"/>
    <cellStyle name="_calculations 2" xfId="170" xr:uid="{00000000-0005-0000-0000-000092000000}"/>
    <cellStyle name="_Capital expansion" xfId="171" xr:uid="{00000000-0005-0000-0000-000093000000}"/>
    <cellStyle name="_Capital expansion 2" xfId="172" xr:uid="{00000000-0005-0000-0000-000094000000}"/>
    <cellStyle name="_CCCL-order book" xfId="173" xr:uid="{00000000-0005-0000-0000-000095000000}"/>
    <cellStyle name="_CDH" xfId="174" xr:uid="{00000000-0005-0000-0000-000096000000}"/>
    <cellStyle name="_CDH 2" xfId="175" xr:uid="{00000000-0005-0000-0000-000097000000}"/>
    <cellStyle name="_CDH 3" xfId="176" xr:uid="{00000000-0005-0000-0000-000098000000}"/>
    <cellStyle name="_cem_val_newAR2007" xfId="177" xr:uid="{00000000-0005-0000-0000-000099000000}"/>
    <cellStyle name="_Cement (Pricing Strategy)" xfId="178" xr:uid="{00000000-0005-0000-0000-00009A000000}"/>
    <cellStyle name="_Cement monthly ppt" xfId="179" xr:uid="{00000000-0005-0000-0000-00009B000000}"/>
    <cellStyle name="_Cement supply-demand" xfId="180" xr:uid="{00000000-0005-0000-0000-00009C000000}"/>
    <cellStyle name="_Cement suppply-demand (FY2007-FY2010E)" xfId="181" xr:uid="{00000000-0005-0000-0000-00009D000000}"/>
    <cellStyle name="_Charts 2" xfId="182" xr:uid="{00000000-0005-0000-0000-00009E000000}"/>
    <cellStyle name="_chemical prices margins monthly mohan" xfId="183" xr:uid="{00000000-0005-0000-0000-00009F000000}"/>
    <cellStyle name="_Chennai ex NEW" xfId="184" xr:uid="{00000000-0005-0000-0000-0000A0000000}"/>
    <cellStyle name="_cmotemp_02" xfId="185" xr:uid="{00000000-0005-0000-0000-0000A1000000}"/>
    <cellStyle name="_cmotemp_02 2" xfId="186" xr:uid="{00000000-0005-0000-0000-0000A2000000}"/>
    <cellStyle name="_cmotemp_al080103" xfId="187" xr:uid="{00000000-0005-0000-0000-0000A3000000}"/>
    <cellStyle name="_cmotemp_al080103 2" xfId="188" xr:uid="{00000000-0005-0000-0000-0000A4000000}"/>
    <cellStyle name="_Coking coal" xfId="189" xr:uid="{00000000-0005-0000-0000-0000A5000000}"/>
    <cellStyle name="_Comma" xfId="190" xr:uid="{00000000-0005-0000-0000-0000A6000000}"/>
    <cellStyle name="_Comma_AutoPrice2000" xfId="191" xr:uid="{00000000-0005-0000-0000-0000A7000000}"/>
    <cellStyle name="_Comma_EZJ vs go" xfId="192" xr:uid="{00000000-0005-0000-0000-0000A8000000}"/>
    <cellStyle name="_Comma_Financial Performance Benchmarking and Valuation(2)" xfId="193" xr:uid="{00000000-0005-0000-0000-0000A9000000}"/>
    <cellStyle name="_Comma_Valuation and Benchmarking Template" xfId="194" xr:uid="{00000000-0005-0000-0000-0000AA000000}"/>
    <cellStyle name="_Cons_model ivrcl" xfId="195" xr:uid="{00000000-0005-0000-0000-0000AB000000}"/>
    <cellStyle name="_Cons_model NCC" xfId="196" xr:uid="{00000000-0005-0000-0000-0000AC000000}"/>
    <cellStyle name="_Construction comps" xfId="197" xr:uid="{00000000-0005-0000-0000-0000AD000000}"/>
    <cellStyle name="_Consumer Templates" xfId="198" xr:uid="{00000000-0005-0000-0000-0000AE000000}"/>
    <cellStyle name="_Consumer Templates 2" xfId="199" xr:uid="{00000000-0005-0000-0000-0000AF000000}"/>
    <cellStyle name="_Consumer Templates 3" xfId="200" xr:uid="{00000000-0005-0000-0000-0000B0000000}"/>
    <cellStyle name="_Consumer Valuation-Jan 2006-exhibits" xfId="201" xr:uid="{00000000-0005-0000-0000-0000B1000000}"/>
    <cellStyle name="_Copy of Corus_Tata" xfId="202" xr:uid="{00000000-0005-0000-0000-0000B2000000}"/>
    <cellStyle name="_Copy of Corus_Tata 2" xfId="203" xr:uid="{00000000-0005-0000-0000-0000B3000000}"/>
    <cellStyle name="_Copy of Corus_Tata 3" xfId="204" xr:uid="{00000000-0005-0000-0000-0000B4000000}"/>
    <cellStyle name="_Copy of Corus_Tata_Aardvark" xfId="205" xr:uid="{00000000-0005-0000-0000-0000B5000000}"/>
    <cellStyle name="_Copy of Corus_Tata_Aardvark - BHEL" xfId="206" xr:uid="{00000000-0005-0000-0000-0000B6000000}"/>
    <cellStyle name="_Copy of Corus_Tata_Aardvark - L&amp;T" xfId="207" xr:uid="{00000000-0005-0000-0000-0000B7000000}"/>
    <cellStyle name="_Copy of L&amp;T Model" xfId="208" xr:uid="{00000000-0005-0000-0000-0000B8000000}"/>
    <cellStyle name="_cost_dre_final_tally_sch5_011" xfId="209" xr:uid="{00000000-0005-0000-0000-0000B9000000}"/>
    <cellStyle name="_cover" xfId="210" xr:uid="{00000000-0005-0000-0000-0000BA000000}"/>
    <cellStyle name="_CRIN Model in Progress V2" xfId="211" xr:uid="{00000000-0005-0000-0000-0000BB000000}"/>
    <cellStyle name="_Currency" xfId="212" xr:uid="{00000000-0005-0000-0000-0000BC000000}"/>
    <cellStyle name="_Currency_AutoPrice2000" xfId="213" xr:uid="{00000000-0005-0000-0000-0000BD000000}"/>
    <cellStyle name="_Currency_Book6" xfId="214" xr:uid="{00000000-0005-0000-0000-0000BE000000}"/>
    <cellStyle name="_Currency_EZJ vs go" xfId="215" xr:uid="{00000000-0005-0000-0000-0000BF000000}"/>
    <cellStyle name="_Currency_Financial Performance Benchmarking and Valuation(2)" xfId="216" xr:uid="{00000000-0005-0000-0000-0000C0000000}"/>
    <cellStyle name="_Currency_Valuation and Benchmarking Template" xfId="217" xr:uid="{00000000-0005-0000-0000-0000C1000000}"/>
    <cellStyle name="_CurrencySpace" xfId="218" xr:uid="{00000000-0005-0000-0000-0000C2000000}"/>
    <cellStyle name="_CurrencySpace_AutoPrice2000" xfId="219" xr:uid="{00000000-0005-0000-0000-0000C3000000}"/>
    <cellStyle name="_CurrencySpace_EZJ vs go" xfId="220" xr:uid="{00000000-0005-0000-0000-0000C4000000}"/>
    <cellStyle name="_CurrencySpace_Financial Performance Benchmarking and Valuation(2)" xfId="221" xr:uid="{00000000-0005-0000-0000-0000C5000000}"/>
    <cellStyle name="_CurrencySpace_Valuation and Benchmarking Template" xfId="222" xr:uid="{00000000-0005-0000-0000-0000C6000000}"/>
    <cellStyle name="_Dabur Jan 2008" xfId="223" xr:uid="{00000000-0005-0000-0000-0000C7000000}"/>
    <cellStyle name="_daburJan2011" xfId="224" xr:uid="{00000000-0005-0000-0000-0000C8000000}"/>
    <cellStyle name="_daburJan2011 2" xfId="225" xr:uid="{00000000-0005-0000-0000-0000C9000000}"/>
    <cellStyle name="_daburJan2011 3" xfId="226" xr:uid="{00000000-0005-0000-0000-0000CA000000}"/>
    <cellStyle name="_daburoct2009" xfId="227" xr:uid="{00000000-0005-0000-0000-0000CB000000}"/>
    <cellStyle name="_Database" xfId="228" xr:uid="{00000000-0005-0000-0000-0000CC000000}"/>
    <cellStyle name="_Database 2" xfId="229" xr:uid="{00000000-0005-0000-0000-0000CD000000}"/>
    <cellStyle name="_Database 2 2" xfId="230" xr:uid="{00000000-0005-0000-0000-0000CE000000}"/>
    <cellStyle name="_Database 2 3" xfId="231" xr:uid="{00000000-0005-0000-0000-0000CF000000}"/>
    <cellStyle name="_Database 3" xfId="232" xr:uid="{00000000-0005-0000-0000-0000D0000000}"/>
    <cellStyle name="_Database 4" xfId="233" xr:uid="{00000000-0005-0000-0000-0000D1000000}"/>
    <cellStyle name="_Database_Aardvark" xfId="234" xr:uid="{00000000-0005-0000-0000-0000D2000000}"/>
    <cellStyle name="_Database_Aardvark - BHEL" xfId="235" xr:uid="{00000000-0005-0000-0000-0000D3000000}"/>
    <cellStyle name="_Database_Aardvark - L&amp;T" xfId="236" xr:uid="{00000000-0005-0000-0000-0000D4000000}"/>
    <cellStyle name="_dcf example" xfId="237" xr:uid="{00000000-0005-0000-0000-0000D5000000}"/>
    <cellStyle name="_DCI - finl extracts" xfId="238" xr:uid="{00000000-0005-0000-0000-0000D6000000}"/>
    <cellStyle name="_DLF Dec01 exhibits" xfId="239" xr:uid="{00000000-0005-0000-0000-0000D7000000}"/>
    <cellStyle name="_DLF Model final" xfId="240" xr:uid="{00000000-0005-0000-0000-0000D8000000}"/>
    <cellStyle name="_DLF Puneet 6th May" xfId="241" xr:uid="{00000000-0005-0000-0000-0000D9000000}"/>
    <cellStyle name="_DLF2Q08_new exhibits" xfId="242" xr:uid="{00000000-0005-0000-0000-0000DA000000}"/>
    <cellStyle name="_Dump Sheet" xfId="243" xr:uid="{00000000-0005-0000-0000-0000DB000000}"/>
    <cellStyle name="_Dump Sheet 2" xfId="244" xr:uid="{00000000-0005-0000-0000-0000DC000000}"/>
    <cellStyle name="_Dump Sheet 2 2" xfId="245" xr:uid="{00000000-0005-0000-0000-0000DD000000}"/>
    <cellStyle name="_Dump Sheet 2 3" xfId="246" xr:uid="{00000000-0005-0000-0000-0000DE000000}"/>
    <cellStyle name="_Dump Sheet 3" xfId="247" xr:uid="{00000000-0005-0000-0000-0000DF000000}"/>
    <cellStyle name="_Dump Sheet 4" xfId="248" xr:uid="{00000000-0005-0000-0000-0000E0000000}"/>
    <cellStyle name="_Dump Sheet_Aardvark" xfId="249" xr:uid="{00000000-0005-0000-0000-0000E1000000}"/>
    <cellStyle name="_Dump Sheet_Aardvark - BHEL" xfId="250" xr:uid="{00000000-0005-0000-0000-0000E2000000}"/>
    <cellStyle name="_Dump Sheet_Aardvark - L&amp;T" xfId="251" xr:uid="{00000000-0005-0000-0000-0000E3000000}"/>
    <cellStyle name="_Earnings Estimates Infoline" xfId="252" xr:uid="{00000000-0005-0000-0000-0000E4000000}"/>
    <cellStyle name="_Earnings Estimates Infoline 2" xfId="253" xr:uid="{00000000-0005-0000-0000-0000E5000000}"/>
    <cellStyle name="_Earnings Estimates Infoline 3" xfId="254" xr:uid="{00000000-0005-0000-0000-0000E6000000}"/>
    <cellStyle name="_Earnings Estimates Infoline_Aardvark" xfId="255" xr:uid="{00000000-0005-0000-0000-0000E7000000}"/>
    <cellStyle name="_Earnings Estimates Infoline_Aardvark - BHEL" xfId="256" xr:uid="{00000000-0005-0000-0000-0000E8000000}"/>
    <cellStyle name="_Earnings Estimates Infoline_Aardvark - L&amp;T" xfId="257" xr:uid="{00000000-0005-0000-0000-0000E9000000}"/>
    <cellStyle name="_earningsmodel-npil-1" xfId="258" xr:uid="{00000000-0005-0000-0000-0000EA000000}"/>
    <cellStyle name="_Edelweiss" xfId="259" xr:uid="{00000000-0005-0000-0000-0000EB000000}"/>
    <cellStyle name="_Elecon order book details" xfId="260" xr:uid="{00000000-0005-0000-0000-0000EC000000}"/>
    <cellStyle name="_EM - IndiaCements" xfId="261" xr:uid="{00000000-0005-0000-0000-0000ED000000}"/>
    <cellStyle name="—_EM_CMHKconsolidatednew_WIP.xls Chart 1" xfId="262" xr:uid="{00000000-0005-0000-0000-0000EE000000}"/>
    <cellStyle name="—_EM_CMHKconsolidatednew_WIP.xls Chart 1_Book8" xfId="263" xr:uid="{00000000-0005-0000-0000-0000EF000000}"/>
    <cellStyle name="—_EM_CMHKconsolidatednew_WIP.xls Chart 1_EM-LGT_Published" xfId="264" xr:uid="{00000000-0005-0000-0000-0000F0000000}"/>
    <cellStyle name="—_EM_CMHKconsolidatednew_WIP.xls Chart 1_Telecom quarterly_final" xfId="265" xr:uid="{00000000-0005-0000-0000-0000F1000000}"/>
    <cellStyle name="—_EM_CMHKconsolidatednew_WIP.xls Chart 1_Telecom quarterly_final_Book8" xfId="266" xr:uid="{00000000-0005-0000-0000-0000F2000000}"/>
    <cellStyle name="—_EM_CMHKconsolidatednew_WIP.xls Chart 1_Telecom quarterly_final_EM-LGT_Published" xfId="267" xr:uid="{00000000-0005-0000-0000-0000F3000000}"/>
    <cellStyle name="_Emaar Sept 07 exhibits" xfId="268" xr:uid="{00000000-0005-0000-0000-0000F4000000}"/>
    <cellStyle name="_Embedded Value" xfId="269" xr:uid="{00000000-0005-0000-0000-0000F5000000}"/>
    <cellStyle name="_Embedded value - construction (2)" xfId="270" xr:uid="{00000000-0005-0000-0000-0000F6000000}"/>
    <cellStyle name="_Embedded value exhibits" xfId="271" xr:uid="{00000000-0005-0000-0000-0000F7000000}"/>
    <cellStyle name="_embedded value mar08" xfId="272" xr:uid="{00000000-0005-0000-0000-0000F8000000}"/>
    <cellStyle name="_embedded value nov07" xfId="273" xr:uid="{00000000-0005-0000-0000-0000F9000000}"/>
    <cellStyle name="—_EM-KT.xls Chart 1" xfId="274" xr:uid="{00000000-0005-0000-0000-0000FA000000}"/>
    <cellStyle name="—_EM-KT.xls Chart 1_IVRCL - results - 2Q09 - exhibits" xfId="275" xr:uid="{00000000-0005-0000-0000-0000FB000000}"/>
    <cellStyle name="—_EM-KT.xls Chart 2" xfId="276" xr:uid="{00000000-0005-0000-0000-0000FC000000}"/>
    <cellStyle name="—_EM-KT.xls Chart 2_IVRCL - results - 2Q09 - exhibits" xfId="277" xr:uid="{00000000-0005-0000-0000-0000FD000000}"/>
    <cellStyle name="—_EM-KT.xls Chart 3" xfId="278" xr:uid="{00000000-0005-0000-0000-0000FE000000}"/>
    <cellStyle name="—_EM-KT.xls Chart 3_IVRCL - results - 2Q09 - exhibits" xfId="279" xr:uid="{00000000-0005-0000-0000-0000FF000000}"/>
    <cellStyle name="—_EM-KTnew" xfId="280" xr:uid="{00000000-0005-0000-0000-000000010000}"/>
    <cellStyle name="—_EM-KTnew_IVRCL - results - 2Q09 - exhibits" xfId="281" xr:uid="{00000000-0005-0000-0000-000001010000}"/>
    <cellStyle name="—_EM-PLDT" xfId="282" xr:uid="{00000000-0005-0000-0000-000002010000}"/>
    <cellStyle name="—_EM-SKTelecom_old" xfId="283" xr:uid="{00000000-0005-0000-0000-000003010000}"/>
    <cellStyle name="—_EM-SKTelecom_old_Book7" xfId="284" xr:uid="{00000000-0005-0000-0000-000004010000}"/>
    <cellStyle name="—_EM-SKTelecom_old_Book7_IVRCL - results - 2Q09 - exhibits" xfId="285" xr:uid="{00000000-0005-0000-0000-000005010000}"/>
    <cellStyle name="—_EM-SKTelecom_old_EM-KT.xls Chart 1" xfId="286" xr:uid="{00000000-0005-0000-0000-000006010000}"/>
    <cellStyle name="—_EM-SKTelecom_old_EM-KT.xls Chart 1_IVRCL - results - 2Q09 - exhibits" xfId="287" xr:uid="{00000000-0005-0000-0000-000007010000}"/>
    <cellStyle name="—_EM-SKTelecom_old_EM-KT.xls Chart 2" xfId="288" xr:uid="{00000000-0005-0000-0000-000008010000}"/>
    <cellStyle name="—_EM-SKTelecom_old_EM-KT.xls Chart 2_IVRCL - results - 2Q09 - exhibits" xfId="289" xr:uid="{00000000-0005-0000-0000-000009010000}"/>
    <cellStyle name="—_EM-SKTelecom_old_EM-KT.xls Chart 3" xfId="290" xr:uid="{00000000-0005-0000-0000-00000A010000}"/>
    <cellStyle name="—_EM-SKTelecom_old_EM-KT.xls Chart 3_IVRCL - results - 2Q09 - exhibits" xfId="291" xr:uid="{00000000-0005-0000-0000-00000B010000}"/>
    <cellStyle name="—_EM-SKTelecom_old_EM-KTnew" xfId="292" xr:uid="{00000000-0005-0000-0000-00000C010000}"/>
    <cellStyle name="—_EM-SKTelecom_old_EM-KTnew_IVRCL - results - 2Q09 - exhibits" xfId="293" xr:uid="{00000000-0005-0000-0000-00000D010000}"/>
    <cellStyle name="—_EM-SKTelecom_old_IVRCL - results - 2Q09 - exhibits" xfId="294" xr:uid="{00000000-0005-0000-0000-00000E010000}"/>
    <cellStyle name="—_EM-SKTelecom_old_qrtly" xfId="295" xr:uid="{00000000-0005-0000-0000-00000F010000}"/>
    <cellStyle name="—_EM-SKTelecom_old_qrtly_IVRCL - results - 2Q09 - exhibits" xfId="296" xr:uid="{00000000-0005-0000-0000-000010010000}"/>
    <cellStyle name="_ENAM Templates" xfId="297" xr:uid="{00000000-0005-0000-0000-000011010000}"/>
    <cellStyle name="_Energy master" xfId="298" xr:uid="{00000000-0005-0000-0000-000012010000}"/>
    <cellStyle name="_Energy Master 2" xfId="299" xr:uid="{00000000-0005-0000-0000-000013010000}"/>
    <cellStyle name="_Euro" xfId="300" xr:uid="{00000000-0005-0000-0000-000014010000}"/>
    <cellStyle name="_fallers" xfId="301" xr:uid="{00000000-0005-0000-0000-000015010000}"/>
    <cellStyle name="_FCHearnmodel" xfId="302" xr:uid="{00000000-0005-0000-0000-000016010000}"/>
    <cellStyle name="—_Fidelity_wireless_May27_2002" xfId="303" xr:uid="{00000000-0005-0000-0000-000017010000}"/>
    <cellStyle name="_fin summary" xfId="304" xr:uid="{00000000-0005-0000-0000-000018010000}"/>
    <cellStyle name="_fin summary 2" xfId="305" xr:uid="{00000000-0005-0000-0000-000019010000}"/>
    <cellStyle name="_fin summary 3" xfId="306" xr:uid="{00000000-0005-0000-0000-00001A010000}"/>
    <cellStyle name="_fin summary_Aardvark" xfId="307" xr:uid="{00000000-0005-0000-0000-00001B010000}"/>
    <cellStyle name="_fin summary_Aardvark - BHEL" xfId="308" xr:uid="{00000000-0005-0000-0000-00001C010000}"/>
    <cellStyle name="_fin summary_Aardvark - L&amp;T" xfId="309" xr:uid="{00000000-0005-0000-0000-00001D010000}"/>
    <cellStyle name="_Final sheet" xfId="310" xr:uid="{00000000-0005-0000-0000-00001E010000}"/>
    <cellStyle name="_fixed mobile sub data" xfId="311" xr:uid="{00000000-0005-0000-0000-00001F010000}"/>
    <cellStyle name="_Format for Estimates" xfId="312" xr:uid="{00000000-0005-0000-0000-000020010000}"/>
    <cellStyle name="_Format for Estimates 2" xfId="313" xr:uid="{00000000-0005-0000-0000-000021010000}"/>
    <cellStyle name="_Format for Estimates 3" xfId="314" xr:uid="{00000000-0005-0000-0000-000022010000}"/>
    <cellStyle name="_Format for Estimates_Aardvark" xfId="315" xr:uid="{00000000-0005-0000-0000-000023010000}"/>
    <cellStyle name="_Format for Estimates_Aardvark - BHEL" xfId="316" xr:uid="{00000000-0005-0000-0000-000024010000}"/>
    <cellStyle name="_Format for Estimates_Aardvark - L&amp;T" xfId="317" xr:uid="{00000000-0005-0000-0000-000025010000}"/>
    <cellStyle name="_FULL YEAR ESTIMATES TEMPLATE(NEW) - HSBC" xfId="318" xr:uid="{00000000-0005-0000-0000-000026010000}"/>
    <cellStyle name="_FULL YEAR ESTIMATES TEMPLATE(NEW) - HSBC 2" xfId="319" xr:uid="{00000000-0005-0000-0000-000027010000}"/>
    <cellStyle name="_FULL YEAR ESTIMATES TEMPLATE(NEW) - HSBC 3" xfId="320" xr:uid="{00000000-0005-0000-0000-000028010000}"/>
    <cellStyle name="_FULL YEAR ESTIMATES TEMPLATE(NEW) - HSBC_Aardvark" xfId="321" xr:uid="{00000000-0005-0000-0000-000029010000}"/>
    <cellStyle name="_FULL YEAR ESTIMATES TEMPLATE(NEW) - HSBC_Aardvark - BHEL" xfId="322" xr:uid="{00000000-0005-0000-0000-00002A010000}"/>
    <cellStyle name="_FULL YEAR ESTIMATES TEMPLATE(NEW) - HSBC_Aardvark - L&amp;T" xfId="323" xr:uid="{00000000-0005-0000-0000-00002B010000}"/>
    <cellStyle name="_gcplmay2009" xfId="324" xr:uid="{00000000-0005-0000-0000-00002C010000}"/>
    <cellStyle name="_gcplmay2009 2" xfId="325" xr:uid="{00000000-0005-0000-0000-00002D010000}"/>
    <cellStyle name="_gcplmay2009 3" xfId="326" xr:uid="{00000000-0005-0000-0000-00002E010000}"/>
    <cellStyle name="_GIL Financial Model" xfId="327" xr:uid="{00000000-0005-0000-0000-00002F010000}"/>
    <cellStyle name="_GIL Million Projections" xfId="328" xr:uid="{00000000-0005-0000-0000-000030010000}"/>
    <cellStyle name="_Global Comps - Full Service - 12 Jan  2001" xfId="329" xr:uid="{00000000-0005-0000-0000-000031010000}"/>
    <cellStyle name="_Global Comps - Full Service - 18 June 2001" xfId="330" xr:uid="{00000000-0005-0000-0000-000032010000}"/>
    <cellStyle name="_Global Comps - Full Service - 20 June 2001" xfId="331" xr:uid="{00000000-0005-0000-0000-000033010000}"/>
    <cellStyle name="_Godrej Comps sheet" xfId="332" xr:uid="{00000000-0005-0000-0000-000034010000}"/>
    <cellStyle name="_GRPS_17thNovember_ChangesDone_Version2" xfId="333" xr:uid="{00000000-0005-0000-0000-000035010000}"/>
    <cellStyle name="_GRPS_17thNovember_ChangesDone_Version2 2" xfId="334" xr:uid="{00000000-0005-0000-0000-000036010000}"/>
    <cellStyle name="_GRPS_17thNovember_ChangesDone_Version2 3" xfId="335" xr:uid="{00000000-0005-0000-0000-000037010000}"/>
    <cellStyle name="_GRPSModel" xfId="336" xr:uid="{00000000-0005-0000-0000-000038010000}"/>
    <cellStyle name="_GRPSModel 2" xfId="337" xr:uid="{00000000-0005-0000-0000-000039010000}"/>
    <cellStyle name="_GRPSModel 3" xfId="338" xr:uid="{00000000-0005-0000-0000-00003A010000}"/>
    <cellStyle name="—_GS Assumptions-F" xfId="339" xr:uid="{00000000-0005-0000-0000-00003B010000}"/>
    <cellStyle name="—_GS Assumptions-F_alpha bet aug07" xfId="340" xr:uid="{00000000-0005-0000-0000-00003C010000}"/>
    <cellStyle name="—_GS Assumptions-F_apr22 rpet downgraded to REDUCE" xfId="341" xr:uid="{00000000-0005-0000-0000-00003D010000}"/>
    <cellStyle name="—_GS Assumptions-F_aug08 pricing formula in limbo" xfId="342" xr:uid="{00000000-0005-0000-0000-00003E010000}"/>
    <cellStyle name="—_GS Assumptions-F_Book1" xfId="343" xr:uid="{00000000-0005-0000-0000-00003F010000}"/>
    <cellStyle name="—_GS Assumptions-F_Book2 (2)" xfId="344" xr:uid="{00000000-0005-0000-0000-000040010000}"/>
    <cellStyle name="—_GS Assumptions-F_Book2 (3)" xfId="345" xr:uid="{00000000-0005-0000-0000-000041010000}"/>
    <cellStyle name="—_GS Assumptions-F_cairn feb07 exhibits" xfId="346" xr:uid="{00000000-0005-0000-0000-000042010000}"/>
    <cellStyle name="—_GS Assumptions-F_cairn master" xfId="347" xr:uid="{00000000-0005-0000-0000-000043010000}"/>
    <cellStyle name="—_GS Assumptions-F_cairn master sep06" xfId="348" xr:uid="{00000000-0005-0000-0000-000044010000}"/>
    <cellStyle name="—_GS Assumptions-F_capex spending by energy sector(1)" xfId="349" xr:uid="{00000000-0005-0000-0000-000045010000}"/>
    <cellStyle name="—_GS Assumptions-F_Chennai ex NEW" xfId="350" xr:uid="{00000000-0005-0000-0000-000046010000}"/>
    <cellStyle name="—_GS Assumptions-F_dec06 2007 strategy" xfId="351" xr:uid="{00000000-0005-0000-0000-000047010000}"/>
    <cellStyle name="—_GS Assumptions-F_DLF 3Q08" xfId="352" xr:uid="{00000000-0005-0000-0000-000048010000}"/>
    <cellStyle name="—_GS Assumptions-F_DLF Dec01 exhibits" xfId="353" xr:uid="{00000000-0005-0000-0000-000049010000}"/>
    <cellStyle name="—_GS Assumptions-F_DLF exhibits" xfId="354" xr:uid="{00000000-0005-0000-0000-00004A010000}"/>
    <cellStyle name="—_GS Assumptions-F_DLF Model final" xfId="355" xr:uid="{00000000-0005-0000-0000-00004B010000}"/>
    <cellStyle name="—_GS Assumptions-F_DLF2Q08_new exhibits" xfId="356" xr:uid="{00000000-0005-0000-0000-00004C010000}"/>
    <cellStyle name="—_GS Assumptions-F_EM_CMHK" xfId="357" xr:uid="{00000000-0005-0000-0000-00004D010000}"/>
    <cellStyle name="—_GS Assumptions-F_Energy master" xfId="358" xr:uid="{00000000-0005-0000-0000-00004E010000}"/>
    <cellStyle name="—_GS Assumptions-F_GMR - exhibit sheet" xfId="359" xr:uid="{00000000-0005-0000-0000-00004F010000}"/>
    <cellStyle name="—_GS Assumptions-F_HDIL Dec 2007 qtr" xfId="360" xr:uid="{00000000-0005-0000-0000-000050010000}"/>
    <cellStyle name="—_GS Assumptions-F_Honam Master_external" xfId="361" xr:uid="{00000000-0005-0000-0000-000051010000}"/>
    <cellStyle name="—_GS Assumptions-F_honam -Quantum 220704" xfId="362" xr:uid="{00000000-0005-0000-0000-000052010000}"/>
    <cellStyle name="—_GS Assumptions-F_India Gas Market" xfId="363" xr:uid="{00000000-0005-0000-0000-000053010000}"/>
    <cellStyle name="—_GS Assumptions-F_IVR  master" xfId="364" xr:uid="{00000000-0005-0000-0000-000054010000}"/>
    <cellStyle name="—_GS Assumptions-F_jun14 doomsday scenario" xfId="365" xr:uid="{00000000-0005-0000-0000-000055010000}"/>
    <cellStyle name="—_GS Assumptions-F_kotak asset val, normalized val for emic" xfId="366" xr:uid="{00000000-0005-0000-0000-000056010000}"/>
    <cellStyle name="—_GS Assumptions-F_lg petrochem-Quantum Template" xfId="367" xr:uid="{00000000-0005-0000-0000-000057010000}"/>
    <cellStyle name="—_GS Assumptions-F_long term valuations" xfId="368" xr:uid="{00000000-0005-0000-0000-000058010000}"/>
    <cellStyle name="—_GS Assumptions-F_mar24 lower crude price impact" xfId="369" xr:uid="{00000000-0005-0000-0000-000059010000}"/>
    <cellStyle name="—_GS Assumptions-F_New Presentation exhibits" xfId="370" xr:uid="{00000000-0005-0000-0000-00005A010000}"/>
    <cellStyle name="—_GS Assumptions-F_nov07 pricing scenario for strategy" xfId="371" xr:uid="{00000000-0005-0000-0000-00005B010000}"/>
    <cellStyle name="—_GS Assumptions-F_ONGC master" xfId="372" xr:uid="{00000000-0005-0000-0000-00005C010000}"/>
    <cellStyle name="—_GS Assumptions-F_ongoing projects" xfId="373" xr:uid="{00000000-0005-0000-0000-00005D010000}"/>
    <cellStyle name="—_GS Assumptions-F_Other Company-prsntn-sep03 link free" xfId="374" xr:uid="{00000000-0005-0000-0000-00005E010000}"/>
    <cellStyle name="—_GS Assumptions-F_Other Company-prsntn-sep03 link free 1" xfId="375" xr:uid="{00000000-0005-0000-0000-00005F010000}"/>
    <cellStyle name="—_GS Assumptions-F_pg24" xfId="376" xr:uid="{00000000-0005-0000-0000-000060010000}"/>
    <cellStyle name="—_GS Assumptions-F_Power projects" xfId="377" xr:uid="{00000000-0005-0000-0000-000061010000}"/>
    <cellStyle name="—_GS Assumptions-F_price to book bphpiocl" xfId="378" xr:uid="{00000000-0005-0000-0000-000062010000}"/>
    <cellStyle name="—_GS Assumptions-F_q" xfId="379" xr:uid="{00000000-0005-0000-0000-000063010000}"/>
    <cellStyle name="—_GS Assumptions-F_Ref cap addns" xfId="380" xr:uid="{00000000-0005-0000-0000-000064010000}"/>
    <cellStyle name="—_GS Assumptions-F_Reliance presentation" xfId="381" xr:uid="{00000000-0005-0000-0000-000065010000}"/>
    <cellStyle name="—_GS Assumptions-F_ril_mar03_exhibits" xfId="382" xr:uid="{00000000-0005-0000-0000-000066010000}"/>
    <cellStyle name="—_GS Assumptions-F_ril_may03_exhibits" xfId="383" xr:uid="{00000000-0005-0000-0000-000067010000}"/>
    <cellStyle name="—_GS Assumptions-F_rilmstr" xfId="384" xr:uid="{00000000-0005-0000-0000-000068010000}"/>
    <cellStyle name="—_GS Assumptions-F_RILMSTR " xfId="385" xr:uid="{00000000-0005-0000-0000-000069010000}"/>
    <cellStyle name="—_GS Assumptions-F_sep26 oil bonds are coming" xfId="386" xr:uid="{00000000-0005-0000-0000-00006A010000}"/>
    <cellStyle name="—_GS Assumptions-F_Sheet1" xfId="387" xr:uid="{00000000-0005-0000-0000-00006B010000}"/>
    <cellStyle name="—_GS Assumptions-F_Sheet2" xfId="388" xr:uid="{00000000-0005-0000-0000-00006C010000}"/>
    <cellStyle name="—_GS Assumptions-F_Sobha Dec 2007 qtr" xfId="389" xr:uid="{00000000-0005-0000-0000-00006D010000}"/>
    <cellStyle name="—_GS Assumptions-F_Unitech exhibits" xfId="390" xr:uid="{00000000-0005-0000-0000-00006E010000}"/>
    <cellStyle name="—_GS Assumptions-F_Unitech Sept 2007 qtr" xfId="391" xr:uid="{00000000-0005-0000-0000-00006F010000}"/>
    <cellStyle name="—_GS Assumptions-F_valuation" xfId="392" xr:uid="{00000000-0005-0000-0000-000070010000}"/>
    <cellStyle name="—_GS Assumptions-F_Voltas - exh sheet" xfId="393" xr:uid="{00000000-0005-0000-0000-000071010000}"/>
    <cellStyle name="—_GS Assumptions-F_Weekly Input" xfId="394" xr:uid="{00000000-0005-0000-0000-000072010000}"/>
    <cellStyle name="—_GS FPC-MSTR_external3" xfId="395" xr:uid="{00000000-0005-0000-0000-000073010000}"/>
    <cellStyle name="—_GS_Balance" xfId="396" xr:uid="{00000000-0005-0000-0000-000074010000}"/>
    <cellStyle name="—_GS_Balance_alpha bet aug07" xfId="397" xr:uid="{00000000-0005-0000-0000-000075010000}"/>
    <cellStyle name="—_GS_Balance_apr22 rpet downgraded to REDUCE" xfId="398" xr:uid="{00000000-0005-0000-0000-000076010000}"/>
    <cellStyle name="—_GS_Balance_aug08 pricing formula in limbo" xfId="399" xr:uid="{00000000-0005-0000-0000-000077010000}"/>
    <cellStyle name="—_GS_Balance_Book1" xfId="400" xr:uid="{00000000-0005-0000-0000-000078010000}"/>
    <cellStyle name="—_GS_Balance_Book2 (2)" xfId="401" xr:uid="{00000000-0005-0000-0000-000079010000}"/>
    <cellStyle name="—_GS_Balance_Book2 (3)" xfId="402" xr:uid="{00000000-0005-0000-0000-00007A010000}"/>
    <cellStyle name="—_GS_Balance_cairn feb07 exhibits" xfId="403" xr:uid="{00000000-0005-0000-0000-00007B010000}"/>
    <cellStyle name="—_GS_Balance_cairn master" xfId="404" xr:uid="{00000000-0005-0000-0000-00007C010000}"/>
    <cellStyle name="—_GS_Balance_cairn master sep06" xfId="405" xr:uid="{00000000-0005-0000-0000-00007D010000}"/>
    <cellStyle name="—_GS_Balance_capex spending by energy sector(1)" xfId="406" xr:uid="{00000000-0005-0000-0000-00007E010000}"/>
    <cellStyle name="—_GS_Balance_Chennai ex NEW" xfId="407" xr:uid="{00000000-0005-0000-0000-00007F010000}"/>
    <cellStyle name="—_GS_Balance_dec06 2007 strategy" xfId="408" xr:uid="{00000000-0005-0000-0000-000080010000}"/>
    <cellStyle name="—_GS_Balance_DLF 3Q08" xfId="409" xr:uid="{00000000-0005-0000-0000-000081010000}"/>
    <cellStyle name="—_GS_Balance_DLF Dec01 exhibits" xfId="410" xr:uid="{00000000-0005-0000-0000-000082010000}"/>
    <cellStyle name="—_GS_Balance_DLF exhibits" xfId="411" xr:uid="{00000000-0005-0000-0000-000083010000}"/>
    <cellStyle name="—_GS_Balance_DLF Model final" xfId="412" xr:uid="{00000000-0005-0000-0000-000084010000}"/>
    <cellStyle name="—_GS_Balance_DLF2Q08_new exhibits" xfId="413" xr:uid="{00000000-0005-0000-0000-000085010000}"/>
    <cellStyle name="—_GS_Balance_EM_CMHK" xfId="414" xr:uid="{00000000-0005-0000-0000-000086010000}"/>
    <cellStyle name="—_GS_Balance_Energy master" xfId="415" xr:uid="{00000000-0005-0000-0000-000087010000}"/>
    <cellStyle name="—_GS_Balance_GMR - exhibit sheet" xfId="416" xr:uid="{00000000-0005-0000-0000-000088010000}"/>
    <cellStyle name="—_GS_Balance_HDIL Dec 2007 qtr" xfId="417" xr:uid="{00000000-0005-0000-0000-000089010000}"/>
    <cellStyle name="—_GS_Balance_Honam Master_external" xfId="418" xr:uid="{00000000-0005-0000-0000-00008A010000}"/>
    <cellStyle name="—_GS_Balance_honam -Quantum 220704" xfId="419" xr:uid="{00000000-0005-0000-0000-00008B010000}"/>
    <cellStyle name="—_GS_Balance_India Gas Market" xfId="420" xr:uid="{00000000-0005-0000-0000-00008C010000}"/>
    <cellStyle name="—_GS_Balance_IVR  master" xfId="421" xr:uid="{00000000-0005-0000-0000-00008D010000}"/>
    <cellStyle name="—_GS_Balance_jun14 doomsday scenario" xfId="422" xr:uid="{00000000-0005-0000-0000-00008E010000}"/>
    <cellStyle name="—_GS_Balance_kotak asset val, normalized val for emic" xfId="423" xr:uid="{00000000-0005-0000-0000-00008F010000}"/>
    <cellStyle name="—_GS_Balance_lg petrochem-Quantum Template" xfId="424" xr:uid="{00000000-0005-0000-0000-000090010000}"/>
    <cellStyle name="—_GS_Balance_long term valuations" xfId="425" xr:uid="{00000000-0005-0000-0000-000091010000}"/>
    <cellStyle name="—_GS_Balance_mar24 lower crude price impact" xfId="426" xr:uid="{00000000-0005-0000-0000-000092010000}"/>
    <cellStyle name="—_GS_Balance_New Presentation exhibits" xfId="427" xr:uid="{00000000-0005-0000-0000-000093010000}"/>
    <cellStyle name="—_GS_Balance_nov07 pricing scenario for strategy" xfId="428" xr:uid="{00000000-0005-0000-0000-000094010000}"/>
    <cellStyle name="—_GS_Balance_ONGC master" xfId="429" xr:uid="{00000000-0005-0000-0000-000095010000}"/>
    <cellStyle name="—_GS_Balance_ongoing projects" xfId="430" xr:uid="{00000000-0005-0000-0000-000096010000}"/>
    <cellStyle name="—_GS_Balance_Other Company-prsntn-sep03 link free" xfId="431" xr:uid="{00000000-0005-0000-0000-000097010000}"/>
    <cellStyle name="—_GS_Balance_Other Company-prsntn-sep03 link free 1" xfId="432" xr:uid="{00000000-0005-0000-0000-000098010000}"/>
    <cellStyle name="—_GS_Balance_pg24" xfId="433" xr:uid="{00000000-0005-0000-0000-000099010000}"/>
    <cellStyle name="—_GS_Balance_Power projects" xfId="434" xr:uid="{00000000-0005-0000-0000-00009A010000}"/>
    <cellStyle name="—_GS_Balance_price to book bphpiocl" xfId="435" xr:uid="{00000000-0005-0000-0000-00009B010000}"/>
    <cellStyle name="—_GS_Balance_q" xfId="436" xr:uid="{00000000-0005-0000-0000-00009C010000}"/>
    <cellStyle name="—_GS_Balance_Ref cap addns" xfId="437" xr:uid="{00000000-0005-0000-0000-00009D010000}"/>
    <cellStyle name="—_GS_Balance_Reliance presentation" xfId="438" xr:uid="{00000000-0005-0000-0000-00009E010000}"/>
    <cellStyle name="—_GS_Balance_ril_mar03_exhibits" xfId="439" xr:uid="{00000000-0005-0000-0000-00009F010000}"/>
    <cellStyle name="—_GS_Balance_ril_may03_exhibits" xfId="440" xr:uid="{00000000-0005-0000-0000-0000A0010000}"/>
    <cellStyle name="—_GS_Balance_rilmstr" xfId="441" xr:uid="{00000000-0005-0000-0000-0000A1010000}"/>
    <cellStyle name="—_GS_Balance_RILMSTR " xfId="442" xr:uid="{00000000-0005-0000-0000-0000A2010000}"/>
    <cellStyle name="—_GS_Balance_sep26 oil bonds are coming" xfId="443" xr:uid="{00000000-0005-0000-0000-0000A3010000}"/>
    <cellStyle name="—_GS_Balance_Sheet1" xfId="444" xr:uid="{00000000-0005-0000-0000-0000A4010000}"/>
    <cellStyle name="—_GS_Balance_Sheet2" xfId="445" xr:uid="{00000000-0005-0000-0000-0000A5010000}"/>
    <cellStyle name="—_GS_Balance_Sobha Dec 2007 qtr" xfId="446" xr:uid="{00000000-0005-0000-0000-0000A6010000}"/>
    <cellStyle name="—_GS_Balance_Unitech exhibits" xfId="447" xr:uid="{00000000-0005-0000-0000-0000A7010000}"/>
    <cellStyle name="—_GS_Balance_Unitech Sept 2007 qtr" xfId="448" xr:uid="{00000000-0005-0000-0000-0000A8010000}"/>
    <cellStyle name="—_GS_Balance_valuation" xfId="449" xr:uid="{00000000-0005-0000-0000-0000A9010000}"/>
    <cellStyle name="—_GS_Balance_Voltas - exh sheet" xfId="450" xr:uid="{00000000-0005-0000-0000-0000AA010000}"/>
    <cellStyle name="—_GS_Balance_Weekly Input" xfId="451" xr:uid="{00000000-0005-0000-0000-0000AB010000}"/>
    <cellStyle name="—_GS_Cash " xfId="452" xr:uid="{00000000-0005-0000-0000-0000AC010000}"/>
    <cellStyle name="—_GS_Cash  (2)" xfId="453" xr:uid="{00000000-0005-0000-0000-0000AD010000}"/>
    <cellStyle name="—_GS_Cash  (2)_alpha bet aug07" xfId="454" xr:uid="{00000000-0005-0000-0000-0000AE010000}"/>
    <cellStyle name="—_GS_Cash  (2)_apr22 rpet downgraded to REDUCE" xfId="455" xr:uid="{00000000-0005-0000-0000-0000AF010000}"/>
    <cellStyle name="—_GS_Cash  (2)_aug08 pricing formula in limbo" xfId="456" xr:uid="{00000000-0005-0000-0000-0000B0010000}"/>
    <cellStyle name="—_GS_Cash  (2)_Book1" xfId="457" xr:uid="{00000000-0005-0000-0000-0000B1010000}"/>
    <cellStyle name="—_GS_Cash  (2)_Book2 (2)" xfId="458" xr:uid="{00000000-0005-0000-0000-0000B2010000}"/>
    <cellStyle name="—_GS_Cash  (2)_Book2 (3)" xfId="459" xr:uid="{00000000-0005-0000-0000-0000B3010000}"/>
    <cellStyle name="—_GS_Cash  (2)_cairn feb07 exhibits" xfId="460" xr:uid="{00000000-0005-0000-0000-0000B4010000}"/>
    <cellStyle name="—_GS_Cash  (2)_cairn master" xfId="461" xr:uid="{00000000-0005-0000-0000-0000B5010000}"/>
    <cellStyle name="—_GS_Cash  (2)_cairn master sep06" xfId="462" xr:uid="{00000000-0005-0000-0000-0000B6010000}"/>
    <cellStyle name="—_GS_Cash  (2)_capex spending by energy sector(1)" xfId="463" xr:uid="{00000000-0005-0000-0000-0000B7010000}"/>
    <cellStyle name="—_GS_Cash  (2)_Chennai ex NEW" xfId="464" xr:uid="{00000000-0005-0000-0000-0000B8010000}"/>
    <cellStyle name="—_GS_Cash  (2)_dec06 2007 strategy" xfId="465" xr:uid="{00000000-0005-0000-0000-0000B9010000}"/>
    <cellStyle name="—_GS_Cash  (2)_DLF 3Q08" xfId="466" xr:uid="{00000000-0005-0000-0000-0000BA010000}"/>
    <cellStyle name="—_GS_Cash  (2)_DLF Dec01 exhibits" xfId="467" xr:uid="{00000000-0005-0000-0000-0000BB010000}"/>
    <cellStyle name="—_GS_Cash  (2)_DLF exhibits" xfId="468" xr:uid="{00000000-0005-0000-0000-0000BC010000}"/>
    <cellStyle name="—_GS_Cash  (2)_DLF Model final" xfId="469" xr:uid="{00000000-0005-0000-0000-0000BD010000}"/>
    <cellStyle name="—_GS_Cash  (2)_DLF2Q08_new exhibits" xfId="470" xr:uid="{00000000-0005-0000-0000-0000BE010000}"/>
    <cellStyle name="—_GS_Cash  (2)_EM_CMHK" xfId="471" xr:uid="{00000000-0005-0000-0000-0000BF010000}"/>
    <cellStyle name="—_GS_Cash  (2)_Energy master" xfId="472" xr:uid="{00000000-0005-0000-0000-0000C0010000}"/>
    <cellStyle name="—_GS_Cash  (2)_GMR - exhibit sheet" xfId="473" xr:uid="{00000000-0005-0000-0000-0000C1010000}"/>
    <cellStyle name="—_GS_Cash  (2)_HDIL Dec 2007 qtr" xfId="474" xr:uid="{00000000-0005-0000-0000-0000C2010000}"/>
    <cellStyle name="—_GS_Cash  (2)_Honam Master_external" xfId="475" xr:uid="{00000000-0005-0000-0000-0000C3010000}"/>
    <cellStyle name="—_GS_Cash  (2)_honam -Quantum 220704" xfId="476" xr:uid="{00000000-0005-0000-0000-0000C4010000}"/>
    <cellStyle name="—_GS_Cash  (2)_India Gas Market" xfId="477" xr:uid="{00000000-0005-0000-0000-0000C5010000}"/>
    <cellStyle name="—_GS_Cash  (2)_IVR  master" xfId="478" xr:uid="{00000000-0005-0000-0000-0000C6010000}"/>
    <cellStyle name="—_GS_Cash  (2)_jun14 doomsday scenario" xfId="479" xr:uid="{00000000-0005-0000-0000-0000C7010000}"/>
    <cellStyle name="—_GS_Cash  (2)_kotak asset val, normalized val for emic" xfId="480" xr:uid="{00000000-0005-0000-0000-0000C8010000}"/>
    <cellStyle name="—_GS_Cash  (2)_lg petrochem-Quantum Template" xfId="481" xr:uid="{00000000-0005-0000-0000-0000C9010000}"/>
    <cellStyle name="—_GS_Cash  (2)_long term valuations" xfId="482" xr:uid="{00000000-0005-0000-0000-0000CA010000}"/>
    <cellStyle name="—_GS_Cash  (2)_mar24 lower crude price impact" xfId="483" xr:uid="{00000000-0005-0000-0000-0000CB010000}"/>
    <cellStyle name="—_GS_Cash  (2)_New Presentation exhibits" xfId="484" xr:uid="{00000000-0005-0000-0000-0000CC010000}"/>
    <cellStyle name="—_GS_Cash  (2)_nov07 pricing scenario for strategy" xfId="485" xr:uid="{00000000-0005-0000-0000-0000CD010000}"/>
    <cellStyle name="—_GS_Cash  (2)_ONGC master" xfId="486" xr:uid="{00000000-0005-0000-0000-0000CE010000}"/>
    <cellStyle name="—_GS_Cash  (2)_ongoing projects" xfId="487" xr:uid="{00000000-0005-0000-0000-0000CF010000}"/>
    <cellStyle name="—_GS_Cash  (2)_Other Company-prsntn-sep03 link free" xfId="488" xr:uid="{00000000-0005-0000-0000-0000D0010000}"/>
    <cellStyle name="—_GS_Cash  (2)_Other Company-prsntn-sep03 link free 1" xfId="489" xr:uid="{00000000-0005-0000-0000-0000D1010000}"/>
    <cellStyle name="—_GS_Cash  (2)_pg24" xfId="490" xr:uid="{00000000-0005-0000-0000-0000D2010000}"/>
    <cellStyle name="—_GS_Cash  (2)_Power projects" xfId="491" xr:uid="{00000000-0005-0000-0000-0000D3010000}"/>
    <cellStyle name="—_GS_Cash  (2)_price to book bphpiocl" xfId="492" xr:uid="{00000000-0005-0000-0000-0000D4010000}"/>
    <cellStyle name="—_GS_Cash  (2)_q" xfId="493" xr:uid="{00000000-0005-0000-0000-0000D5010000}"/>
    <cellStyle name="—_GS_Cash  (2)_Ref cap addns" xfId="494" xr:uid="{00000000-0005-0000-0000-0000D6010000}"/>
    <cellStyle name="—_GS_Cash  (2)_Reliance presentation" xfId="495" xr:uid="{00000000-0005-0000-0000-0000D7010000}"/>
    <cellStyle name="—_GS_Cash  (2)_ril_mar03_exhibits" xfId="496" xr:uid="{00000000-0005-0000-0000-0000D8010000}"/>
    <cellStyle name="—_GS_Cash  (2)_ril_may03_exhibits" xfId="497" xr:uid="{00000000-0005-0000-0000-0000D9010000}"/>
    <cellStyle name="—_GS_Cash  (2)_rilmstr" xfId="498" xr:uid="{00000000-0005-0000-0000-0000DA010000}"/>
    <cellStyle name="—_GS_Cash  (2)_RILMSTR " xfId="499" xr:uid="{00000000-0005-0000-0000-0000DB010000}"/>
    <cellStyle name="—_GS_Cash  (2)_sep26 oil bonds are coming" xfId="500" xr:uid="{00000000-0005-0000-0000-0000DC010000}"/>
    <cellStyle name="—_GS_Cash  (2)_Sheet1" xfId="501" xr:uid="{00000000-0005-0000-0000-0000DD010000}"/>
    <cellStyle name="—_GS_Cash  (2)_Sheet2" xfId="502" xr:uid="{00000000-0005-0000-0000-0000DE010000}"/>
    <cellStyle name="—_GS_Cash  (2)_Sobha Dec 2007 qtr" xfId="503" xr:uid="{00000000-0005-0000-0000-0000DF010000}"/>
    <cellStyle name="—_GS_Cash  (2)_Unitech exhibits" xfId="504" xr:uid="{00000000-0005-0000-0000-0000E0010000}"/>
    <cellStyle name="—_GS_Cash  (2)_Unitech Sept 2007 qtr" xfId="505" xr:uid="{00000000-0005-0000-0000-0000E1010000}"/>
    <cellStyle name="—_GS_Cash  (2)_valuation" xfId="506" xr:uid="{00000000-0005-0000-0000-0000E2010000}"/>
    <cellStyle name="—_GS_Cash  (2)_Voltas - exh sheet" xfId="507" xr:uid="{00000000-0005-0000-0000-0000E3010000}"/>
    <cellStyle name="—_GS_Cash  (2)_Weekly Input" xfId="508" xr:uid="{00000000-0005-0000-0000-0000E4010000}"/>
    <cellStyle name="—_GS_Cash _alpha bet aug07" xfId="509" xr:uid="{00000000-0005-0000-0000-0000E5010000}"/>
    <cellStyle name="—_GS_Cash _apr22 rpet downgraded to REDUCE" xfId="510" xr:uid="{00000000-0005-0000-0000-0000E6010000}"/>
    <cellStyle name="—_GS_Cash _aug08 pricing formula in limbo" xfId="511" xr:uid="{00000000-0005-0000-0000-0000E7010000}"/>
    <cellStyle name="—_GS_Cash _Book1" xfId="512" xr:uid="{00000000-0005-0000-0000-0000E8010000}"/>
    <cellStyle name="—_GS_Cash _Book2 (2)" xfId="513" xr:uid="{00000000-0005-0000-0000-0000E9010000}"/>
    <cellStyle name="—_GS_Cash _Book2 (3)" xfId="514" xr:uid="{00000000-0005-0000-0000-0000EA010000}"/>
    <cellStyle name="—_GS_Cash _cairn feb07 exhibits" xfId="515" xr:uid="{00000000-0005-0000-0000-0000EB010000}"/>
    <cellStyle name="—_GS_Cash _cairn master" xfId="516" xr:uid="{00000000-0005-0000-0000-0000EC010000}"/>
    <cellStyle name="—_GS_Cash _cairn master sep06" xfId="517" xr:uid="{00000000-0005-0000-0000-0000ED010000}"/>
    <cellStyle name="—_GS_Cash _capex spending by energy sector(1)" xfId="518" xr:uid="{00000000-0005-0000-0000-0000EE010000}"/>
    <cellStyle name="—_GS_Cash _Chennai ex NEW" xfId="519" xr:uid="{00000000-0005-0000-0000-0000EF010000}"/>
    <cellStyle name="—_GS_Cash _dec06 2007 strategy" xfId="520" xr:uid="{00000000-0005-0000-0000-0000F0010000}"/>
    <cellStyle name="—_GS_Cash _DLF 3Q08" xfId="521" xr:uid="{00000000-0005-0000-0000-0000F1010000}"/>
    <cellStyle name="—_GS_Cash _DLF Dec01 exhibits" xfId="522" xr:uid="{00000000-0005-0000-0000-0000F2010000}"/>
    <cellStyle name="—_GS_Cash _DLF exhibits" xfId="523" xr:uid="{00000000-0005-0000-0000-0000F3010000}"/>
    <cellStyle name="—_GS_Cash _DLF Model final" xfId="524" xr:uid="{00000000-0005-0000-0000-0000F4010000}"/>
    <cellStyle name="—_GS_Cash _DLF2Q08_new exhibits" xfId="525" xr:uid="{00000000-0005-0000-0000-0000F5010000}"/>
    <cellStyle name="—_GS_Cash _EM_CMHK" xfId="526" xr:uid="{00000000-0005-0000-0000-0000F6010000}"/>
    <cellStyle name="—_GS_Cash _Energy master" xfId="527" xr:uid="{00000000-0005-0000-0000-0000F7010000}"/>
    <cellStyle name="—_GS_Cash _GMR - exhibit sheet" xfId="528" xr:uid="{00000000-0005-0000-0000-0000F8010000}"/>
    <cellStyle name="—_GS_Cash _HDIL Dec 2007 qtr" xfId="529" xr:uid="{00000000-0005-0000-0000-0000F9010000}"/>
    <cellStyle name="—_GS_Cash _Honam Master_external" xfId="530" xr:uid="{00000000-0005-0000-0000-0000FA010000}"/>
    <cellStyle name="—_GS_Cash _honam -Quantum 220704" xfId="531" xr:uid="{00000000-0005-0000-0000-0000FB010000}"/>
    <cellStyle name="—_GS_Cash _India Gas Market" xfId="532" xr:uid="{00000000-0005-0000-0000-0000FC010000}"/>
    <cellStyle name="—_GS_Cash _IVR  master" xfId="533" xr:uid="{00000000-0005-0000-0000-0000FD010000}"/>
    <cellStyle name="—_GS_Cash _jun14 doomsday scenario" xfId="534" xr:uid="{00000000-0005-0000-0000-0000FE010000}"/>
    <cellStyle name="—_GS_Cash _kotak asset val, normalized val for emic" xfId="535" xr:uid="{00000000-0005-0000-0000-0000FF010000}"/>
    <cellStyle name="—_GS_Cash _lg petrochem-Quantum Template" xfId="536" xr:uid="{00000000-0005-0000-0000-000000020000}"/>
    <cellStyle name="—_GS_Cash _long term valuations" xfId="537" xr:uid="{00000000-0005-0000-0000-000001020000}"/>
    <cellStyle name="—_GS_Cash _mar24 lower crude price impact" xfId="538" xr:uid="{00000000-0005-0000-0000-000002020000}"/>
    <cellStyle name="—_GS_Cash _New Presentation exhibits" xfId="539" xr:uid="{00000000-0005-0000-0000-000003020000}"/>
    <cellStyle name="—_GS_Cash _nov07 pricing scenario for strategy" xfId="540" xr:uid="{00000000-0005-0000-0000-000004020000}"/>
    <cellStyle name="—_GS_Cash _ONGC master" xfId="541" xr:uid="{00000000-0005-0000-0000-000005020000}"/>
    <cellStyle name="—_GS_Cash _ongoing projects" xfId="542" xr:uid="{00000000-0005-0000-0000-000006020000}"/>
    <cellStyle name="—_GS_Cash _Other Company-prsntn-sep03 link free" xfId="543" xr:uid="{00000000-0005-0000-0000-000007020000}"/>
    <cellStyle name="—_GS_Cash _Other Company-prsntn-sep03 link free 1" xfId="544" xr:uid="{00000000-0005-0000-0000-000008020000}"/>
    <cellStyle name="—_GS_Cash _pg24" xfId="545" xr:uid="{00000000-0005-0000-0000-000009020000}"/>
    <cellStyle name="—_GS_Cash _Power projects" xfId="546" xr:uid="{00000000-0005-0000-0000-00000A020000}"/>
    <cellStyle name="—_GS_Cash _price to book bphpiocl" xfId="547" xr:uid="{00000000-0005-0000-0000-00000B020000}"/>
    <cellStyle name="—_GS_Cash _q" xfId="548" xr:uid="{00000000-0005-0000-0000-00000C020000}"/>
    <cellStyle name="—_GS_Cash _Ref cap addns" xfId="549" xr:uid="{00000000-0005-0000-0000-00000D020000}"/>
    <cellStyle name="—_GS_Cash _Reliance presentation" xfId="550" xr:uid="{00000000-0005-0000-0000-00000E020000}"/>
    <cellStyle name="—_GS_Cash _ril_mar03_exhibits" xfId="551" xr:uid="{00000000-0005-0000-0000-00000F020000}"/>
    <cellStyle name="—_GS_Cash _ril_may03_exhibits" xfId="552" xr:uid="{00000000-0005-0000-0000-000010020000}"/>
    <cellStyle name="—_GS_Cash _rilmstr" xfId="553" xr:uid="{00000000-0005-0000-0000-000011020000}"/>
    <cellStyle name="—_GS_Cash _RILMSTR " xfId="554" xr:uid="{00000000-0005-0000-0000-000012020000}"/>
    <cellStyle name="—_GS_Cash _sep26 oil bonds are coming" xfId="555" xr:uid="{00000000-0005-0000-0000-000013020000}"/>
    <cellStyle name="—_GS_Cash _Sheet1" xfId="556" xr:uid="{00000000-0005-0000-0000-000014020000}"/>
    <cellStyle name="—_GS_Cash _Sheet2" xfId="557" xr:uid="{00000000-0005-0000-0000-000015020000}"/>
    <cellStyle name="—_GS_Cash _Sobha Dec 2007 qtr" xfId="558" xr:uid="{00000000-0005-0000-0000-000016020000}"/>
    <cellStyle name="—_GS_Cash _Unitech exhibits" xfId="559" xr:uid="{00000000-0005-0000-0000-000017020000}"/>
    <cellStyle name="—_GS_Cash _Unitech Sept 2007 qtr" xfId="560" xr:uid="{00000000-0005-0000-0000-000018020000}"/>
    <cellStyle name="—_GS_Cash _valuation" xfId="561" xr:uid="{00000000-0005-0000-0000-000019020000}"/>
    <cellStyle name="—_GS_Cash _Voltas - exh sheet" xfId="562" xr:uid="{00000000-0005-0000-0000-00001A020000}"/>
    <cellStyle name="—_GS_Cash _Weekly Input" xfId="563" xr:uid="{00000000-0005-0000-0000-00001B020000}"/>
    <cellStyle name="—_GS_DCF" xfId="564" xr:uid="{00000000-0005-0000-0000-00001C020000}"/>
    <cellStyle name="—_GS_DCF_alpha bet aug07" xfId="565" xr:uid="{00000000-0005-0000-0000-00001D020000}"/>
    <cellStyle name="—_GS_DCF_apr22 rpet downgraded to REDUCE" xfId="566" xr:uid="{00000000-0005-0000-0000-00001E020000}"/>
    <cellStyle name="—_GS_DCF_aug08 pricing formula in limbo" xfId="567" xr:uid="{00000000-0005-0000-0000-00001F020000}"/>
    <cellStyle name="—_GS_DCF_Book1" xfId="568" xr:uid="{00000000-0005-0000-0000-000020020000}"/>
    <cellStyle name="—_GS_DCF_Book2 (2)" xfId="569" xr:uid="{00000000-0005-0000-0000-000021020000}"/>
    <cellStyle name="—_GS_DCF_Book2 (3)" xfId="570" xr:uid="{00000000-0005-0000-0000-000022020000}"/>
    <cellStyle name="—_GS_DCF_cairn feb07 exhibits" xfId="571" xr:uid="{00000000-0005-0000-0000-000023020000}"/>
    <cellStyle name="—_GS_DCF_cairn master" xfId="572" xr:uid="{00000000-0005-0000-0000-000024020000}"/>
    <cellStyle name="—_GS_DCF_cairn master sep06" xfId="573" xr:uid="{00000000-0005-0000-0000-000025020000}"/>
    <cellStyle name="—_GS_DCF_capex spending by energy sector(1)" xfId="574" xr:uid="{00000000-0005-0000-0000-000026020000}"/>
    <cellStyle name="—_GS_DCF_Chennai ex NEW" xfId="575" xr:uid="{00000000-0005-0000-0000-000027020000}"/>
    <cellStyle name="—_GS_DCF_dec06 2007 strategy" xfId="576" xr:uid="{00000000-0005-0000-0000-000028020000}"/>
    <cellStyle name="—_GS_DCF_DLF 3Q08" xfId="577" xr:uid="{00000000-0005-0000-0000-000029020000}"/>
    <cellStyle name="—_GS_DCF_DLF Dec01 exhibits" xfId="578" xr:uid="{00000000-0005-0000-0000-00002A020000}"/>
    <cellStyle name="—_GS_DCF_DLF exhibits" xfId="579" xr:uid="{00000000-0005-0000-0000-00002B020000}"/>
    <cellStyle name="—_GS_DCF_DLF Model final" xfId="580" xr:uid="{00000000-0005-0000-0000-00002C020000}"/>
    <cellStyle name="—_GS_DCF_DLF2Q08_new exhibits" xfId="581" xr:uid="{00000000-0005-0000-0000-00002D020000}"/>
    <cellStyle name="—_GS_DCF_EM_CMHK" xfId="582" xr:uid="{00000000-0005-0000-0000-00002E020000}"/>
    <cellStyle name="—_GS_DCF_Energy master" xfId="583" xr:uid="{00000000-0005-0000-0000-00002F020000}"/>
    <cellStyle name="—_GS_DCF_GMR - exhibit sheet" xfId="584" xr:uid="{00000000-0005-0000-0000-000030020000}"/>
    <cellStyle name="—_GS_DCF_HDIL Dec 2007 qtr" xfId="585" xr:uid="{00000000-0005-0000-0000-000031020000}"/>
    <cellStyle name="—_GS_DCF_Honam Master_external" xfId="586" xr:uid="{00000000-0005-0000-0000-000032020000}"/>
    <cellStyle name="—_GS_DCF_honam -Quantum 220704" xfId="587" xr:uid="{00000000-0005-0000-0000-000033020000}"/>
    <cellStyle name="—_GS_DCF_India Gas Market" xfId="588" xr:uid="{00000000-0005-0000-0000-000034020000}"/>
    <cellStyle name="—_GS_DCF_IVR  master" xfId="589" xr:uid="{00000000-0005-0000-0000-000035020000}"/>
    <cellStyle name="—_GS_DCF_jun14 doomsday scenario" xfId="590" xr:uid="{00000000-0005-0000-0000-000036020000}"/>
    <cellStyle name="—_GS_DCF_kotak asset val, normalized val for emic" xfId="591" xr:uid="{00000000-0005-0000-0000-000037020000}"/>
    <cellStyle name="—_GS_DCF_lg petrochem-Quantum Template" xfId="592" xr:uid="{00000000-0005-0000-0000-000038020000}"/>
    <cellStyle name="—_GS_DCF_long term valuations" xfId="593" xr:uid="{00000000-0005-0000-0000-000039020000}"/>
    <cellStyle name="—_GS_DCF_mar24 lower crude price impact" xfId="594" xr:uid="{00000000-0005-0000-0000-00003A020000}"/>
    <cellStyle name="—_GS_DCF_New Presentation exhibits" xfId="595" xr:uid="{00000000-0005-0000-0000-00003B020000}"/>
    <cellStyle name="—_GS_DCF_nov07 pricing scenario for strategy" xfId="596" xr:uid="{00000000-0005-0000-0000-00003C020000}"/>
    <cellStyle name="—_GS_DCF_ONGC master" xfId="597" xr:uid="{00000000-0005-0000-0000-00003D020000}"/>
    <cellStyle name="—_GS_DCF_ongoing projects" xfId="598" xr:uid="{00000000-0005-0000-0000-00003E020000}"/>
    <cellStyle name="—_GS_DCF_Other Company-prsntn-sep03 link free" xfId="599" xr:uid="{00000000-0005-0000-0000-00003F020000}"/>
    <cellStyle name="—_GS_DCF_Other Company-prsntn-sep03 link free 1" xfId="600" xr:uid="{00000000-0005-0000-0000-000040020000}"/>
    <cellStyle name="—_GS_DCF_pg24" xfId="601" xr:uid="{00000000-0005-0000-0000-000041020000}"/>
    <cellStyle name="—_GS_DCF_Power projects" xfId="602" xr:uid="{00000000-0005-0000-0000-000042020000}"/>
    <cellStyle name="—_GS_DCF_price to book bphpiocl" xfId="603" xr:uid="{00000000-0005-0000-0000-000043020000}"/>
    <cellStyle name="—_GS_DCF_q" xfId="604" xr:uid="{00000000-0005-0000-0000-000044020000}"/>
    <cellStyle name="—_GS_DCF_Ref cap addns" xfId="605" xr:uid="{00000000-0005-0000-0000-000045020000}"/>
    <cellStyle name="—_GS_DCF_Reliance presentation" xfId="606" xr:uid="{00000000-0005-0000-0000-000046020000}"/>
    <cellStyle name="—_GS_DCF_ril_mar03_exhibits" xfId="607" xr:uid="{00000000-0005-0000-0000-000047020000}"/>
    <cellStyle name="—_GS_DCF_ril_may03_exhibits" xfId="608" xr:uid="{00000000-0005-0000-0000-000048020000}"/>
    <cellStyle name="—_GS_DCF_rilmstr" xfId="609" xr:uid="{00000000-0005-0000-0000-000049020000}"/>
    <cellStyle name="—_GS_DCF_RILMSTR " xfId="610" xr:uid="{00000000-0005-0000-0000-00004A020000}"/>
    <cellStyle name="—_GS_DCF_sep26 oil bonds are coming" xfId="611" xr:uid="{00000000-0005-0000-0000-00004B020000}"/>
    <cellStyle name="—_GS_DCF_Sheet1" xfId="612" xr:uid="{00000000-0005-0000-0000-00004C020000}"/>
    <cellStyle name="—_GS_DCF_Sheet2" xfId="613" xr:uid="{00000000-0005-0000-0000-00004D020000}"/>
    <cellStyle name="—_GS_DCF_Sobha Dec 2007 qtr" xfId="614" xr:uid="{00000000-0005-0000-0000-00004E020000}"/>
    <cellStyle name="—_GS_DCF_Unitech exhibits" xfId="615" xr:uid="{00000000-0005-0000-0000-00004F020000}"/>
    <cellStyle name="—_GS_DCF_Unitech Sept 2007 qtr" xfId="616" xr:uid="{00000000-0005-0000-0000-000050020000}"/>
    <cellStyle name="—_GS_DCF_valuation" xfId="617" xr:uid="{00000000-0005-0000-0000-000051020000}"/>
    <cellStyle name="—_GS_DCF_Voltas - exh sheet" xfId="618" xr:uid="{00000000-0005-0000-0000-000052020000}"/>
    <cellStyle name="—_GS_DCF_Weekly Input" xfId="619" xr:uid="{00000000-0005-0000-0000-000053020000}"/>
    <cellStyle name="—_GS_PNL" xfId="620" xr:uid="{00000000-0005-0000-0000-000054020000}"/>
    <cellStyle name="—_GS_PNL_alpha bet aug07" xfId="621" xr:uid="{00000000-0005-0000-0000-000055020000}"/>
    <cellStyle name="—_GS_PNL_apr22 rpet downgraded to REDUCE" xfId="622" xr:uid="{00000000-0005-0000-0000-000056020000}"/>
    <cellStyle name="—_GS_PNL_aug08 pricing formula in limbo" xfId="623" xr:uid="{00000000-0005-0000-0000-000057020000}"/>
    <cellStyle name="—_GS_PNL_Book1" xfId="624" xr:uid="{00000000-0005-0000-0000-000058020000}"/>
    <cellStyle name="—_GS_PNL_Book2 (2)" xfId="625" xr:uid="{00000000-0005-0000-0000-000059020000}"/>
    <cellStyle name="—_GS_PNL_Book2 (3)" xfId="626" xr:uid="{00000000-0005-0000-0000-00005A020000}"/>
    <cellStyle name="—_GS_PNL_cairn feb07 exhibits" xfId="627" xr:uid="{00000000-0005-0000-0000-00005B020000}"/>
    <cellStyle name="—_GS_PNL_cairn master" xfId="628" xr:uid="{00000000-0005-0000-0000-00005C020000}"/>
    <cellStyle name="—_GS_PNL_cairn master sep06" xfId="629" xr:uid="{00000000-0005-0000-0000-00005D020000}"/>
    <cellStyle name="—_GS_PNL_capex spending by energy sector(1)" xfId="630" xr:uid="{00000000-0005-0000-0000-00005E020000}"/>
    <cellStyle name="—_GS_PNL_Chennai ex NEW" xfId="631" xr:uid="{00000000-0005-0000-0000-00005F020000}"/>
    <cellStyle name="—_GS_PNL_dec06 2007 strategy" xfId="632" xr:uid="{00000000-0005-0000-0000-000060020000}"/>
    <cellStyle name="—_GS_PNL_DLF 3Q08" xfId="633" xr:uid="{00000000-0005-0000-0000-000061020000}"/>
    <cellStyle name="—_GS_PNL_DLF Dec01 exhibits" xfId="634" xr:uid="{00000000-0005-0000-0000-000062020000}"/>
    <cellStyle name="—_GS_PNL_DLF exhibits" xfId="635" xr:uid="{00000000-0005-0000-0000-000063020000}"/>
    <cellStyle name="—_GS_PNL_DLF Model final" xfId="636" xr:uid="{00000000-0005-0000-0000-000064020000}"/>
    <cellStyle name="—_GS_PNL_DLF2Q08_new exhibits" xfId="637" xr:uid="{00000000-0005-0000-0000-000065020000}"/>
    <cellStyle name="—_GS_PNL_EM_CMHK" xfId="638" xr:uid="{00000000-0005-0000-0000-000066020000}"/>
    <cellStyle name="—_GS_PNL_Energy master" xfId="639" xr:uid="{00000000-0005-0000-0000-000067020000}"/>
    <cellStyle name="—_GS_PNL_GMR - exhibit sheet" xfId="640" xr:uid="{00000000-0005-0000-0000-000068020000}"/>
    <cellStyle name="—_GS_PNL_HDIL Dec 2007 qtr" xfId="641" xr:uid="{00000000-0005-0000-0000-000069020000}"/>
    <cellStyle name="—_GS_PNL_Honam Master_external" xfId="642" xr:uid="{00000000-0005-0000-0000-00006A020000}"/>
    <cellStyle name="—_GS_PNL_honam -Quantum 220704" xfId="643" xr:uid="{00000000-0005-0000-0000-00006B020000}"/>
    <cellStyle name="—_GS_PNL_India Gas Market" xfId="644" xr:uid="{00000000-0005-0000-0000-00006C020000}"/>
    <cellStyle name="—_GS_PNL_IVR  master" xfId="645" xr:uid="{00000000-0005-0000-0000-00006D020000}"/>
    <cellStyle name="—_GS_PNL_jun14 doomsday scenario" xfId="646" xr:uid="{00000000-0005-0000-0000-00006E020000}"/>
    <cellStyle name="—_GS_PNL_kotak asset val, normalized val for emic" xfId="647" xr:uid="{00000000-0005-0000-0000-00006F020000}"/>
    <cellStyle name="—_GS_PNL_lg petrochem-Quantum Template" xfId="648" xr:uid="{00000000-0005-0000-0000-000070020000}"/>
    <cellStyle name="—_GS_PNL_long term valuations" xfId="649" xr:uid="{00000000-0005-0000-0000-000071020000}"/>
    <cellStyle name="—_GS_PNL_mar24 lower crude price impact" xfId="650" xr:uid="{00000000-0005-0000-0000-000072020000}"/>
    <cellStyle name="—_GS_PNL_New Presentation exhibits" xfId="651" xr:uid="{00000000-0005-0000-0000-000073020000}"/>
    <cellStyle name="—_GS_PNL_nov07 pricing scenario for strategy" xfId="652" xr:uid="{00000000-0005-0000-0000-000074020000}"/>
    <cellStyle name="—_GS_PNL_ONGC master" xfId="653" xr:uid="{00000000-0005-0000-0000-000075020000}"/>
    <cellStyle name="—_GS_PNL_ongoing projects" xfId="654" xr:uid="{00000000-0005-0000-0000-000076020000}"/>
    <cellStyle name="—_GS_PNL_Other Company-prsntn-sep03 link free" xfId="655" xr:uid="{00000000-0005-0000-0000-000077020000}"/>
    <cellStyle name="—_GS_PNL_Other Company-prsntn-sep03 link free 1" xfId="656" xr:uid="{00000000-0005-0000-0000-000078020000}"/>
    <cellStyle name="—_GS_PNL_pg24" xfId="657" xr:uid="{00000000-0005-0000-0000-000079020000}"/>
    <cellStyle name="—_GS_PNL_Power projects" xfId="658" xr:uid="{00000000-0005-0000-0000-00007A020000}"/>
    <cellStyle name="—_GS_PNL_price to book bphpiocl" xfId="659" xr:uid="{00000000-0005-0000-0000-00007B020000}"/>
    <cellStyle name="—_GS_PNL_q" xfId="660" xr:uid="{00000000-0005-0000-0000-00007C020000}"/>
    <cellStyle name="—_GS_PNL_Ref cap addns" xfId="661" xr:uid="{00000000-0005-0000-0000-00007D020000}"/>
    <cellStyle name="—_GS_PNL_Reliance presentation" xfId="662" xr:uid="{00000000-0005-0000-0000-00007E020000}"/>
    <cellStyle name="—_GS_PNL_ril_mar03_exhibits" xfId="663" xr:uid="{00000000-0005-0000-0000-00007F020000}"/>
    <cellStyle name="—_GS_PNL_ril_may03_exhibits" xfId="664" xr:uid="{00000000-0005-0000-0000-000080020000}"/>
    <cellStyle name="—_GS_PNL_rilmstr" xfId="665" xr:uid="{00000000-0005-0000-0000-000081020000}"/>
    <cellStyle name="—_GS_PNL_RILMSTR " xfId="666" xr:uid="{00000000-0005-0000-0000-000082020000}"/>
    <cellStyle name="—_GS_PNL_sep26 oil bonds are coming" xfId="667" xr:uid="{00000000-0005-0000-0000-000083020000}"/>
    <cellStyle name="—_GS_PNL_Sheet1" xfId="668" xr:uid="{00000000-0005-0000-0000-000084020000}"/>
    <cellStyle name="—_GS_PNL_Sheet2" xfId="669" xr:uid="{00000000-0005-0000-0000-000085020000}"/>
    <cellStyle name="—_GS_PNL_Sobha Dec 2007 qtr" xfId="670" xr:uid="{00000000-0005-0000-0000-000086020000}"/>
    <cellStyle name="—_GS_PNL_Unitech exhibits" xfId="671" xr:uid="{00000000-0005-0000-0000-000087020000}"/>
    <cellStyle name="—_GS_PNL_Unitech Sept 2007 qtr" xfId="672" xr:uid="{00000000-0005-0000-0000-000088020000}"/>
    <cellStyle name="—_GS_PNL_valuation" xfId="673" xr:uid="{00000000-0005-0000-0000-000089020000}"/>
    <cellStyle name="—_GS_PNL_Voltas - exh sheet" xfId="674" xr:uid="{00000000-0005-0000-0000-00008A020000}"/>
    <cellStyle name="—_GS_PNL_Weekly Input" xfId="675" xr:uid="{00000000-0005-0000-0000-00008B020000}"/>
    <cellStyle name="_HCC Q1 09 RR" xfId="676" xr:uid="{00000000-0005-0000-0000-00008C020000}"/>
    <cellStyle name="_HCC Q1 09 RR 2" xfId="677" xr:uid="{00000000-0005-0000-0000-00008D020000}"/>
    <cellStyle name="_Heading" xfId="678" xr:uid="{00000000-0005-0000-0000-00008E020000}"/>
    <cellStyle name="_Highlight" xfId="679" xr:uid="{00000000-0005-0000-0000-00008F020000}"/>
    <cellStyle name="_Hindalco-Nov07" xfId="680" xr:uid="{00000000-0005-0000-0000-000090020000}"/>
    <cellStyle name="_HLLMODELFILEfeb08" xfId="681" xr:uid="{00000000-0005-0000-0000-000091020000}"/>
    <cellStyle name="_hllmodelfilefeb11" xfId="682" xr:uid="{00000000-0005-0000-0000-000092020000}"/>
    <cellStyle name="_HLLMODELFILEMAY09" xfId="683" xr:uid="{00000000-0005-0000-0000-000093020000}"/>
    <cellStyle name="_HLLMODELFILEsep09" xfId="684" xr:uid="{00000000-0005-0000-0000-000094020000}"/>
    <cellStyle name="—_honam -Quantum 220704" xfId="685" xr:uid="{00000000-0005-0000-0000-000095020000}"/>
    <cellStyle name="—_honam -Quantum 220704_IVRCL - results - 2Q09 - exhibits" xfId="686" xr:uid="{00000000-0005-0000-0000-000096020000}"/>
    <cellStyle name="_HPCL master" xfId="687" xr:uid="{00000000-0005-0000-0000-000097020000}"/>
    <cellStyle name="—_I&amp;O Report Tables" xfId="688" xr:uid="{00000000-0005-0000-0000-000098020000}"/>
    <cellStyle name="—_I&amp;O Report Tables_alpha bet aug07" xfId="689" xr:uid="{00000000-0005-0000-0000-000099020000}"/>
    <cellStyle name="—_I&amp;O Report Tables_apr22 rpet downgraded to REDUCE" xfId="690" xr:uid="{00000000-0005-0000-0000-00009A020000}"/>
    <cellStyle name="—_I&amp;O Report Tables_aug08 pricing formula in limbo" xfId="691" xr:uid="{00000000-0005-0000-0000-00009B020000}"/>
    <cellStyle name="—_I&amp;O Report Tables_Book1" xfId="692" xr:uid="{00000000-0005-0000-0000-00009C020000}"/>
    <cellStyle name="—_I&amp;O Report Tables_Book2 (2)" xfId="693" xr:uid="{00000000-0005-0000-0000-00009D020000}"/>
    <cellStyle name="—_I&amp;O Report Tables_Book2 (3)" xfId="694" xr:uid="{00000000-0005-0000-0000-00009E020000}"/>
    <cellStyle name="—_I&amp;O Report Tables_cairn feb07 exhibits" xfId="695" xr:uid="{00000000-0005-0000-0000-00009F020000}"/>
    <cellStyle name="—_I&amp;O Report Tables_cairn master" xfId="696" xr:uid="{00000000-0005-0000-0000-0000A0020000}"/>
    <cellStyle name="—_I&amp;O Report Tables_cairn master sep06" xfId="697" xr:uid="{00000000-0005-0000-0000-0000A1020000}"/>
    <cellStyle name="—_I&amp;O Report Tables_candicetables" xfId="698" xr:uid="{00000000-0005-0000-0000-0000A2020000}"/>
    <cellStyle name="—_I&amp;O Report Tables_candicetables_alpha bet aug07" xfId="699" xr:uid="{00000000-0005-0000-0000-0000A3020000}"/>
    <cellStyle name="—_I&amp;O Report Tables_candicetables_apr22 rpet downgraded to REDUCE" xfId="700" xr:uid="{00000000-0005-0000-0000-0000A4020000}"/>
    <cellStyle name="—_I&amp;O Report Tables_candicetables_aug08 pricing formula in limbo" xfId="701" xr:uid="{00000000-0005-0000-0000-0000A5020000}"/>
    <cellStyle name="—_I&amp;O Report Tables_candicetables_Book1" xfId="702" xr:uid="{00000000-0005-0000-0000-0000A6020000}"/>
    <cellStyle name="—_I&amp;O Report Tables_candicetables_Book2 (2)" xfId="703" xr:uid="{00000000-0005-0000-0000-0000A7020000}"/>
    <cellStyle name="—_I&amp;O Report Tables_candicetables_Book2 (3)" xfId="704" xr:uid="{00000000-0005-0000-0000-0000A8020000}"/>
    <cellStyle name="—_I&amp;O Report Tables_candicetables_cairn feb07 exhibits" xfId="705" xr:uid="{00000000-0005-0000-0000-0000A9020000}"/>
    <cellStyle name="—_I&amp;O Report Tables_candicetables_cairn master" xfId="706" xr:uid="{00000000-0005-0000-0000-0000AA020000}"/>
    <cellStyle name="—_I&amp;O Report Tables_candicetables_cairn master sep06" xfId="707" xr:uid="{00000000-0005-0000-0000-0000AB020000}"/>
    <cellStyle name="—_I&amp;O Report Tables_candicetables_capex spending by energy sector(1)" xfId="708" xr:uid="{00000000-0005-0000-0000-0000AC020000}"/>
    <cellStyle name="—_I&amp;O Report Tables_candicetables_Chennai ex NEW" xfId="709" xr:uid="{00000000-0005-0000-0000-0000AD020000}"/>
    <cellStyle name="—_I&amp;O Report Tables_candicetables_dec06 2007 strategy" xfId="710" xr:uid="{00000000-0005-0000-0000-0000AE020000}"/>
    <cellStyle name="—_I&amp;O Report Tables_candicetables_DLF 3Q08" xfId="711" xr:uid="{00000000-0005-0000-0000-0000AF020000}"/>
    <cellStyle name="—_I&amp;O Report Tables_candicetables_DLF Dec01 exhibits" xfId="712" xr:uid="{00000000-0005-0000-0000-0000B0020000}"/>
    <cellStyle name="—_I&amp;O Report Tables_candicetables_DLF exhibits" xfId="713" xr:uid="{00000000-0005-0000-0000-0000B1020000}"/>
    <cellStyle name="—_I&amp;O Report Tables_candicetables_DLF Model final" xfId="714" xr:uid="{00000000-0005-0000-0000-0000B2020000}"/>
    <cellStyle name="—_I&amp;O Report Tables_candicetables_DLF2Q08_new exhibits" xfId="715" xr:uid="{00000000-0005-0000-0000-0000B3020000}"/>
    <cellStyle name="—_I&amp;O Report Tables_candicetables_Energy master" xfId="716" xr:uid="{00000000-0005-0000-0000-0000B4020000}"/>
    <cellStyle name="—_I&amp;O Report Tables_candicetables_GMR - exhibit sheet" xfId="717" xr:uid="{00000000-0005-0000-0000-0000B5020000}"/>
    <cellStyle name="—_I&amp;O Report Tables_candicetables_HDIL Dec 2007 qtr" xfId="718" xr:uid="{00000000-0005-0000-0000-0000B6020000}"/>
    <cellStyle name="—_I&amp;O Report Tables_candicetables_Honam Master_external" xfId="719" xr:uid="{00000000-0005-0000-0000-0000B7020000}"/>
    <cellStyle name="—_I&amp;O Report Tables_candicetables_honam -Quantum 220704" xfId="720" xr:uid="{00000000-0005-0000-0000-0000B8020000}"/>
    <cellStyle name="—_I&amp;O Report Tables_candicetables_India Gas Market" xfId="721" xr:uid="{00000000-0005-0000-0000-0000B9020000}"/>
    <cellStyle name="—_I&amp;O Report Tables_candicetables_IVR  master" xfId="722" xr:uid="{00000000-0005-0000-0000-0000BA020000}"/>
    <cellStyle name="—_I&amp;O Report Tables_candicetables_jun14 doomsday scenario" xfId="723" xr:uid="{00000000-0005-0000-0000-0000BB020000}"/>
    <cellStyle name="—_I&amp;O Report Tables_candicetables_kotak asset val, normalized val for emic" xfId="724" xr:uid="{00000000-0005-0000-0000-0000BC020000}"/>
    <cellStyle name="—_I&amp;O Report Tables_candicetables_lg petrochem-Quantum Template" xfId="725" xr:uid="{00000000-0005-0000-0000-0000BD020000}"/>
    <cellStyle name="—_I&amp;O Report Tables_candicetables_long term valuations" xfId="726" xr:uid="{00000000-0005-0000-0000-0000BE020000}"/>
    <cellStyle name="—_I&amp;O Report Tables_candicetables_mar24 lower crude price impact" xfId="727" xr:uid="{00000000-0005-0000-0000-0000BF020000}"/>
    <cellStyle name="—_I&amp;O Report Tables_candicetables_Mobile_demographics" xfId="728" xr:uid="{00000000-0005-0000-0000-0000C0020000}"/>
    <cellStyle name="—_I&amp;O Report Tables_candicetables_New Presentation exhibits" xfId="729" xr:uid="{00000000-0005-0000-0000-0000C1020000}"/>
    <cellStyle name="—_I&amp;O Report Tables_candicetables_nov07 pricing scenario for strategy" xfId="730" xr:uid="{00000000-0005-0000-0000-0000C2020000}"/>
    <cellStyle name="—_I&amp;O Report Tables_candicetables_ONGC master" xfId="731" xr:uid="{00000000-0005-0000-0000-0000C3020000}"/>
    <cellStyle name="—_I&amp;O Report Tables_candicetables_ongoing projects" xfId="732" xr:uid="{00000000-0005-0000-0000-0000C4020000}"/>
    <cellStyle name="—_I&amp;O Report Tables_candicetables_Other Company-prsntn-sep03 link free" xfId="733" xr:uid="{00000000-0005-0000-0000-0000C5020000}"/>
    <cellStyle name="—_I&amp;O Report Tables_candicetables_Other Company-prsntn-sep03 link free 1" xfId="734" xr:uid="{00000000-0005-0000-0000-0000C6020000}"/>
    <cellStyle name="—_I&amp;O Report Tables_candicetables_pg24" xfId="735" xr:uid="{00000000-0005-0000-0000-0000C7020000}"/>
    <cellStyle name="—_I&amp;O Report Tables_candicetables_Power projects" xfId="736" xr:uid="{00000000-0005-0000-0000-0000C8020000}"/>
    <cellStyle name="—_I&amp;O Report Tables_candicetables_price to book bphpiocl" xfId="737" xr:uid="{00000000-0005-0000-0000-0000C9020000}"/>
    <cellStyle name="—_I&amp;O Report Tables_candicetables_q" xfId="738" xr:uid="{00000000-0005-0000-0000-0000CA020000}"/>
    <cellStyle name="—_I&amp;O Report Tables_candicetables_Ref cap addns" xfId="739" xr:uid="{00000000-0005-0000-0000-0000CB020000}"/>
    <cellStyle name="—_I&amp;O Report Tables_candicetables_Reliance presentation" xfId="740" xr:uid="{00000000-0005-0000-0000-0000CC020000}"/>
    <cellStyle name="—_I&amp;O Report Tables_candicetables_ril_mar03_exhibits" xfId="741" xr:uid="{00000000-0005-0000-0000-0000CD020000}"/>
    <cellStyle name="—_I&amp;O Report Tables_candicetables_ril_may03_exhibits" xfId="742" xr:uid="{00000000-0005-0000-0000-0000CE020000}"/>
    <cellStyle name="—_I&amp;O Report Tables_candicetables_rilmstr" xfId="743" xr:uid="{00000000-0005-0000-0000-0000CF020000}"/>
    <cellStyle name="—_I&amp;O Report Tables_candicetables_RILMSTR " xfId="744" xr:uid="{00000000-0005-0000-0000-0000D0020000}"/>
    <cellStyle name="—_I&amp;O Report Tables_candicetables_sep26 oil bonds are coming" xfId="745" xr:uid="{00000000-0005-0000-0000-0000D1020000}"/>
    <cellStyle name="—_I&amp;O Report Tables_candicetables_Sheet1" xfId="746" xr:uid="{00000000-0005-0000-0000-0000D2020000}"/>
    <cellStyle name="—_I&amp;O Report Tables_candicetables_Sheet2" xfId="747" xr:uid="{00000000-0005-0000-0000-0000D3020000}"/>
    <cellStyle name="—_I&amp;O Report Tables_candicetables_Sobha Dec 2007 qtr" xfId="748" xr:uid="{00000000-0005-0000-0000-0000D4020000}"/>
    <cellStyle name="—_I&amp;O Report Tables_candicetables_Unitech exhibits" xfId="749" xr:uid="{00000000-0005-0000-0000-0000D5020000}"/>
    <cellStyle name="—_I&amp;O Report Tables_candicetables_Unitech Sept 2007 qtr" xfId="750" xr:uid="{00000000-0005-0000-0000-0000D6020000}"/>
    <cellStyle name="—_I&amp;O Report Tables_candicetables_valuation" xfId="751" xr:uid="{00000000-0005-0000-0000-0000D7020000}"/>
    <cellStyle name="—_I&amp;O Report Tables_candicetables_Voltas - exh sheet" xfId="752" xr:uid="{00000000-0005-0000-0000-0000D8020000}"/>
    <cellStyle name="—_I&amp;O Report Tables_candicetables_Weekly Input" xfId="753" xr:uid="{00000000-0005-0000-0000-0000D9020000}"/>
    <cellStyle name="—_I&amp;O Report Tables_capex spending by energy sector(1)" xfId="754" xr:uid="{00000000-0005-0000-0000-0000DA020000}"/>
    <cellStyle name="—_I&amp;O Report Tables_Chennai ex NEW" xfId="755" xr:uid="{00000000-0005-0000-0000-0000DB020000}"/>
    <cellStyle name="—_I&amp;O Report Tables_dec06 2007 strategy" xfId="756" xr:uid="{00000000-0005-0000-0000-0000DC020000}"/>
    <cellStyle name="—_I&amp;O Report Tables_DLF 3Q08" xfId="757" xr:uid="{00000000-0005-0000-0000-0000DD020000}"/>
    <cellStyle name="—_I&amp;O Report Tables_DLF Dec01 exhibits" xfId="758" xr:uid="{00000000-0005-0000-0000-0000DE020000}"/>
    <cellStyle name="—_I&amp;O Report Tables_DLF exhibits" xfId="759" xr:uid="{00000000-0005-0000-0000-0000DF020000}"/>
    <cellStyle name="—_I&amp;O Report Tables_DLF Model final" xfId="760" xr:uid="{00000000-0005-0000-0000-0000E0020000}"/>
    <cellStyle name="—_I&amp;O Report Tables_DLF2Q08_new exhibits" xfId="761" xr:uid="{00000000-0005-0000-0000-0000E1020000}"/>
    <cellStyle name="—_I&amp;O Report Tables_Energy master" xfId="762" xr:uid="{00000000-0005-0000-0000-0000E2020000}"/>
    <cellStyle name="—_I&amp;O Report Tables_GMR - exhibit sheet" xfId="763" xr:uid="{00000000-0005-0000-0000-0000E3020000}"/>
    <cellStyle name="—_I&amp;O Report Tables_HDIL Dec 2007 qtr" xfId="764" xr:uid="{00000000-0005-0000-0000-0000E4020000}"/>
    <cellStyle name="—_I&amp;O Report Tables_Honam Master_external" xfId="765" xr:uid="{00000000-0005-0000-0000-0000E5020000}"/>
    <cellStyle name="—_I&amp;O Report Tables_honam -Quantum 220704" xfId="766" xr:uid="{00000000-0005-0000-0000-0000E6020000}"/>
    <cellStyle name="—_I&amp;O Report Tables_India Gas Market" xfId="767" xr:uid="{00000000-0005-0000-0000-0000E7020000}"/>
    <cellStyle name="—_I&amp;O Report Tables_IVR  master" xfId="768" xr:uid="{00000000-0005-0000-0000-0000E8020000}"/>
    <cellStyle name="—_I&amp;O Report Tables_jun14 doomsday scenario" xfId="769" xr:uid="{00000000-0005-0000-0000-0000E9020000}"/>
    <cellStyle name="—_I&amp;O Report Tables_kotak asset val, normalized val for emic" xfId="770" xr:uid="{00000000-0005-0000-0000-0000EA020000}"/>
    <cellStyle name="—_I&amp;O Report Tables_lg petrochem-Quantum Template" xfId="771" xr:uid="{00000000-0005-0000-0000-0000EB020000}"/>
    <cellStyle name="—_I&amp;O Report Tables_long term valuations" xfId="772" xr:uid="{00000000-0005-0000-0000-0000EC020000}"/>
    <cellStyle name="—_I&amp;O Report Tables_mar24 lower crude price impact" xfId="773" xr:uid="{00000000-0005-0000-0000-0000ED020000}"/>
    <cellStyle name="—_I&amp;O Report Tables_Mobile_demographics" xfId="774" xr:uid="{00000000-0005-0000-0000-0000EE020000}"/>
    <cellStyle name="—_I&amp;O Report Tables_New Presentation exhibits" xfId="775" xr:uid="{00000000-0005-0000-0000-0000EF020000}"/>
    <cellStyle name="—_I&amp;O Report Tables_nov07 pricing scenario for strategy" xfId="776" xr:uid="{00000000-0005-0000-0000-0000F0020000}"/>
    <cellStyle name="—_I&amp;O Report Tables_ONGC master" xfId="777" xr:uid="{00000000-0005-0000-0000-0000F1020000}"/>
    <cellStyle name="—_I&amp;O Report Tables_ongoing projects" xfId="778" xr:uid="{00000000-0005-0000-0000-0000F2020000}"/>
    <cellStyle name="—_I&amp;O Report Tables_Other Company-prsntn-sep03 link free" xfId="779" xr:uid="{00000000-0005-0000-0000-0000F3020000}"/>
    <cellStyle name="—_I&amp;O Report Tables_Other Company-prsntn-sep03 link free 1" xfId="780" xr:uid="{00000000-0005-0000-0000-0000F4020000}"/>
    <cellStyle name="—_I&amp;O Report Tables_pg24" xfId="781" xr:uid="{00000000-0005-0000-0000-0000F5020000}"/>
    <cellStyle name="—_I&amp;O Report Tables_Power projects" xfId="782" xr:uid="{00000000-0005-0000-0000-0000F6020000}"/>
    <cellStyle name="—_I&amp;O Report Tables_price to book bphpiocl" xfId="783" xr:uid="{00000000-0005-0000-0000-0000F7020000}"/>
    <cellStyle name="—_I&amp;O Report Tables_q" xfId="784" xr:uid="{00000000-0005-0000-0000-0000F8020000}"/>
    <cellStyle name="—_I&amp;O Report Tables_Ref cap addns" xfId="785" xr:uid="{00000000-0005-0000-0000-0000F9020000}"/>
    <cellStyle name="—_I&amp;O Report Tables_Reliance presentation" xfId="786" xr:uid="{00000000-0005-0000-0000-0000FA020000}"/>
    <cellStyle name="—_I&amp;O Report Tables_ril_mar03_exhibits" xfId="787" xr:uid="{00000000-0005-0000-0000-0000FB020000}"/>
    <cellStyle name="—_I&amp;O Report Tables_ril_may03_exhibits" xfId="788" xr:uid="{00000000-0005-0000-0000-0000FC020000}"/>
    <cellStyle name="—_I&amp;O Report Tables_rilmstr" xfId="789" xr:uid="{00000000-0005-0000-0000-0000FD020000}"/>
    <cellStyle name="—_I&amp;O Report Tables_RILMSTR " xfId="790" xr:uid="{00000000-0005-0000-0000-0000FE020000}"/>
    <cellStyle name="—_I&amp;O Report Tables_sep26 oil bonds are coming" xfId="791" xr:uid="{00000000-0005-0000-0000-0000FF020000}"/>
    <cellStyle name="—_I&amp;O Report Tables_Sheet1" xfId="792" xr:uid="{00000000-0005-0000-0000-000000030000}"/>
    <cellStyle name="—_I&amp;O Report Tables_Sheet2" xfId="793" xr:uid="{00000000-0005-0000-0000-000001030000}"/>
    <cellStyle name="—_I&amp;O Report Tables_Sobha Dec 2007 qtr" xfId="794" xr:uid="{00000000-0005-0000-0000-000002030000}"/>
    <cellStyle name="—_I&amp;O Report Tables_Unitech exhibits" xfId="795" xr:uid="{00000000-0005-0000-0000-000003030000}"/>
    <cellStyle name="—_I&amp;O Report Tables_Unitech Sept 2007 qtr" xfId="796" xr:uid="{00000000-0005-0000-0000-000004030000}"/>
    <cellStyle name="—_I&amp;O Report Tables_valuation" xfId="797" xr:uid="{00000000-0005-0000-0000-000005030000}"/>
    <cellStyle name="—_I&amp;O Report Tables_Voltas - exh sheet" xfId="798" xr:uid="{00000000-0005-0000-0000-000006030000}"/>
    <cellStyle name="—_I&amp;O Report Tables_Weekly Input" xfId="799" xr:uid="{00000000-0005-0000-0000-000007030000}"/>
    <cellStyle name="_IDFC model" xfId="800" xr:uid="{00000000-0005-0000-0000-000008030000}"/>
    <cellStyle name="_India Gas Market 2007" xfId="801" xr:uid="{00000000-0005-0000-0000-000009030000}"/>
    <cellStyle name="_IPOs in FY2007" xfId="802" xr:uid="{00000000-0005-0000-0000-00000A030000}"/>
    <cellStyle name="_IT PARK -MANIKONDAnew1" xfId="803" xr:uid="{00000000-0005-0000-0000-00000B030000}"/>
    <cellStyle name="_ITC Quarterly" xfId="804" xr:uid="{00000000-0005-0000-0000-00000C030000}"/>
    <cellStyle name="_ITC Quarterly_Consumer" xfId="805" xr:uid="{00000000-0005-0000-0000-00000D030000}"/>
    <cellStyle name="_ITC Quarterly_Copy of VST EM_edited1" xfId="806" xr:uid="{00000000-0005-0000-0000-00000E030000}"/>
    <cellStyle name="_Itcmodelmar09" xfId="807" xr:uid="{00000000-0005-0000-0000-00000F030000}"/>
    <cellStyle name="_Itcmodelmar09 2" xfId="808" xr:uid="{00000000-0005-0000-0000-000010030000}"/>
    <cellStyle name="_Itcmodelmar09 3" xfId="809" xr:uid="{00000000-0005-0000-0000-000011030000}"/>
    <cellStyle name="_IVR  master" xfId="810" xr:uid="{00000000-0005-0000-0000-000012030000}"/>
    <cellStyle name="_IVRCL Prime master" xfId="811" xr:uid="{00000000-0005-0000-0000-000013030000}"/>
    <cellStyle name="_IVRCL Q1 09 RR" xfId="812" xr:uid="{00000000-0005-0000-0000-000014030000}"/>
    <cellStyle name="_IVRCL Q1 09 RR 2" xfId="813" xr:uid="{00000000-0005-0000-0000-000015030000}"/>
    <cellStyle name="_ivrcl_model" xfId="814" xr:uid="{00000000-0005-0000-0000-000016030000}"/>
    <cellStyle name="_JLL exhibits" xfId="815" xr:uid="{00000000-0005-0000-0000-000017030000}"/>
    <cellStyle name="_J-Ohlweiler" xfId="816" xr:uid="{00000000-0005-0000-0000-000018030000}"/>
    <cellStyle name="_J-Ohlweiler 2" xfId="817" xr:uid="{00000000-0005-0000-0000-000019030000}"/>
    <cellStyle name="_JSM Valuations" xfId="818" xr:uid="{00000000-0005-0000-0000-00001A030000}"/>
    <cellStyle name="_JSP_top10" xfId="819" xr:uid="{00000000-0005-0000-0000-00001B030000}"/>
    <cellStyle name="_JSP-Jan08_exsplit" xfId="820" xr:uid="{00000000-0005-0000-0000-00001C030000}"/>
    <cellStyle name="_jul30 ril 1QFY08 results review" xfId="821" xr:uid="{00000000-0005-0000-0000-00001D030000}"/>
    <cellStyle name="_July report" xfId="822" xr:uid="{00000000-0005-0000-0000-00001E030000}"/>
    <cellStyle name="_jun11 KG basin gas price" xfId="823" xr:uid="{00000000-0005-0000-0000-00001F030000}"/>
    <cellStyle name="—_jun13 positive triggers" xfId="824" xr:uid="{00000000-0005-0000-0000-000020030000}"/>
    <cellStyle name="_jun14 doomsday scenario" xfId="825" xr:uid="{00000000-0005-0000-0000-000021030000}"/>
    <cellStyle name="_jun16 another gas discovery in KG basin" xfId="826" xr:uid="{00000000-0005-0000-0000-000022030000}"/>
    <cellStyle name="_Kesoram" xfId="827" xr:uid="{00000000-0005-0000-0000-000023030000}"/>
    <cellStyle name="—_Korean cos earnings revision" xfId="828" xr:uid="{00000000-0005-0000-0000-000024030000}"/>
    <cellStyle name="_Kotak - LT - Order list + segments" xfId="829" xr:uid="{00000000-0005-0000-0000-000025030000}"/>
    <cellStyle name="_Kotak MarginSum" xfId="830" xr:uid="{00000000-0005-0000-0000-000026030000}"/>
    <cellStyle name="_L&amp;T Model" xfId="831" xr:uid="{00000000-0005-0000-0000-000027030000}"/>
    <cellStyle name="_L&amp;T Modela" xfId="832" xr:uid="{00000000-0005-0000-0000-000028030000}"/>
    <cellStyle name="_l&amp;tfy99" xfId="833" xr:uid="{00000000-0005-0000-0000-000029030000}"/>
    <cellStyle name="_l&amp;tfy99_EVS Deliverable - L&amp;T Model - July 3, 2009" xfId="834" xr:uid="{00000000-0005-0000-0000-00002A030000}"/>
    <cellStyle name="_l&amp;tfy99_EVS Deliverable - LT Model - July 3 2009" xfId="835" xr:uid="{00000000-0005-0000-0000-00002B030000}"/>
    <cellStyle name="_l&amp;tfy99_EVS Deliverable - LT Model - July 3 2009_D - Kingfisher" xfId="836" xr:uid="{00000000-0005-0000-0000-00002C030000}"/>
    <cellStyle name="_l&amp;tfy99_EVS Deliverable - LT Model - July 3 2009_D - Kingfisher_Jet Airways Model" xfId="837" xr:uid="{00000000-0005-0000-0000-00002D030000}"/>
    <cellStyle name="_l&amp;tfy99_EVS Deliverable - LT Model - July 3 2009_D - Kingfisher_SpiceJet Model" xfId="838" xr:uid="{00000000-0005-0000-0000-00002E030000}"/>
    <cellStyle name="_l&amp;tfy99_EVS Deliverable - LT Model - July 3 2009_D - Spice Jet" xfId="839" xr:uid="{00000000-0005-0000-0000-00002F030000}"/>
    <cellStyle name="_l&amp;tfy99_EVS Deliverable - LT Model - July 3 2009_D - Spice Jet_SpiceJet Model" xfId="840" xr:uid="{00000000-0005-0000-0000-000030030000}"/>
    <cellStyle name="_l&amp;tfy99_EVS Deliverable - LT Model - July 3 2009_Final Kingfisher" xfId="841" xr:uid="{00000000-0005-0000-0000-000031030000}"/>
    <cellStyle name="_l&amp;tfy99_EVS Deliverable - LT Model - July 3 2009_Jet Airways" xfId="842" xr:uid="{00000000-0005-0000-0000-000032030000}"/>
    <cellStyle name="_l&amp;tfy99_EVS Deliverable - LT Model - July 3 2009_Jet Airways Model" xfId="843" xr:uid="{00000000-0005-0000-0000-000033030000}"/>
    <cellStyle name="_l&amp;tfy99_EVS Deliverable - LT Model - July 3 2009_SpiceJet Model" xfId="844" xr:uid="{00000000-0005-0000-0000-000034030000}"/>
    <cellStyle name="_l&amp;tfy99_Final - Industry Data" xfId="845" xr:uid="{00000000-0005-0000-0000-000035030000}"/>
    <cellStyle name="_l&amp;tfy99_Final - Industry Data_D - Kingfisher" xfId="846" xr:uid="{00000000-0005-0000-0000-000036030000}"/>
    <cellStyle name="_l&amp;tfy99_Final - Industry Data_D - Kingfisher_Jet Airways Model" xfId="847" xr:uid="{00000000-0005-0000-0000-000037030000}"/>
    <cellStyle name="_l&amp;tfy99_Final - Industry Data_D - Kingfisher_SpiceJet Model" xfId="848" xr:uid="{00000000-0005-0000-0000-000038030000}"/>
    <cellStyle name="_l&amp;tfy99_Final - Industry Data_D - Spice Jet" xfId="849" xr:uid="{00000000-0005-0000-0000-000039030000}"/>
    <cellStyle name="_l&amp;tfy99_Final - Industry Data_D - Spice Jet_SpiceJet Model" xfId="850" xr:uid="{00000000-0005-0000-0000-00003A030000}"/>
    <cellStyle name="_l&amp;tfy99_Final - Industry Data_Final Kingfisher" xfId="851" xr:uid="{00000000-0005-0000-0000-00003B030000}"/>
    <cellStyle name="_l&amp;tfy99_Final - Industry Data_Jet Airways" xfId="852" xr:uid="{00000000-0005-0000-0000-00003C030000}"/>
    <cellStyle name="_l&amp;tfy99_Final - Industry Data_Jet Airways Model" xfId="853" xr:uid="{00000000-0005-0000-0000-00003D030000}"/>
    <cellStyle name="_l&amp;tfy99_Final - Industry Data_SpiceJet Model" xfId="854" xr:uid="{00000000-0005-0000-0000-00003E030000}"/>
    <cellStyle name="_l&amp;tfy99_Thermax WIP 6.11.09" xfId="855" xr:uid="{00000000-0005-0000-0000-00003F030000}"/>
    <cellStyle name="_Larsen-kotak" xfId="856" xr:uid="{00000000-0005-0000-0000-000040030000}"/>
    <cellStyle name="—_LG Chem Mstr" xfId="857" xr:uid="{00000000-0005-0000-0000-000041030000}"/>
    <cellStyle name="—_lg petrochem-Quantum Template" xfId="858" xr:uid="{00000000-0005-0000-0000-000042030000}"/>
    <cellStyle name="—_lg petrochem-Quantum Template_IVRCL - results - 2Q09 - exhibits" xfId="859" xr:uid="{00000000-0005-0000-0000-000043030000}"/>
    <cellStyle name="_LT_post Q1FY10 nomura" xfId="860" xr:uid="{00000000-0005-0000-0000-000044030000}"/>
    <cellStyle name="_mar12 ipcl merger with ril" xfId="861" xr:uid="{00000000-0005-0000-0000-000045030000}"/>
    <cellStyle name="_MCIT" xfId="862" xr:uid="{00000000-0005-0000-0000-000046030000}"/>
    <cellStyle name="_Mediatek Model 2004 feb 10" xfId="863" xr:uid="{00000000-0005-0000-0000-000047030000}"/>
    <cellStyle name="_Mediatek Model 2004 feb 10 2" xfId="864" xr:uid="{00000000-0005-0000-0000-000048030000}"/>
    <cellStyle name="_Mediatek Model Dec9" xfId="865" xr:uid="{00000000-0005-0000-0000-000049030000}"/>
    <cellStyle name="_Mediatek Model Dec9 2" xfId="866" xr:uid="{00000000-0005-0000-0000-00004A030000}"/>
    <cellStyle name="_Milk  FV Nov 2006" xfId="867" xr:uid="{00000000-0005-0000-0000-00004B030000}"/>
    <cellStyle name="_Mlife exhibits" xfId="868" xr:uid="{00000000-0005-0000-0000-00004C030000}"/>
    <cellStyle name="—_Mobile_demographics" xfId="869" xr:uid="{00000000-0005-0000-0000-00004D030000}"/>
    <cellStyle name="_model" xfId="870" xr:uid="{00000000-0005-0000-0000-00004E030000}"/>
    <cellStyle name="_model 2" xfId="871" xr:uid="{00000000-0005-0000-0000-00004F030000}"/>
    <cellStyle name="_Monthly data" xfId="872" xr:uid="{00000000-0005-0000-0000-000050030000}"/>
    <cellStyle name="_Monthly data 2" xfId="873" xr:uid="{00000000-0005-0000-0000-000051030000}"/>
    <cellStyle name="_MS=Consumer Presentation Excel Aug 04" xfId="874" xr:uid="{00000000-0005-0000-0000-000052030000}"/>
    <cellStyle name="_MS=IVRCL Exhibits" xfId="875" xr:uid="{00000000-0005-0000-0000-000053030000}"/>
    <cellStyle name="_MS=Report Exhibits_NON-Ferrous_Oct 07" xfId="876" xr:uid="{00000000-0005-0000-0000-000054030000}"/>
    <cellStyle name="_Multiple" xfId="877" xr:uid="{00000000-0005-0000-0000-000055030000}"/>
    <cellStyle name="_Multiple_AutoPrice2000" xfId="878" xr:uid="{00000000-0005-0000-0000-000056030000}"/>
    <cellStyle name="_Multiple_EZJ vs go" xfId="879" xr:uid="{00000000-0005-0000-0000-000057030000}"/>
    <cellStyle name="_Multiple_Financial Performance Benchmarking and Valuation(2)" xfId="880" xr:uid="{00000000-0005-0000-0000-000058030000}"/>
    <cellStyle name="_Multiple_Valuation and Benchmarking Template" xfId="881" xr:uid="{00000000-0005-0000-0000-000059030000}"/>
    <cellStyle name="_MultipleSpace" xfId="882" xr:uid="{00000000-0005-0000-0000-00005A030000}"/>
    <cellStyle name="_MultipleSpace_AutoPrice2000" xfId="883" xr:uid="{00000000-0005-0000-0000-00005B030000}"/>
    <cellStyle name="_MultipleSpace_EZJ vs go" xfId="884" xr:uid="{00000000-0005-0000-0000-00005C030000}"/>
    <cellStyle name="_MultipleSpace_Financial Performance Benchmarking and Valuation(2)" xfId="885" xr:uid="{00000000-0005-0000-0000-00005D030000}"/>
    <cellStyle name="_MultipleSpace_Valuation and Benchmarking Template" xfId="886" xr:uid="{00000000-0005-0000-0000-00005E030000}"/>
    <cellStyle name="_Nagarjuna - results - 1QFY09 - Final" xfId="887" xr:uid="{00000000-0005-0000-0000-00005F030000}"/>
    <cellStyle name="_Nestle Nov_2007" xfId="888" xr:uid="{00000000-0005-0000-0000-000060030000}"/>
    <cellStyle name="_Nestle Nov_2007 2" xfId="889" xr:uid="{00000000-0005-0000-0000-000061030000}"/>
    <cellStyle name="_Nestle Nov_2007 3" xfId="890" xr:uid="{00000000-0005-0000-0000-000062030000}"/>
    <cellStyle name="_New Exhibits" xfId="891" xr:uid="{00000000-0005-0000-0000-000063030000}"/>
    <cellStyle name="_New Financials - Jan2008" xfId="892" xr:uid="{00000000-0005-0000-0000-000064030000}"/>
    <cellStyle name="_New Financials - Jan2008 2" xfId="893" xr:uid="{00000000-0005-0000-0000-000065030000}"/>
    <cellStyle name="—_new format1" xfId="894" xr:uid="{00000000-0005-0000-0000-000066030000}"/>
    <cellStyle name="—_new format1_alpha bet sep07" xfId="895" xr:uid="{00000000-0005-0000-0000-000067030000}"/>
    <cellStyle name="—_new format1_Book1" xfId="896" xr:uid="{00000000-0005-0000-0000-000068030000}"/>
    <cellStyle name="—_new format1_Book1 (2)" xfId="897" xr:uid="{00000000-0005-0000-0000-000069030000}"/>
    <cellStyle name="—_new format1_Book2 (2)" xfId="898" xr:uid="{00000000-0005-0000-0000-00006A030000}"/>
    <cellStyle name="—_new format1_Book3" xfId="899" xr:uid="{00000000-0005-0000-0000-00006B030000}"/>
    <cellStyle name="—_new format1_Book8" xfId="900" xr:uid="{00000000-0005-0000-0000-00006C030000}"/>
    <cellStyle name="—_new format1_Embedded value exhibits" xfId="901" xr:uid="{00000000-0005-0000-0000-00006D030000}"/>
    <cellStyle name="—_new format1_EM-LGT_Published" xfId="902" xr:uid="{00000000-0005-0000-0000-00006E030000}"/>
    <cellStyle name="—_new format1_exhibits" xfId="903" xr:uid="{00000000-0005-0000-0000-00006F030000}"/>
    <cellStyle name="—_new format1_IT stress case" xfId="904" xr:uid="{00000000-0005-0000-0000-000070030000}"/>
    <cellStyle name="—_new format1_IT stress case (3)" xfId="905" xr:uid="{00000000-0005-0000-0000-000071030000}"/>
    <cellStyle name="—_new format1_jan 21 3QFY08 results call highlights" xfId="906" xr:uid="{00000000-0005-0000-0000-000072030000}"/>
    <cellStyle name="—_new format1_July04_present_tables_linknew" xfId="907" xr:uid="{00000000-0005-0000-0000-000073030000}"/>
    <cellStyle name="—_new format1_may05 telecom tables for strategy" xfId="908" xr:uid="{00000000-0005-0000-0000-000074030000}"/>
    <cellStyle name="—_new format1_MS=Godrej Exhibits" xfId="909" xr:uid="{00000000-0005-0000-0000-000075030000}"/>
    <cellStyle name="—_new format1_Nov 19 impact of reduction in tariff" xfId="910" xr:uid="{00000000-0005-0000-0000-000076030000}"/>
    <cellStyle name="—_new format1_presentation charts-GSIC" xfId="911" xr:uid="{00000000-0005-0000-0000-000077030000}"/>
    <cellStyle name="—_new format1_Pricing sensitivity" xfId="912" xr:uid="{00000000-0005-0000-0000-000078030000}"/>
    <cellStyle name="—_new format1_Saty charts for strategy" xfId="913" xr:uid="{00000000-0005-0000-0000-000079030000}"/>
    <cellStyle name="—_new format1_sep10 spectrum update" xfId="914" xr:uid="{00000000-0005-0000-0000-00007A030000}"/>
    <cellStyle name="—_new format1_sep26 new applications" xfId="915" xr:uid="{00000000-0005-0000-0000-00007B030000}"/>
    <cellStyle name="—_new format1_strategy aug07" xfId="916" xr:uid="{00000000-0005-0000-0000-00007C030000}"/>
    <cellStyle name="—_new format1_technology pricing scenario" xfId="917" xr:uid="{00000000-0005-0000-0000-00007D030000}"/>
    <cellStyle name="—_new format1_telecom pricing scenario" xfId="918" xr:uid="{00000000-0005-0000-0000-00007E030000}"/>
    <cellStyle name="—_new format1_Telecom quarterly_final" xfId="919" xr:uid="{00000000-0005-0000-0000-00007F030000}"/>
    <cellStyle name="—_new format1_Telecom quarterly_final_Book8" xfId="920" xr:uid="{00000000-0005-0000-0000-000080030000}"/>
    <cellStyle name="—_new format1_Telecom quarterly_final_EM-LGT_Published" xfId="921" xr:uid="{00000000-0005-0000-0000-000081030000}"/>
    <cellStyle name="—_new format1_telecom stress case" xfId="922" xr:uid="{00000000-0005-0000-0000-000082030000}"/>
    <cellStyle name="_New WCOM" xfId="923" xr:uid="{00000000-0005-0000-0000-000083030000}"/>
    <cellStyle name="_New-TEMPLATE" xfId="924" xr:uid="{00000000-0005-0000-0000-000084030000}"/>
    <cellStyle name="_Nov 19 impact of reduction in tariff" xfId="925" xr:uid="{00000000-0005-0000-0000-000085030000}"/>
    <cellStyle name="_NPV-calculation-HCC" xfId="926" xr:uid="{00000000-0005-0000-0000-000086030000}"/>
    <cellStyle name="_NPV-calculation-HCC 2" xfId="927" xr:uid="{00000000-0005-0000-0000-000087030000}"/>
    <cellStyle name="_oct18 ril 2QFY08 results review" xfId="928" xr:uid="{00000000-0005-0000-0000-000088030000}"/>
    <cellStyle name="—_ONGC master" xfId="929" xr:uid="{00000000-0005-0000-0000-000089030000}"/>
    <cellStyle name="—_ONGC master " xfId="930" xr:uid="{00000000-0005-0000-0000-00008A030000}"/>
    <cellStyle name="—_ONGC master gas price increase" xfId="931" xr:uid="{00000000-0005-0000-0000-00008B030000}"/>
    <cellStyle name="—_ONGC master sep03" xfId="932" xr:uid="{00000000-0005-0000-0000-00008C030000}"/>
    <cellStyle name="—_ongc sensitivity" xfId="933" xr:uid="{00000000-0005-0000-0000-00008D030000}"/>
    <cellStyle name="—_ongc_interim" xfId="934" xr:uid="{00000000-0005-0000-0000-00008E030000}"/>
    <cellStyle name="_order book details" xfId="935" xr:uid="{00000000-0005-0000-0000-00008F030000}"/>
    <cellStyle name="_Output" xfId="936" xr:uid="{00000000-0005-0000-0000-000090030000}"/>
    <cellStyle name="_Output 2" xfId="937" xr:uid="{00000000-0005-0000-0000-000091030000}"/>
    <cellStyle name="_Percent" xfId="938" xr:uid="{00000000-0005-0000-0000-000092030000}"/>
    <cellStyle name="_Percent_AutoPrice2000" xfId="939" xr:uid="{00000000-0005-0000-0000-000093030000}"/>
    <cellStyle name="_Percent_Valuation and Benchmarking Template" xfId="940" xr:uid="{00000000-0005-0000-0000-000094030000}"/>
    <cellStyle name="_PercentSpace" xfId="941" xr:uid="{00000000-0005-0000-0000-000095030000}"/>
    <cellStyle name="_PercentSpace_AutoPrice2000" xfId="942" xr:uid="{00000000-0005-0000-0000-000096030000}"/>
    <cellStyle name="_PercentSpace_Valuation and Benchmarking Template" xfId="943" xr:uid="{00000000-0005-0000-0000-000097030000}"/>
    <cellStyle name="_Power projects" xfId="944" xr:uid="{00000000-0005-0000-0000-000098030000}"/>
    <cellStyle name="_Presentation Exbhits" xfId="945" xr:uid="{00000000-0005-0000-0000-000099030000}"/>
    <cellStyle name="_Presentation Exhibits_Oct 2007" xfId="946" xr:uid="{00000000-0005-0000-0000-00009A030000}"/>
    <cellStyle name="_pricing" xfId="947" xr:uid="{00000000-0005-0000-0000-00009B030000}"/>
    <cellStyle name="_Property exhibition data" xfId="948" xr:uid="{00000000-0005-0000-0000-00009C030000}"/>
    <cellStyle name="_purva master new" xfId="949" xr:uid="{00000000-0005-0000-0000-00009D030000}"/>
    <cellStyle name="—_qrtly" xfId="950" xr:uid="{00000000-0005-0000-0000-00009E030000}"/>
    <cellStyle name="—_qrtly_IVRCL - results - 2Q09 - exhibits" xfId="951" xr:uid="{00000000-0005-0000-0000-00009F030000}"/>
    <cellStyle name="_Quarterly Model" xfId="952" xr:uid="{00000000-0005-0000-0000-0000A0030000}"/>
    <cellStyle name="_Quarterly Model 2" xfId="953" xr:uid="{00000000-0005-0000-0000-0000A1030000}"/>
    <cellStyle name="_quarterly resuls format" xfId="954" xr:uid="{00000000-0005-0000-0000-0000A2030000}"/>
    <cellStyle name="_RALI Model" xfId="955" xr:uid="{00000000-0005-0000-0000-0000A3030000}"/>
    <cellStyle name="_RALI Model 2" xfId="956" xr:uid="{00000000-0005-0000-0000-0000A4030000}"/>
    <cellStyle name="_RALI Model 3" xfId="957" xr:uid="{00000000-0005-0000-0000-0000A5030000}"/>
    <cellStyle name="_Reference Sheet for EMM" xfId="958" xr:uid="{00000000-0005-0000-0000-0000A6030000}"/>
    <cellStyle name="_Reiterate add (Jan 08)" xfId="959" xr:uid="{00000000-0005-0000-0000-0000A7030000}"/>
    <cellStyle name="_Reliance presentation" xfId="960" xr:uid="{00000000-0005-0000-0000-0000A8030000}"/>
    <cellStyle name="_reliance stress case earnings (2)" xfId="961" xr:uid="{00000000-0005-0000-0000-0000A9030000}"/>
    <cellStyle name="—_report1198tables" xfId="962" xr:uid="{00000000-0005-0000-0000-0000AA030000}"/>
    <cellStyle name="—_report1198tables_alpha bet aug07" xfId="963" xr:uid="{00000000-0005-0000-0000-0000AB030000}"/>
    <cellStyle name="—_report1198tables_anne" xfId="964" xr:uid="{00000000-0005-0000-0000-0000AC030000}"/>
    <cellStyle name="—_report1198tables_anne_honam -Quantum 220704" xfId="965" xr:uid="{00000000-0005-0000-0000-0000AD030000}"/>
    <cellStyle name="—_report1198tables_anne_IVRCL - results - 2Q09 - exhibits" xfId="966" xr:uid="{00000000-0005-0000-0000-0000AE030000}"/>
    <cellStyle name="—_report1198tables_anne_JSP-Jan08_exsplit" xfId="967" xr:uid="{00000000-0005-0000-0000-0000AF030000}"/>
    <cellStyle name="—_report1198tables_anne_JSPL_SOTP" xfId="968" xr:uid="{00000000-0005-0000-0000-0000B0030000}"/>
    <cellStyle name="—_report1198tables_anne_JSP-OCt 07" xfId="969" xr:uid="{00000000-0005-0000-0000-0000B1030000}"/>
    <cellStyle name="—_report1198tables_anne_lg petrochem-Quantum Template" xfId="970" xr:uid="{00000000-0005-0000-0000-0000B2030000}"/>
    <cellStyle name="—_report1198tables_anne_Sesa goa-Feb08" xfId="971" xr:uid="{00000000-0005-0000-0000-0000B3030000}"/>
    <cellStyle name="—_report1198tables_apr22 rpet downgraded to REDUCE" xfId="972" xr:uid="{00000000-0005-0000-0000-0000B4030000}"/>
    <cellStyle name="—_report1198tables_aug08 pricing formula in limbo" xfId="973" xr:uid="{00000000-0005-0000-0000-0000B5030000}"/>
    <cellStyle name="—_report1198tables_Book1" xfId="974" xr:uid="{00000000-0005-0000-0000-0000B6030000}"/>
    <cellStyle name="—_report1198tables_Book2 (2)" xfId="975" xr:uid="{00000000-0005-0000-0000-0000B7030000}"/>
    <cellStyle name="—_report1198tables_Book2 (3)" xfId="976" xr:uid="{00000000-0005-0000-0000-0000B8030000}"/>
    <cellStyle name="—_report1198tables_cairn feb07 exhibits" xfId="977" xr:uid="{00000000-0005-0000-0000-0000B9030000}"/>
    <cellStyle name="—_report1198tables_cairn master" xfId="978" xr:uid="{00000000-0005-0000-0000-0000BA030000}"/>
    <cellStyle name="—_report1198tables_cairn master sep06" xfId="979" xr:uid="{00000000-0005-0000-0000-0000BB030000}"/>
    <cellStyle name="—_report1198tables_capex spending by energy sector(1)" xfId="980" xr:uid="{00000000-0005-0000-0000-0000BC030000}"/>
    <cellStyle name="—_report1198tables_Chennai ex NEW" xfId="981" xr:uid="{00000000-0005-0000-0000-0000BD030000}"/>
    <cellStyle name="—_report1198tables_CNOOC Master" xfId="982" xr:uid="{00000000-0005-0000-0000-0000BE030000}"/>
    <cellStyle name="—_report1198tables_dec06 2007 strategy" xfId="983" xr:uid="{00000000-0005-0000-0000-0000BF030000}"/>
    <cellStyle name="—_report1198tables_DLF 3Q08" xfId="984" xr:uid="{00000000-0005-0000-0000-0000C0030000}"/>
    <cellStyle name="—_report1198tables_DLF Dec01 exhibits" xfId="985" xr:uid="{00000000-0005-0000-0000-0000C1030000}"/>
    <cellStyle name="—_report1198tables_DLF exhibits" xfId="986" xr:uid="{00000000-0005-0000-0000-0000C2030000}"/>
    <cellStyle name="—_report1198tables_DLF Model final" xfId="987" xr:uid="{00000000-0005-0000-0000-0000C3030000}"/>
    <cellStyle name="—_report1198tables_DLF2Q08_new exhibits" xfId="988" xr:uid="{00000000-0005-0000-0000-0000C4030000}"/>
    <cellStyle name="—_report1198tables_Energy master" xfId="989" xr:uid="{00000000-0005-0000-0000-0000C5030000}"/>
    <cellStyle name="—_report1198tables_GMR - exhibit sheet" xfId="990" xr:uid="{00000000-0005-0000-0000-0000C6030000}"/>
    <cellStyle name="—_report1198tables_HDIL Dec 2007 qtr" xfId="991" xr:uid="{00000000-0005-0000-0000-0000C7030000}"/>
    <cellStyle name="—_report1198tables_Honam Master_external" xfId="992" xr:uid="{00000000-0005-0000-0000-0000C8030000}"/>
    <cellStyle name="—_report1198tables_India Gas Market" xfId="993" xr:uid="{00000000-0005-0000-0000-0000C9030000}"/>
    <cellStyle name="—_report1198tables_IVR  master" xfId="994" xr:uid="{00000000-0005-0000-0000-0000CA030000}"/>
    <cellStyle name="—_report1198tables_jun14 doomsday scenario" xfId="995" xr:uid="{00000000-0005-0000-0000-0000CB030000}"/>
    <cellStyle name="—_report1198tables_kotak asset val, normalized val for emic" xfId="996" xr:uid="{00000000-0005-0000-0000-0000CC030000}"/>
    <cellStyle name="—_report1198tables_long term valuations" xfId="997" xr:uid="{00000000-0005-0000-0000-0000CD030000}"/>
    <cellStyle name="—_report1198tables_mar24 lower crude price impact" xfId="998" xr:uid="{00000000-0005-0000-0000-0000CE030000}"/>
    <cellStyle name="—_report1198tables_New Presentation exhibits" xfId="999" xr:uid="{00000000-0005-0000-0000-0000CF030000}"/>
    <cellStyle name="—_report1198tables_nov07 pricing scenario for strategy" xfId="1000" xr:uid="{00000000-0005-0000-0000-0000D0030000}"/>
    <cellStyle name="—_report1198tables_ONGC master" xfId="1001" xr:uid="{00000000-0005-0000-0000-0000D1030000}"/>
    <cellStyle name="—_report1198tables_ongoing projects" xfId="1002" xr:uid="{00000000-0005-0000-0000-0000D2030000}"/>
    <cellStyle name="—_report1198tables_Other Company-prsntn-sep03 link free" xfId="1003" xr:uid="{00000000-0005-0000-0000-0000D3030000}"/>
    <cellStyle name="—_report1198tables_Other Company-prsntn-sep03 link free 1" xfId="1004" xr:uid="{00000000-0005-0000-0000-0000D4030000}"/>
    <cellStyle name="—_report1198tables_pg24" xfId="1005" xr:uid="{00000000-0005-0000-0000-0000D5030000}"/>
    <cellStyle name="—_report1198tables_Power projects" xfId="1006" xr:uid="{00000000-0005-0000-0000-0000D6030000}"/>
    <cellStyle name="—_report1198tables_price to book bphpiocl" xfId="1007" xr:uid="{00000000-0005-0000-0000-0000D7030000}"/>
    <cellStyle name="—_report1198tables_q" xfId="1008" xr:uid="{00000000-0005-0000-0000-0000D8030000}"/>
    <cellStyle name="—_report1198tables_Ref cap addns" xfId="1009" xr:uid="{00000000-0005-0000-0000-0000D9030000}"/>
    <cellStyle name="—_report1198tables_Reliance presentation" xfId="1010" xr:uid="{00000000-0005-0000-0000-0000DA030000}"/>
    <cellStyle name="—_report1198tables_ril_mar03_exhibits" xfId="1011" xr:uid="{00000000-0005-0000-0000-0000DB030000}"/>
    <cellStyle name="—_report1198tables_ril_may03_exhibits" xfId="1012" xr:uid="{00000000-0005-0000-0000-0000DC030000}"/>
    <cellStyle name="—_report1198tables_rilmstr" xfId="1013" xr:uid="{00000000-0005-0000-0000-0000DD030000}"/>
    <cellStyle name="—_report1198tables_RILMSTR " xfId="1014" xr:uid="{00000000-0005-0000-0000-0000DE030000}"/>
    <cellStyle name="—_report1198tables_sep26 oil bonds are coming" xfId="1015" xr:uid="{00000000-0005-0000-0000-0000DF030000}"/>
    <cellStyle name="—_report1198tables_Sheet1" xfId="1016" xr:uid="{00000000-0005-0000-0000-0000E0030000}"/>
    <cellStyle name="—_report1198tables_Sheet2" xfId="1017" xr:uid="{00000000-0005-0000-0000-0000E1030000}"/>
    <cellStyle name="—_report1198tables_Sobha Dec 2007 qtr" xfId="1018" xr:uid="{00000000-0005-0000-0000-0000E2030000}"/>
    <cellStyle name="—_report1198tables_tables_99" xfId="1019" xr:uid="{00000000-0005-0000-0000-0000E3030000}"/>
    <cellStyle name="—_report1198tables_tables_99_honam -Quantum 220704" xfId="1020" xr:uid="{00000000-0005-0000-0000-0000E4030000}"/>
    <cellStyle name="—_report1198tables_tables_99_IVRCL - results - 2Q09 - exhibits" xfId="1021" xr:uid="{00000000-0005-0000-0000-0000E5030000}"/>
    <cellStyle name="—_report1198tables_tables_99_JSP-Jan08_exsplit" xfId="1022" xr:uid="{00000000-0005-0000-0000-0000E6030000}"/>
    <cellStyle name="—_report1198tables_tables_99_JSPL_SOTP" xfId="1023" xr:uid="{00000000-0005-0000-0000-0000E7030000}"/>
    <cellStyle name="—_report1198tables_tables_99_JSP-OCt 07" xfId="1024" xr:uid="{00000000-0005-0000-0000-0000E8030000}"/>
    <cellStyle name="—_report1198tables_tables_99_lg petrochem-Quantum Template" xfId="1025" xr:uid="{00000000-0005-0000-0000-0000E9030000}"/>
    <cellStyle name="—_report1198tables_tables_99_Sesa goa-Feb08" xfId="1026" xr:uid="{00000000-0005-0000-0000-0000EA030000}"/>
    <cellStyle name="—_report1198tables_Unitech exhibits" xfId="1027" xr:uid="{00000000-0005-0000-0000-0000EB030000}"/>
    <cellStyle name="—_report1198tables_Unitech Sept 2007 qtr" xfId="1028" xr:uid="{00000000-0005-0000-0000-0000EC030000}"/>
    <cellStyle name="—_report1198tables_valuation" xfId="1029" xr:uid="{00000000-0005-0000-0000-0000ED030000}"/>
    <cellStyle name="—_report1198tables_Voltas - exh sheet" xfId="1030" xr:uid="{00000000-0005-0000-0000-0000EE030000}"/>
    <cellStyle name="—_report1198tables_Weekly Input" xfId="1031" xr:uid="{00000000-0005-0000-0000-0000EF030000}"/>
    <cellStyle name="_Residential industry exhibits" xfId="1032" xr:uid="{00000000-0005-0000-0000-0000F0030000}"/>
    <cellStyle name="_Revised Comps Template" xfId="1033" xr:uid="{00000000-0005-0000-0000-0000F1030000}"/>
    <cellStyle name="_ril embedded value for strategy" xfId="1034" xr:uid="{00000000-0005-0000-0000-0000F2030000}"/>
    <cellStyle name="_rilmstr" xfId="1035" xr:uid="{00000000-0005-0000-0000-0000F3030000}"/>
    <cellStyle name="_rilmstr aug07" xfId="1036" xr:uid="{00000000-0005-0000-0000-0000F4030000}"/>
    <cellStyle name="—_roads" xfId="1037" xr:uid="{00000000-0005-0000-0000-0000F5030000}"/>
    <cellStyle name="—_roads_IVRCL - results - 2Q09 - exhibits" xfId="1038" xr:uid="{00000000-0005-0000-0000-0000F6030000}"/>
    <cellStyle name="—_roads1" xfId="1039" xr:uid="{00000000-0005-0000-0000-0000F7030000}"/>
    <cellStyle name="—_roads1_IVRCL - results - 2Q09 - exhibits" xfId="1040" xr:uid="{00000000-0005-0000-0000-0000F8030000}"/>
    <cellStyle name="_rpl_master" xfId="1041" xr:uid="{00000000-0005-0000-0000-0000F9030000}"/>
    <cellStyle name="—_RSA" xfId="1042" xr:uid="{00000000-0005-0000-0000-0000FA030000}"/>
    <cellStyle name="—_RSA_alpha bet aug07" xfId="1043" xr:uid="{00000000-0005-0000-0000-0000FB030000}"/>
    <cellStyle name="—_RSA_apr22 rpet downgraded to REDUCE" xfId="1044" xr:uid="{00000000-0005-0000-0000-0000FC030000}"/>
    <cellStyle name="—_RSA_aug08 pricing formula in limbo" xfId="1045" xr:uid="{00000000-0005-0000-0000-0000FD030000}"/>
    <cellStyle name="—_RSA_Book1" xfId="1046" xr:uid="{00000000-0005-0000-0000-0000FE030000}"/>
    <cellStyle name="—_RSA_Book2 (2)" xfId="1047" xr:uid="{00000000-0005-0000-0000-0000FF030000}"/>
    <cellStyle name="—_RSA_Book2 (3)" xfId="1048" xr:uid="{00000000-0005-0000-0000-000000040000}"/>
    <cellStyle name="—_RSA_cairn feb07 exhibits" xfId="1049" xr:uid="{00000000-0005-0000-0000-000001040000}"/>
    <cellStyle name="—_RSA_cairn master" xfId="1050" xr:uid="{00000000-0005-0000-0000-000002040000}"/>
    <cellStyle name="—_RSA_cairn master sep06" xfId="1051" xr:uid="{00000000-0005-0000-0000-000003040000}"/>
    <cellStyle name="—_RSA_capex spending by energy sector(1)" xfId="1052" xr:uid="{00000000-0005-0000-0000-000004040000}"/>
    <cellStyle name="—_RSA_Chennai ex NEW" xfId="1053" xr:uid="{00000000-0005-0000-0000-000005040000}"/>
    <cellStyle name="—_RSA_dec06 2007 strategy" xfId="1054" xr:uid="{00000000-0005-0000-0000-000006040000}"/>
    <cellStyle name="—_RSA_DLF 3Q08" xfId="1055" xr:uid="{00000000-0005-0000-0000-000007040000}"/>
    <cellStyle name="—_RSA_DLF Dec01 exhibits" xfId="1056" xr:uid="{00000000-0005-0000-0000-000008040000}"/>
    <cellStyle name="—_RSA_DLF exhibits" xfId="1057" xr:uid="{00000000-0005-0000-0000-000009040000}"/>
    <cellStyle name="—_RSA_DLF Model final" xfId="1058" xr:uid="{00000000-0005-0000-0000-00000A040000}"/>
    <cellStyle name="—_RSA_DLF2Q08_new exhibits" xfId="1059" xr:uid="{00000000-0005-0000-0000-00000B040000}"/>
    <cellStyle name="—_RSA_EM_CMHK" xfId="1060" xr:uid="{00000000-0005-0000-0000-00000C040000}"/>
    <cellStyle name="—_RSA_Energy master" xfId="1061" xr:uid="{00000000-0005-0000-0000-00000D040000}"/>
    <cellStyle name="—_RSA_GMR - exhibit sheet" xfId="1062" xr:uid="{00000000-0005-0000-0000-00000E040000}"/>
    <cellStyle name="—_RSA_HDIL Dec 2007 qtr" xfId="1063" xr:uid="{00000000-0005-0000-0000-00000F040000}"/>
    <cellStyle name="—_RSA_Honam Master_external" xfId="1064" xr:uid="{00000000-0005-0000-0000-000010040000}"/>
    <cellStyle name="—_RSA_honam -Quantum 220704" xfId="1065" xr:uid="{00000000-0005-0000-0000-000011040000}"/>
    <cellStyle name="—_RSA_India Gas Market" xfId="1066" xr:uid="{00000000-0005-0000-0000-000012040000}"/>
    <cellStyle name="—_RSA_IVR  master" xfId="1067" xr:uid="{00000000-0005-0000-0000-000013040000}"/>
    <cellStyle name="—_RSA_jun14 doomsday scenario" xfId="1068" xr:uid="{00000000-0005-0000-0000-000014040000}"/>
    <cellStyle name="—_RSA_kotak asset val, normalized val for emic" xfId="1069" xr:uid="{00000000-0005-0000-0000-000015040000}"/>
    <cellStyle name="—_RSA_lg petrochem-Quantum Template" xfId="1070" xr:uid="{00000000-0005-0000-0000-000016040000}"/>
    <cellStyle name="—_RSA_long term valuations" xfId="1071" xr:uid="{00000000-0005-0000-0000-000017040000}"/>
    <cellStyle name="—_RSA_mar24 lower crude price impact" xfId="1072" xr:uid="{00000000-0005-0000-0000-000018040000}"/>
    <cellStyle name="—_RSA_New Presentation exhibits" xfId="1073" xr:uid="{00000000-0005-0000-0000-000019040000}"/>
    <cellStyle name="—_RSA_nov07 pricing scenario for strategy" xfId="1074" xr:uid="{00000000-0005-0000-0000-00001A040000}"/>
    <cellStyle name="—_RSA_ONGC master" xfId="1075" xr:uid="{00000000-0005-0000-0000-00001B040000}"/>
    <cellStyle name="—_RSA_ongoing projects" xfId="1076" xr:uid="{00000000-0005-0000-0000-00001C040000}"/>
    <cellStyle name="—_RSA_Other Company-prsntn-sep03 link free" xfId="1077" xr:uid="{00000000-0005-0000-0000-00001D040000}"/>
    <cellStyle name="—_RSA_Other Company-prsntn-sep03 link free 1" xfId="1078" xr:uid="{00000000-0005-0000-0000-00001E040000}"/>
    <cellStyle name="—_RSA_pg24" xfId="1079" xr:uid="{00000000-0005-0000-0000-00001F040000}"/>
    <cellStyle name="—_RSA_Power projects" xfId="1080" xr:uid="{00000000-0005-0000-0000-000020040000}"/>
    <cellStyle name="—_RSA_price to book bphpiocl" xfId="1081" xr:uid="{00000000-0005-0000-0000-000021040000}"/>
    <cellStyle name="—_RSA_q" xfId="1082" xr:uid="{00000000-0005-0000-0000-000022040000}"/>
    <cellStyle name="—_RSA_Ref cap addns" xfId="1083" xr:uid="{00000000-0005-0000-0000-000023040000}"/>
    <cellStyle name="—_RSA_Reliance presentation" xfId="1084" xr:uid="{00000000-0005-0000-0000-000024040000}"/>
    <cellStyle name="—_RSA_ril_mar03_exhibits" xfId="1085" xr:uid="{00000000-0005-0000-0000-000025040000}"/>
    <cellStyle name="—_RSA_ril_may03_exhibits" xfId="1086" xr:uid="{00000000-0005-0000-0000-000026040000}"/>
    <cellStyle name="—_RSA_rilmstr" xfId="1087" xr:uid="{00000000-0005-0000-0000-000027040000}"/>
    <cellStyle name="—_RSA_RILMSTR " xfId="1088" xr:uid="{00000000-0005-0000-0000-000028040000}"/>
    <cellStyle name="—_RSA_sep26 oil bonds are coming" xfId="1089" xr:uid="{00000000-0005-0000-0000-000029040000}"/>
    <cellStyle name="—_RSA_Sheet1" xfId="1090" xr:uid="{00000000-0005-0000-0000-00002A040000}"/>
    <cellStyle name="—_RSA_Sheet2" xfId="1091" xr:uid="{00000000-0005-0000-0000-00002B040000}"/>
    <cellStyle name="—_RSA_Sobha Dec 2007 qtr" xfId="1092" xr:uid="{00000000-0005-0000-0000-00002C040000}"/>
    <cellStyle name="—_RSA_Unitech exhibits" xfId="1093" xr:uid="{00000000-0005-0000-0000-00002D040000}"/>
    <cellStyle name="—_RSA_Unitech Sept 2007 qtr" xfId="1094" xr:uid="{00000000-0005-0000-0000-00002E040000}"/>
    <cellStyle name="—_RSA_valuation" xfId="1095" xr:uid="{00000000-0005-0000-0000-00002F040000}"/>
    <cellStyle name="—_RSA_Voltas - exh sheet" xfId="1096" xr:uid="{00000000-0005-0000-0000-000030040000}"/>
    <cellStyle name="—_RSA_Weekly Input" xfId="1097" xr:uid="{00000000-0005-0000-0000-000031040000}"/>
    <cellStyle name="_Sadbhav Earnings Model" xfId="1098" xr:uid="{00000000-0005-0000-0000-000032040000}"/>
    <cellStyle name="_Sales" xfId="1099" xr:uid="{00000000-0005-0000-0000-000033040000}"/>
    <cellStyle name="_Sales 2" xfId="1100" xr:uid="{00000000-0005-0000-0000-000034040000}"/>
    <cellStyle name="_Satyam" xfId="1101" xr:uid="{00000000-0005-0000-0000-000035040000}"/>
    <cellStyle name="_Satyam 2" xfId="1102" xr:uid="{00000000-0005-0000-0000-000036040000}"/>
    <cellStyle name="_Satyam 3" xfId="1103" xr:uid="{00000000-0005-0000-0000-000037040000}"/>
    <cellStyle name="_Sector exhibits" xfId="1104" xr:uid="{00000000-0005-0000-0000-000038040000}"/>
    <cellStyle name="_sep27 update on refining margins" xfId="1105" xr:uid="{00000000-0005-0000-0000-000039040000}"/>
    <cellStyle name="_Sesa goa-Apr08" xfId="1106" xr:uid="{00000000-0005-0000-0000-00003A040000}"/>
    <cellStyle name="_Sheet1" xfId="1107" xr:uid="{00000000-0005-0000-0000-00003B040000}"/>
    <cellStyle name="_Snapshot" xfId="1108" xr:uid="{00000000-0005-0000-0000-00003C040000}"/>
    <cellStyle name="_sobha master" xfId="1109" xr:uid="{00000000-0005-0000-0000-00003D040000}"/>
    <cellStyle name="_sobha master April" xfId="1110" xr:uid="{00000000-0005-0000-0000-00003E040000}"/>
    <cellStyle name="_Steel exhibits" xfId="1111" xr:uid="{00000000-0005-0000-0000-00003F040000}"/>
    <cellStyle name="_Steel upgrade" xfId="1112" xr:uid="{00000000-0005-0000-0000-000040040000}"/>
    <cellStyle name="_Strat_Sterlite_Jan08" xfId="1113" xr:uid="{00000000-0005-0000-0000-000041040000}"/>
    <cellStyle name="_strategy 2008" xfId="1114" xr:uid="{00000000-0005-0000-0000-000042040000}"/>
    <cellStyle name="_strategy nov07" xfId="1115" xr:uid="{00000000-0005-0000-0000-000043040000}"/>
    <cellStyle name="_Strategy_Bhavesh" xfId="1116" xr:uid="{00000000-0005-0000-0000-000044040000}"/>
    <cellStyle name="_strategy_master" xfId="1117" xr:uid="{00000000-0005-0000-0000-000045040000}"/>
    <cellStyle name="_strategy_master_backup0ct07" xfId="1118" xr:uid="{00000000-0005-0000-0000-000046040000}"/>
    <cellStyle name="_Sub" xfId="1119" xr:uid="{00000000-0005-0000-0000-000047040000}"/>
    <cellStyle name="_Sub 2" xfId="1120" xr:uid="{00000000-0005-0000-0000-000048040000}"/>
    <cellStyle name="_SubHeading" xfId="1121" xr:uid="{00000000-0005-0000-0000-000049040000}"/>
    <cellStyle name="_SubHeading_prestemp" xfId="1122" xr:uid="{00000000-0005-0000-0000-00004A040000}"/>
    <cellStyle name="_suntv master" xfId="1123" xr:uid="{00000000-0005-0000-0000-00004B040000}"/>
    <cellStyle name="_Table" xfId="1124" xr:uid="{00000000-0005-0000-0000-00004C040000}"/>
    <cellStyle name="_Table_EZJ vs go" xfId="1125" xr:uid="{00000000-0005-0000-0000-00004D040000}"/>
    <cellStyle name="_Table_Financial Performance Benchmarking and Valuation(2)" xfId="1126" xr:uid="{00000000-0005-0000-0000-00004E040000}"/>
    <cellStyle name="_TableHead" xfId="1127" xr:uid="{00000000-0005-0000-0000-00004F040000}"/>
    <cellStyle name="_TableRowHead" xfId="1128" xr:uid="{00000000-0005-0000-0000-000050040000}"/>
    <cellStyle name="_TableSuperHead" xfId="1129" xr:uid="{00000000-0005-0000-0000-000051040000}"/>
    <cellStyle name="_TableSuperHead_EZJ vs go" xfId="1130" xr:uid="{00000000-0005-0000-0000-000052040000}"/>
    <cellStyle name="_TableSuperHead_Financial Performance Benchmarking and Valuation(2)" xfId="1131" xr:uid="{00000000-0005-0000-0000-000053040000}"/>
    <cellStyle name="_TATA" xfId="1132" xr:uid="{00000000-0005-0000-0000-000054040000}"/>
    <cellStyle name="_TATA 2" xfId="1133" xr:uid="{00000000-0005-0000-0000-000055040000}"/>
    <cellStyle name="_TATA 3" xfId="1134" xr:uid="{00000000-0005-0000-0000-000056040000}"/>
    <cellStyle name="_Tata Motors_Dec07_AA" xfId="1135" xr:uid="{00000000-0005-0000-0000-000057040000}"/>
    <cellStyle name="_Tata Motors_Exhibits_Dec07" xfId="1136" xr:uid="{00000000-0005-0000-0000-000058040000}"/>
    <cellStyle name="_Tata Motors_small car_11jan08" xfId="1137" xr:uid="{00000000-0005-0000-0000-000059040000}"/>
    <cellStyle name="_TATA_Aardvark" xfId="1138" xr:uid="{00000000-0005-0000-0000-00005A040000}"/>
    <cellStyle name="_TATA_Aardvark - BHEL" xfId="1139" xr:uid="{00000000-0005-0000-0000-00005B040000}"/>
    <cellStyle name="_TATA_Aardvark - L&amp;T" xfId="1140" xr:uid="{00000000-0005-0000-0000-00005C040000}"/>
    <cellStyle name="_TBBOM(~2 (2)" xfId="1141" xr:uid="{00000000-0005-0000-0000-00005D040000}"/>
    <cellStyle name="_Tbc_03_2001final" xfId="1142" xr:uid="{00000000-0005-0000-0000-00005E040000}"/>
    <cellStyle name="_TCS" xfId="1143" xr:uid="{00000000-0005-0000-0000-00005F040000}"/>
    <cellStyle name="_TCS 2" xfId="1144" xr:uid="{00000000-0005-0000-0000-000060040000}"/>
    <cellStyle name="_TCS 3" xfId="1145" xr:uid="{00000000-0005-0000-0000-000061040000}"/>
    <cellStyle name="_TCS Detail updateduptoyou" xfId="1146" xr:uid="{00000000-0005-0000-0000-000062040000}"/>
    <cellStyle name="—_Telecom quarterly_final" xfId="1147" xr:uid="{00000000-0005-0000-0000-000063040000}"/>
    <cellStyle name="_Templete Feb 2011" xfId="1148" xr:uid="{00000000-0005-0000-0000-000064040000}"/>
    <cellStyle name="_Templete Feb 2011 2" xfId="1149" xr:uid="{00000000-0005-0000-0000-000065040000}"/>
    <cellStyle name="_Templete Feb 2011 3" xfId="1150" xr:uid="{00000000-0005-0000-0000-000066040000}"/>
    <cellStyle name="_Unified model" xfId="1151" xr:uid="{00000000-0005-0000-0000-000067040000}"/>
    <cellStyle name="_unitech master" xfId="1152" xr:uid="{00000000-0005-0000-0000-000068040000}"/>
    <cellStyle name="_UNTP Model" xfId="1153" xr:uid="{00000000-0005-0000-0000-000069040000}"/>
    <cellStyle name="_VNTModellastestimates" xfId="1154" xr:uid="{00000000-0005-0000-0000-00006A040000}"/>
    <cellStyle name="_vol assumptions" xfId="1155" xr:uid="{00000000-0005-0000-0000-00006B040000}"/>
    <cellStyle name="_WACC" xfId="1156" xr:uid="{00000000-0005-0000-0000-00006C040000}"/>
    <cellStyle name="_WACC 2" xfId="1157" xr:uid="{00000000-0005-0000-0000-00006D040000}"/>
    <cellStyle name="_WAS" xfId="1158" xr:uid="{00000000-0005-0000-0000-00006E040000}"/>
    <cellStyle name="_WAS 2" xfId="1159" xr:uid="{00000000-0005-0000-0000-00006F040000}"/>
    <cellStyle name="’Ê‰Ý [0.00]_GE 3 MINIMUM" xfId="1160" xr:uid="{00000000-0005-0000-0000-000070040000}"/>
    <cellStyle name="’Ê‰Ý_GE 3 MINIMUM" xfId="1161" xr:uid="{00000000-0005-0000-0000-000071040000}"/>
    <cellStyle name="£ BP" xfId="1162" xr:uid="{00000000-0005-0000-0000-000072040000}"/>
    <cellStyle name="¤@¯ë_1101.TW" xfId="1163" xr:uid="{00000000-0005-0000-0000-000073040000}"/>
    <cellStyle name="¤d¤À¦ì[0]_1101.TW" xfId="1164" xr:uid="{00000000-0005-0000-0000-000074040000}"/>
    <cellStyle name="¤d¤À¦ì_1101.TW" xfId="1165" xr:uid="{00000000-0005-0000-0000-000075040000}"/>
    <cellStyle name="¥ JY" xfId="1166" xr:uid="{00000000-0005-0000-0000-000076040000}"/>
    <cellStyle name="=C:\WINNT\SYSTEM32\COMMAND.COM" xfId="1167" xr:uid="{00000000-0005-0000-0000-000077040000}"/>
    <cellStyle name="=C:\WINNT\SYSTEM32\COMMAND.COM 2" xfId="1168" xr:uid="{00000000-0005-0000-0000-000078040000}"/>
    <cellStyle name="=C:\WINNT\SYSTEM32\COMMAND.COM 2 2" xfId="1169" xr:uid="{00000000-0005-0000-0000-000079040000}"/>
    <cellStyle name="=C:\WINNT\SYSTEM32\COMMAND.COM 2 3" xfId="1170" xr:uid="{00000000-0005-0000-0000-00007A040000}"/>
    <cellStyle name="§Q\?1@" xfId="1171" xr:uid="{00000000-0005-0000-0000-00007B040000}"/>
    <cellStyle name="§Q\?1@ 2" xfId="1172" xr:uid="{00000000-0005-0000-0000-00007C040000}"/>
    <cellStyle name="§Q\?1@ 3" xfId="1173" xr:uid="{00000000-0005-0000-0000-00007D040000}"/>
    <cellStyle name="§Q\?1@ 3 2" xfId="1174" xr:uid="{00000000-0005-0000-0000-00007E040000}"/>
    <cellStyle name="§Q\?1@ 3 3" xfId="1175" xr:uid="{00000000-0005-0000-0000-00007F040000}"/>
    <cellStyle name="§Q\?1@_Ambit_Cummins" xfId="1176" xr:uid="{00000000-0005-0000-0000-000080040000}"/>
    <cellStyle name="§Q\òm1@À" xfId="1177" xr:uid="{00000000-0005-0000-0000-000081040000}"/>
    <cellStyle name="•W€_GE 3 MINIMUM" xfId="1178" xr:uid="{00000000-0005-0000-0000-000082040000}"/>
    <cellStyle name="0%" xfId="1179" xr:uid="{00000000-0005-0000-0000-000083040000}"/>
    <cellStyle name="0% - Accent6" xfId="1180" xr:uid="{00000000-0005-0000-0000-000084040000}"/>
    <cellStyle name="0,0_x000d__x000a_NA_x000d__x000a_" xfId="1181" xr:uid="{00000000-0005-0000-0000-000085040000}"/>
    <cellStyle name="0.0%" xfId="1182" xr:uid="{00000000-0005-0000-0000-000086040000}"/>
    <cellStyle name="0.00%" xfId="1183" xr:uid="{00000000-0005-0000-0000-000087040000}"/>
    <cellStyle name="03_Table Notes" xfId="1184" xr:uid="{00000000-0005-0000-0000-000088040000}"/>
    <cellStyle name="04_Table text" xfId="1185" xr:uid="{00000000-0005-0000-0000-000089040000}"/>
    <cellStyle name="0IsBlank" xfId="1186" xr:uid="{00000000-0005-0000-0000-00008A040000}"/>
    <cellStyle name="1 Decimal" xfId="1187" xr:uid="{00000000-0005-0000-0000-00008B040000}"/>
    <cellStyle name="1 dp" xfId="1188" xr:uid="{00000000-0005-0000-0000-00008C040000}"/>
    <cellStyle name="1,000" xfId="1189" xr:uid="{00000000-0005-0000-0000-00008D040000}"/>
    <cellStyle name="1,000x" xfId="1190" xr:uid="{00000000-0005-0000-0000-00008E040000}"/>
    <cellStyle name="10Q" xfId="1191" xr:uid="{00000000-0005-0000-0000-00008F040000}"/>
    <cellStyle name="12" xfId="1192" xr:uid="{00000000-0005-0000-0000-000090040000}"/>
    <cellStyle name="2 Decimals" xfId="1193" xr:uid="{00000000-0005-0000-0000-000091040000}"/>
    <cellStyle name="20% - Accent1 2" xfId="1194" xr:uid="{00000000-0005-0000-0000-000092040000}"/>
    <cellStyle name="20% - Accent1 2 2" xfId="1195" xr:uid="{00000000-0005-0000-0000-000093040000}"/>
    <cellStyle name="20% - Accent1 2 3" xfId="1196" xr:uid="{00000000-0005-0000-0000-000094040000}"/>
    <cellStyle name="20% - Accent1 2 4" xfId="1197" xr:uid="{00000000-0005-0000-0000-000095040000}"/>
    <cellStyle name="20% - Accent1 2 5" xfId="1198" xr:uid="{00000000-0005-0000-0000-000096040000}"/>
    <cellStyle name="20% - Accent1 2 6" xfId="1199" xr:uid="{00000000-0005-0000-0000-000097040000}"/>
    <cellStyle name="20% - Accent1 2 7" xfId="1200" xr:uid="{00000000-0005-0000-0000-000098040000}"/>
    <cellStyle name="20% - Accent1 3" xfId="1201" xr:uid="{00000000-0005-0000-0000-000099040000}"/>
    <cellStyle name="20% - Accent1 4" xfId="1202" xr:uid="{00000000-0005-0000-0000-00009A040000}"/>
    <cellStyle name="20% - Accent1 4 2" xfId="1203" xr:uid="{00000000-0005-0000-0000-00009B040000}"/>
    <cellStyle name="20% - Accent1 4 3" xfId="1204" xr:uid="{00000000-0005-0000-0000-00009C040000}"/>
    <cellStyle name="20% - Accent2 2" xfId="1205" xr:uid="{00000000-0005-0000-0000-00009D040000}"/>
    <cellStyle name="20% - Accent2 2 2" xfId="1206" xr:uid="{00000000-0005-0000-0000-00009E040000}"/>
    <cellStyle name="20% - Accent2 2 3" xfId="1207" xr:uid="{00000000-0005-0000-0000-00009F040000}"/>
    <cellStyle name="20% - Accent2 2 4" xfId="1208" xr:uid="{00000000-0005-0000-0000-0000A0040000}"/>
    <cellStyle name="20% - Accent2 2 5" xfId="1209" xr:uid="{00000000-0005-0000-0000-0000A1040000}"/>
    <cellStyle name="20% - Accent2 2 6" xfId="1210" xr:uid="{00000000-0005-0000-0000-0000A2040000}"/>
    <cellStyle name="20% - Accent2 2 7" xfId="1211" xr:uid="{00000000-0005-0000-0000-0000A3040000}"/>
    <cellStyle name="20% - Accent2 3" xfId="1212" xr:uid="{00000000-0005-0000-0000-0000A4040000}"/>
    <cellStyle name="20% - Accent2 4" xfId="1213" xr:uid="{00000000-0005-0000-0000-0000A5040000}"/>
    <cellStyle name="20% - Accent2 4 2" xfId="1214" xr:uid="{00000000-0005-0000-0000-0000A6040000}"/>
    <cellStyle name="20% - Accent2 4 3" xfId="1215" xr:uid="{00000000-0005-0000-0000-0000A7040000}"/>
    <cellStyle name="20% - Accent3 2" xfId="1216" xr:uid="{00000000-0005-0000-0000-0000A8040000}"/>
    <cellStyle name="20% - Accent3 2 2" xfId="1217" xr:uid="{00000000-0005-0000-0000-0000A9040000}"/>
    <cellStyle name="20% - Accent3 2 3" xfId="1218" xr:uid="{00000000-0005-0000-0000-0000AA040000}"/>
    <cellStyle name="20% - Accent3 2 4" xfId="1219" xr:uid="{00000000-0005-0000-0000-0000AB040000}"/>
    <cellStyle name="20% - Accent3 2 5" xfId="1220" xr:uid="{00000000-0005-0000-0000-0000AC040000}"/>
    <cellStyle name="20% - Accent3 2 6" xfId="1221" xr:uid="{00000000-0005-0000-0000-0000AD040000}"/>
    <cellStyle name="20% - Accent3 2 7" xfId="1222" xr:uid="{00000000-0005-0000-0000-0000AE040000}"/>
    <cellStyle name="20% - Accent3 3" xfId="1223" xr:uid="{00000000-0005-0000-0000-0000AF040000}"/>
    <cellStyle name="20% - Accent3 4" xfId="1224" xr:uid="{00000000-0005-0000-0000-0000B0040000}"/>
    <cellStyle name="20% - Accent3 4 2" xfId="1225" xr:uid="{00000000-0005-0000-0000-0000B1040000}"/>
    <cellStyle name="20% - Accent3 4 3" xfId="1226" xr:uid="{00000000-0005-0000-0000-0000B2040000}"/>
    <cellStyle name="20% - Accent4 2" xfId="1227" xr:uid="{00000000-0005-0000-0000-0000B3040000}"/>
    <cellStyle name="20% - Accent4 2 2" xfId="1228" xr:uid="{00000000-0005-0000-0000-0000B4040000}"/>
    <cellStyle name="20% - Accent4 2 3" xfId="1229" xr:uid="{00000000-0005-0000-0000-0000B5040000}"/>
    <cellStyle name="20% - Accent4 2 4" xfId="1230" xr:uid="{00000000-0005-0000-0000-0000B6040000}"/>
    <cellStyle name="20% - Accent4 2 5" xfId="1231" xr:uid="{00000000-0005-0000-0000-0000B7040000}"/>
    <cellStyle name="20% - Accent4 2 6" xfId="1232" xr:uid="{00000000-0005-0000-0000-0000B8040000}"/>
    <cellStyle name="20% - Accent4 2 7" xfId="1233" xr:uid="{00000000-0005-0000-0000-0000B9040000}"/>
    <cellStyle name="20% - Accent4 3" xfId="1234" xr:uid="{00000000-0005-0000-0000-0000BA040000}"/>
    <cellStyle name="20% - Accent4 4" xfId="1235" xr:uid="{00000000-0005-0000-0000-0000BB040000}"/>
    <cellStyle name="20% - Accent4 4 2" xfId="1236" xr:uid="{00000000-0005-0000-0000-0000BC040000}"/>
    <cellStyle name="20% - Accent4 4 3" xfId="1237" xr:uid="{00000000-0005-0000-0000-0000BD040000}"/>
    <cellStyle name="20% - Accent5 2" xfId="1238" xr:uid="{00000000-0005-0000-0000-0000BE040000}"/>
    <cellStyle name="20% - Accent5 2 2" xfId="1239" xr:uid="{00000000-0005-0000-0000-0000BF040000}"/>
    <cellStyle name="20% - Accent5 2 3" xfId="1240" xr:uid="{00000000-0005-0000-0000-0000C0040000}"/>
    <cellStyle name="20% - Accent5 2 4" xfId="1241" xr:uid="{00000000-0005-0000-0000-0000C1040000}"/>
    <cellStyle name="20% - Accent5 2 5" xfId="1242" xr:uid="{00000000-0005-0000-0000-0000C2040000}"/>
    <cellStyle name="20% - Accent5 2 6" xfId="1243" xr:uid="{00000000-0005-0000-0000-0000C3040000}"/>
    <cellStyle name="20% - Accent5 2 7" xfId="1244" xr:uid="{00000000-0005-0000-0000-0000C4040000}"/>
    <cellStyle name="20% - Accent5 3" xfId="1245" xr:uid="{00000000-0005-0000-0000-0000C5040000}"/>
    <cellStyle name="20% - Accent5 4" xfId="1246" xr:uid="{00000000-0005-0000-0000-0000C6040000}"/>
    <cellStyle name="20% - Accent5 4 2" xfId="1247" xr:uid="{00000000-0005-0000-0000-0000C7040000}"/>
    <cellStyle name="20% - Accent5 4 3" xfId="1248" xr:uid="{00000000-0005-0000-0000-0000C8040000}"/>
    <cellStyle name="20% - Accent6 2" xfId="1249" xr:uid="{00000000-0005-0000-0000-0000C9040000}"/>
    <cellStyle name="20% - Accent6 2 2" xfId="1250" xr:uid="{00000000-0005-0000-0000-0000CA040000}"/>
    <cellStyle name="20% - Accent6 2 3" xfId="1251" xr:uid="{00000000-0005-0000-0000-0000CB040000}"/>
    <cellStyle name="20% - Accent6 2 4" xfId="1252" xr:uid="{00000000-0005-0000-0000-0000CC040000}"/>
    <cellStyle name="20% - Accent6 2 5" xfId="1253" xr:uid="{00000000-0005-0000-0000-0000CD040000}"/>
    <cellStyle name="20% - Accent6 2 6" xfId="1254" xr:uid="{00000000-0005-0000-0000-0000CE040000}"/>
    <cellStyle name="20% - Accent6 2 7" xfId="1255" xr:uid="{00000000-0005-0000-0000-0000CF040000}"/>
    <cellStyle name="20% - Accent6 3" xfId="1256" xr:uid="{00000000-0005-0000-0000-0000D0040000}"/>
    <cellStyle name="20% - Accent6 4" xfId="1257" xr:uid="{00000000-0005-0000-0000-0000D1040000}"/>
    <cellStyle name="20% - Accent6 4 2" xfId="1258" xr:uid="{00000000-0005-0000-0000-0000D2040000}"/>
    <cellStyle name="20% - Accent6 4 3" xfId="1259" xr:uid="{00000000-0005-0000-0000-0000D3040000}"/>
    <cellStyle name="3 Decimals" xfId="1260" xr:uid="{00000000-0005-0000-0000-0000D4040000}"/>
    <cellStyle name="³f¹ô [0]_2021.TW" xfId="1261" xr:uid="{00000000-0005-0000-0000-0000D5040000}"/>
    <cellStyle name="3f1o [0]_capacity" xfId="1262" xr:uid="{00000000-0005-0000-0000-0000D6040000}"/>
    <cellStyle name="³f¹ô [0]_capacity" xfId="1263" xr:uid="{00000000-0005-0000-0000-0000D7040000}"/>
    <cellStyle name="³f¹ô[0]_1101.TW" xfId="1264" xr:uid="{00000000-0005-0000-0000-0000D8040000}"/>
    <cellStyle name="3f1o[0]_newchart" xfId="1265" xr:uid="{00000000-0005-0000-0000-0000D9040000}"/>
    <cellStyle name="³f¹ô[0]_newchart" xfId="1266" xr:uid="{00000000-0005-0000-0000-0000DA040000}"/>
    <cellStyle name="³f¹ô_1101.TW" xfId="1267" xr:uid="{00000000-0005-0000-0000-0000DB040000}"/>
    <cellStyle name="3f1o_capacity" xfId="1268" xr:uid="{00000000-0005-0000-0000-0000DC040000}"/>
    <cellStyle name="³f¹ô_capacity" xfId="1269" xr:uid="{00000000-0005-0000-0000-0000DD040000}"/>
    <cellStyle name="40% - Accent1 2" xfId="1270" xr:uid="{00000000-0005-0000-0000-0000DE040000}"/>
    <cellStyle name="40% - Accent1 2 2" xfId="1271" xr:uid="{00000000-0005-0000-0000-0000DF040000}"/>
    <cellStyle name="40% - Accent1 2 3" xfId="1272" xr:uid="{00000000-0005-0000-0000-0000E0040000}"/>
    <cellStyle name="40% - Accent1 2 4" xfId="1273" xr:uid="{00000000-0005-0000-0000-0000E1040000}"/>
    <cellStyle name="40% - Accent1 2 5" xfId="1274" xr:uid="{00000000-0005-0000-0000-0000E2040000}"/>
    <cellStyle name="40% - Accent1 2 6" xfId="1275" xr:uid="{00000000-0005-0000-0000-0000E3040000}"/>
    <cellStyle name="40% - Accent1 2 7" xfId="1276" xr:uid="{00000000-0005-0000-0000-0000E4040000}"/>
    <cellStyle name="40% - Accent1 3" xfId="1277" xr:uid="{00000000-0005-0000-0000-0000E5040000}"/>
    <cellStyle name="40% - Accent1 4" xfId="1278" xr:uid="{00000000-0005-0000-0000-0000E6040000}"/>
    <cellStyle name="40% - Accent1 4 2" xfId="1279" xr:uid="{00000000-0005-0000-0000-0000E7040000}"/>
    <cellStyle name="40% - Accent1 4 3" xfId="1280" xr:uid="{00000000-0005-0000-0000-0000E8040000}"/>
    <cellStyle name="40% - Accent2 2" xfId="1281" xr:uid="{00000000-0005-0000-0000-0000E9040000}"/>
    <cellStyle name="40% - Accent2 2 2" xfId="1282" xr:uid="{00000000-0005-0000-0000-0000EA040000}"/>
    <cellStyle name="40% - Accent2 2 3" xfId="1283" xr:uid="{00000000-0005-0000-0000-0000EB040000}"/>
    <cellStyle name="40% - Accent2 2 4" xfId="1284" xr:uid="{00000000-0005-0000-0000-0000EC040000}"/>
    <cellStyle name="40% - Accent2 2 5" xfId="1285" xr:uid="{00000000-0005-0000-0000-0000ED040000}"/>
    <cellStyle name="40% - Accent2 2 6" xfId="1286" xr:uid="{00000000-0005-0000-0000-0000EE040000}"/>
    <cellStyle name="40% - Accent2 2 7" xfId="1287" xr:uid="{00000000-0005-0000-0000-0000EF040000}"/>
    <cellStyle name="40% - Accent2 3" xfId="1288" xr:uid="{00000000-0005-0000-0000-0000F0040000}"/>
    <cellStyle name="40% - Accent2 4" xfId="1289" xr:uid="{00000000-0005-0000-0000-0000F1040000}"/>
    <cellStyle name="40% - Accent2 4 2" xfId="1290" xr:uid="{00000000-0005-0000-0000-0000F2040000}"/>
    <cellStyle name="40% - Accent2 4 3" xfId="1291" xr:uid="{00000000-0005-0000-0000-0000F3040000}"/>
    <cellStyle name="40% - Accent3 2" xfId="1292" xr:uid="{00000000-0005-0000-0000-0000F4040000}"/>
    <cellStyle name="40% - Accent3 2 2" xfId="1293" xr:uid="{00000000-0005-0000-0000-0000F5040000}"/>
    <cellStyle name="40% - Accent3 2 3" xfId="1294" xr:uid="{00000000-0005-0000-0000-0000F6040000}"/>
    <cellStyle name="40% - Accent3 2 4" xfId="1295" xr:uid="{00000000-0005-0000-0000-0000F7040000}"/>
    <cellStyle name="40% - Accent3 2 5" xfId="1296" xr:uid="{00000000-0005-0000-0000-0000F8040000}"/>
    <cellStyle name="40% - Accent3 2 6" xfId="1297" xr:uid="{00000000-0005-0000-0000-0000F9040000}"/>
    <cellStyle name="40% - Accent3 2 7" xfId="1298" xr:uid="{00000000-0005-0000-0000-0000FA040000}"/>
    <cellStyle name="40% - Accent3 3" xfId="1299" xr:uid="{00000000-0005-0000-0000-0000FB040000}"/>
    <cellStyle name="40% - Accent3 4" xfId="1300" xr:uid="{00000000-0005-0000-0000-0000FC040000}"/>
    <cellStyle name="40% - Accent3 4 2" xfId="1301" xr:uid="{00000000-0005-0000-0000-0000FD040000}"/>
    <cellStyle name="40% - Accent3 4 3" xfId="1302" xr:uid="{00000000-0005-0000-0000-0000FE040000}"/>
    <cellStyle name="40% - Accent4 2" xfId="1303" xr:uid="{00000000-0005-0000-0000-0000FF040000}"/>
    <cellStyle name="40% - Accent4 2 2" xfId="1304" xr:uid="{00000000-0005-0000-0000-000000050000}"/>
    <cellStyle name="40% - Accent4 2 3" xfId="1305" xr:uid="{00000000-0005-0000-0000-000001050000}"/>
    <cellStyle name="40% - Accent4 2 4" xfId="1306" xr:uid="{00000000-0005-0000-0000-000002050000}"/>
    <cellStyle name="40% - Accent4 2 5" xfId="1307" xr:uid="{00000000-0005-0000-0000-000003050000}"/>
    <cellStyle name="40% - Accent4 2 6" xfId="1308" xr:uid="{00000000-0005-0000-0000-000004050000}"/>
    <cellStyle name="40% - Accent4 2 7" xfId="1309" xr:uid="{00000000-0005-0000-0000-000005050000}"/>
    <cellStyle name="40% - Accent4 3" xfId="1310" xr:uid="{00000000-0005-0000-0000-000006050000}"/>
    <cellStyle name="40% - Accent4 4" xfId="1311" xr:uid="{00000000-0005-0000-0000-000007050000}"/>
    <cellStyle name="40% - Accent4 4 2" xfId="1312" xr:uid="{00000000-0005-0000-0000-000008050000}"/>
    <cellStyle name="40% - Accent4 4 3" xfId="1313" xr:uid="{00000000-0005-0000-0000-000009050000}"/>
    <cellStyle name="40% - Accent5 2" xfId="1314" xr:uid="{00000000-0005-0000-0000-00000A050000}"/>
    <cellStyle name="40% - Accent5 2 2" xfId="1315" xr:uid="{00000000-0005-0000-0000-00000B050000}"/>
    <cellStyle name="40% - Accent5 2 3" xfId="1316" xr:uid="{00000000-0005-0000-0000-00000C050000}"/>
    <cellStyle name="40% - Accent5 2 4" xfId="1317" xr:uid="{00000000-0005-0000-0000-00000D050000}"/>
    <cellStyle name="40% - Accent5 2 5" xfId="1318" xr:uid="{00000000-0005-0000-0000-00000E050000}"/>
    <cellStyle name="40% - Accent5 2 6" xfId="1319" xr:uid="{00000000-0005-0000-0000-00000F050000}"/>
    <cellStyle name="40% - Accent5 2 7" xfId="1320" xr:uid="{00000000-0005-0000-0000-000010050000}"/>
    <cellStyle name="40% - Accent5 3" xfId="1321" xr:uid="{00000000-0005-0000-0000-000011050000}"/>
    <cellStyle name="40% - Accent5 4" xfId="1322" xr:uid="{00000000-0005-0000-0000-000012050000}"/>
    <cellStyle name="40% - Accent5 4 2" xfId="1323" xr:uid="{00000000-0005-0000-0000-000013050000}"/>
    <cellStyle name="40% - Accent5 4 3" xfId="1324" xr:uid="{00000000-0005-0000-0000-000014050000}"/>
    <cellStyle name="40% - Accent6 2" xfId="1325" xr:uid="{00000000-0005-0000-0000-000015050000}"/>
    <cellStyle name="40% - Accent6 2 2" xfId="1326" xr:uid="{00000000-0005-0000-0000-000016050000}"/>
    <cellStyle name="40% - Accent6 2 3" xfId="1327" xr:uid="{00000000-0005-0000-0000-000017050000}"/>
    <cellStyle name="40% - Accent6 2 4" xfId="1328" xr:uid="{00000000-0005-0000-0000-000018050000}"/>
    <cellStyle name="40% - Accent6 2 5" xfId="1329" xr:uid="{00000000-0005-0000-0000-000019050000}"/>
    <cellStyle name="40% - Accent6 2 6" xfId="1330" xr:uid="{00000000-0005-0000-0000-00001A050000}"/>
    <cellStyle name="40% - Accent6 2 7" xfId="1331" xr:uid="{00000000-0005-0000-0000-00001B050000}"/>
    <cellStyle name="40% - Accent6 3" xfId="1332" xr:uid="{00000000-0005-0000-0000-00001C050000}"/>
    <cellStyle name="40% - Accent6 4" xfId="1333" xr:uid="{00000000-0005-0000-0000-00001D050000}"/>
    <cellStyle name="40% - Accent6 4 2" xfId="1334" xr:uid="{00000000-0005-0000-0000-00001E050000}"/>
    <cellStyle name="40% - Accent6 4 3" xfId="1335" xr:uid="{00000000-0005-0000-0000-00001F050000}"/>
    <cellStyle name="60% - Accent1 2" xfId="1336" xr:uid="{00000000-0005-0000-0000-000020050000}"/>
    <cellStyle name="60% - Accent1 2 2" xfId="1337" xr:uid="{00000000-0005-0000-0000-000021050000}"/>
    <cellStyle name="60% - Accent1 2 3" xfId="1338" xr:uid="{00000000-0005-0000-0000-000022050000}"/>
    <cellStyle name="60% - Accent1 3" xfId="1339" xr:uid="{00000000-0005-0000-0000-000023050000}"/>
    <cellStyle name="60% - Accent1 4" xfId="1340" xr:uid="{00000000-0005-0000-0000-000024050000}"/>
    <cellStyle name="60% - Accent1 4 2" xfId="1341" xr:uid="{00000000-0005-0000-0000-000025050000}"/>
    <cellStyle name="60% - Accent1 4 3" xfId="1342" xr:uid="{00000000-0005-0000-0000-000026050000}"/>
    <cellStyle name="60% - Accent2 2" xfId="1343" xr:uid="{00000000-0005-0000-0000-000027050000}"/>
    <cellStyle name="60% - Accent2 2 2" xfId="1344" xr:uid="{00000000-0005-0000-0000-000028050000}"/>
    <cellStyle name="60% - Accent2 2 3" xfId="1345" xr:uid="{00000000-0005-0000-0000-000029050000}"/>
    <cellStyle name="60% - Accent2 3" xfId="1346" xr:uid="{00000000-0005-0000-0000-00002A050000}"/>
    <cellStyle name="60% - Accent2 4" xfId="1347" xr:uid="{00000000-0005-0000-0000-00002B050000}"/>
    <cellStyle name="60% - Accent2 4 2" xfId="1348" xr:uid="{00000000-0005-0000-0000-00002C050000}"/>
    <cellStyle name="60% - Accent2 4 3" xfId="1349" xr:uid="{00000000-0005-0000-0000-00002D050000}"/>
    <cellStyle name="60% - Accent3 2" xfId="1350" xr:uid="{00000000-0005-0000-0000-00002E050000}"/>
    <cellStyle name="60% - Accent3 2 2" xfId="1351" xr:uid="{00000000-0005-0000-0000-00002F050000}"/>
    <cellStyle name="60% - Accent3 2 3" xfId="1352" xr:uid="{00000000-0005-0000-0000-000030050000}"/>
    <cellStyle name="60% - Accent3 3" xfId="1353" xr:uid="{00000000-0005-0000-0000-000031050000}"/>
    <cellStyle name="60% - Accent3 4" xfId="1354" xr:uid="{00000000-0005-0000-0000-000032050000}"/>
    <cellStyle name="60% - Accent3 4 2" xfId="1355" xr:uid="{00000000-0005-0000-0000-000033050000}"/>
    <cellStyle name="60% - Accent3 4 3" xfId="1356" xr:uid="{00000000-0005-0000-0000-000034050000}"/>
    <cellStyle name="60% - Accent4 2" xfId="1357" xr:uid="{00000000-0005-0000-0000-000035050000}"/>
    <cellStyle name="60% - Accent4 2 2" xfId="1358" xr:uid="{00000000-0005-0000-0000-000036050000}"/>
    <cellStyle name="60% - Accent4 2 3" xfId="1359" xr:uid="{00000000-0005-0000-0000-000037050000}"/>
    <cellStyle name="60% - Accent4 3" xfId="1360" xr:uid="{00000000-0005-0000-0000-000038050000}"/>
    <cellStyle name="60% - Accent4 4" xfId="1361" xr:uid="{00000000-0005-0000-0000-000039050000}"/>
    <cellStyle name="60% - Accent4 4 2" xfId="1362" xr:uid="{00000000-0005-0000-0000-00003A050000}"/>
    <cellStyle name="60% - Accent4 4 3" xfId="1363" xr:uid="{00000000-0005-0000-0000-00003B050000}"/>
    <cellStyle name="60% - Accent5 2" xfId="1364" xr:uid="{00000000-0005-0000-0000-00003C050000}"/>
    <cellStyle name="60% - Accent5 2 2" xfId="1365" xr:uid="{00000000-0005-0000-0000-00003D050000}"/>
    <cellStyle name="60% - Accent5 2 3" xfId="1366" xr:uid="{00000000-0005-0000-0000-00003E050000}"/>
    <cellStyle name="60% - Accent5 3" xfId="1367" xr:uid="{00000000-0005-0000-0000-00003F050000}"/>
    <cellStyle name="60% - Accent5 4" xfId="1368" xr:uid="{00000000-0005-0000-0000-000040050000}"/>
    <cellStyle name="60% - Accent5 4 2" xfId="1369" xr:uid="{00000000-0005-0000-0000-000041050000}"/>
    <cellStyle name="60% - Accent5 4 3" xfId="1370" xr:uid="{00000000-0005-0000-0000-000042050000}"/>
    <cellStyle name="60% - Accent6 2" xfId="1371" xr:uid="{00000000-0005-0000-0000-000043050000}"/>
    <cellStyle name="60% - Accent6 2 2" xfId="1372" xr:uid="{00000000-0005-0000-0000-000044050000}"/>
    <cellStyle name="60% - Accent6 2 3" xfId="1373" xr:uid="{00000000-0005-0000-0000-000045050000}"/>
    <cellStyle name="60% - Accent6 3" xfId="1374" xr:uid="{00000000-0005-0000-0000-000046050000}"/>
    <cellStyle name="60% - Accent6 4" xfId="1375" xr:uid="{00000000-0005-0000-0000-000047050000}"/>
    <cellStyle name="60% - Accent6 4 2" xfId="1376" xr:uid="{00000000-0005-0000-0000-000048050000}"/>
    <cellStyle name="60% - Accent6 4 3" xfId="1377" xr:uid="{00000000-0005-0000-0000-000049050000}"/>
    <cellStyle name="A_Normal" xfId="1378" xr:uid="{00000000-0005-0000-0000-00004A050000}"/>
    <cellStyle name="A_YearHeadings" xfId="1379" xr:uid="{00000000-0005-0000-0000-00004B050000}"/>
    <cellStyle name="Accent1 - 20%" xfId="1380" xr:uid="{00000000-0005-0000-0000-00004C050000}"/>
    <cellStyle name="Accent1 - 40%" xfId="1381" xr:uid="{00000000-0005-0000-0000-00004D050000}"/>
    <cellStyle name="Accent1 - 60%" xfId="1382" xr:uid="{00000000-0005-0000-0000-00004E050000}"/>
    <cellStyle name="Accent1 2" xfId="1383" xr:uid="{00000000-0005-0000-0000-00004F050000}"/>
    <cellStyle name="Accent1 2 2" xfId="1384" xr:uid="{00000000-0005-0000-0000-000050050000}"/>
    <cellStyle name="Accent1 2 3" xfId="1385" xr:uid="{00000000-0005-0000-0000-000051050000}"/>
    <cellStyle name="Accent1 3" xfId="1386" xr:uid="{00000000-0005-0000-0000-000052050000}"/>
    <cellStyle name="Accent1 4" xfId="1387" xr:uid="{00000000-0005-0000-0000-000053050000}"/>
    <cellStyle name="Accent1 4 2" xfId="1388" xr:uid="{00000000-0005-0000-0000-000054050000}"/>
    <cellStyle name="Accent1 4 3" xfId="1389" xr:uid="{00000000-0005-0000-0000-000055050000}"/>
    <cellStyle name="Accent2 - 20%" xfId="1390" xr:uid="{00000000-0005-0000-0000-000056050000}"/>
    <cellStyle name="Accent2 - 40%" xfId="1391" xr:uid="{00000000-0005-0000-0000-000057050000}"/>
    <cellStyle name="Accent2 - 60%" xfId="1392" xr:uid="{00000000-0005-0000-0000-000058050000}"/>
    <cellStyle name="Accent2 2" xfId="1393" xr:uid="{00000000-0005-0000-0000-000059050000}"/>
    <cellStyle name="Accent2 2 2" xfId="1394" xr:uid="{00000000-0005-0000-0000-00005A050000}"/>
    <cellStyle name="Accent2 2 3" xfId="1395" xr:uid="{00000000-0005-0000-0000-00005B050000}"/>
    <cellStyle name="Accent2 3" xfId="1396" xr:uid="{00000000-0005-0000-0000-00005C050000}"/>
    <cellStyle name="Accent2 4" xfId="1397" xr:uid="{00000000-0005-0000-0000-00005D050000}"/>
    <cellStyle name="Accent2 4 2" xfId="1398" xr:uid="{00000000-0005-0000-0000-00005E050000}"/>
    <cellStyle name="Accent2 4 3" xfId="1399" xr:uid="{00000000-0005-0000-0000-00005F050000}"/>
    <cellStyle name="Accent3 - 20%" xfId="1400" xr:uid="{00000000-0005-0000-0000-000060050000}"/>
    <cellStyle name="Accent3 - 40%" xfId="1401" xr:uid="{00000000-0005-0000-0000-000061050000}"/>
    <cellStyle name="Accent3 - 60%" xfId="1402" xr:uid="{00000000-0005-0000-0000-000062050000}"/>
    <cellStyle name="Accent3 2" xfId="1403" xr:uid="{00000000-0005-0000-0000-000063050000}"/>
    <cellStyle name="Accent3 2 2" xfId="1404" xr:uid="{00000000-0005-0000-0000-000064050000}"/>
    <cellStyle name="Accent3 2 3" xfId="1405" xr:uid="{00000000-0005-0000-0000-000065050000}"/>
    <cellStyle name="Accent3 3" xfId="1406" xr:uid="{00000000-0005-0000-0000-000066050000}"/>
    <cellStyle name="Accent3 4" xfId="1407" xr:uid="{00000000-0005-0000-0000-000067050000}"/>
    <cellStyle name="Accent3 4 2" xfId="1408" xr:uid="{00000000-0005-0000-0000-000068050000}"/>
    <cellStyle name="Accent3 4 3" xfId="1409" xr:uid="{00000000-0005-0000-0000-000069050000}"/>
    <cellStyle name="Accent4 - 20%" xfId="1410" xr:uid="{00000000-0005-0000-0000-00006A050000}"/>
    <cellStyle name="Accent4 - 40%" xfId="1411" xr:uid="{00000000-0005-0000-0000-00006B050000}"/>
    <cellStyle name="Accent4 - 60%" xfId="1412" xr:uid="{00000000-0005-0000-0000-00006C050000}"/>
    <cellStyle name="Accent4 2" xfId="1413" xr:uid="{00000000-0005-0000-0000-00006D050000}"/>
    <cellStyle name="Accent4 2 2" xfId="1414" xr:uid="{00000000-0005-0000-0000-00006E050000}"/>
    <cellStyle name="Accent4 2 3" xfId="1415" xr:uid="{00000000-0005-0000-0000-00006F050000}"/>
    <cellStyle name="Accent4 3" xfId="1416" xr:uid="{00000000-0005-0000-0000-000070050000}"/>
    <cellStyle name="Accent4 4" xfId="1417" xr:uid="{00000000-0005-0000-0000-000071050000}"/>
    <cellStyle name="Accent4 4 2" xfId="1418" xr:uid="{00000000-0005-0000-0000-000072050000}"/>
    <cellStyle name="Accent4 4 3" xfId="1419" xr:uid="{00000000-0005-0000-0000-000073050000}"/>
    <cellStyle name="Accent5 - 20%" xfId="1420" xr:uid="{00000000-0005-0000-0000-000074050000}"/>
    <cellStyle name="Accent5 - 40%" xfId="1421" xr:uid="{00000000-0005-0000-0000-000075050000}"/>
    <cellStyle name="Accent5 - 60%" xfId="1422" xr:uid="{00000000-0005-0000-0000-000076050000}"/>
    <cellStyle name="Accent5 2" xfId="1423" xr:uid="{00000000-0005-0000-0000-000077050000}"/>
    <cellStyle name="Accent5 2 2" xfId="1424" xr:uid="{00000000-0005-0000-0000-000078050000}"/>
    <cellStyle name="Accent5 2 3" xfId="1425" xr:uid="{00000000-0005-0000-0000-000079050000}"/>
    <cellStyle name="Accent5 3" xfId="1426" xr:uid="{00000000-0005-0000-0000-00007A050000}"/>
    <cellStyle name="Accent5 4" xfId="1427" xr:uid="{00000000-0005-0000-0000-00007B050000}"/>
    <cellStyle name="Accent5 4 2" xfId="1428" xr:uid="{00000000-0005-0000-0000-00007C050000}"/>
    <cellStyle name="Accent5 4 3" xfId="1429" xr:uid="{00000000-0005-0000-0000-00007D050000}"/>
    <cellStyle name="Accent6 - 20%" xfId="1430" xr:uid="{00000000-0005-0000-0000-00007E050000}"/>
    <cellStyle name="Accent6 - 40%" xfId="1431" xr:uid="{00000000-0005-0000-0000-00007F050000}"/>
    <cellStyle name="Accent6 - 60%" xfId="1432" xr:uid="{00000000-0005-0000-0000-000080050000}"/>
    <cellStyle name="Accent6 2" xfId="1433" xr:uid="{00000000-0005-0000-0000-000081050000}"/>
    <cellStyle name="Accent6 2 2" xfId="1434" xr:uid="{00000000-0005-0000-0000-000082050000}"/>
    <cellStyle name="Accent6 2 3" xfId="1435" xr:uid="{00000000-0005-0000-0000-000083050000}"/>
    <cellStyle name="Accent6 3" xfId="1436" xr:uid="{00000000-0005-0000-0000-000084050000}"/>
    <cellStyle name="Accent6 4" xfId="1437" xr:uid="{00000000-0005-0000-0000-000085050000}"/>
    <cellStyle name="Accent6 4 2" xfId="1438" xr:uid="{00000000-0005-0000-0000-000086050000}"/>
    <cellStyle name="Accent6 4 3" xfId="1439" xr:uid="{00000000-0005-0000-0000-000087050000}"/>
    <cellStyle name="Account[0]" xfId="1440" xr:uid="{00000000-0005-0000-0000-000088050000}"/>
    <cellStyle name="Account[1]" xfId="1441" xr:uid="{00000000-0005-0000-0000-000089050000}"/>
    <cellStyle name="Account[2]" xfId="1442" xr:uid="{00000000-0005-0000-0000-00008A050000}"/>
    <cellStyle name="Account[3]" xfId="1443" xr:uid="{00000000-0005-0000-0000-00008B050000}"/>
    <cellStyle name="Acquisition" xfId="1444" xr:uid="{00000000-0005-0000-0000-00008C050000}"/>
    <cellStyle name="Actual" xfId="1445" xr:uid="{00000000-0005-0000-0000-00008D050000}"/>
    <cellStyle name="Actual 2" xfId="1446" xr:uid="{00000000-0005-0000-0000-00008E050000}"/>
    <cellStyle name="Actual data" xfId="1447" xr:uid="{00000000-0005-0000-0000-00008F050000}"/>
    <cellStyle name="Actual year" xfId="1448" xr:uid="{00000000-0005-0000-0000-000090050000}"/>
    <cellStyle name="Actuals Cells" xfId="1449" xr:uid="{00000000-0005-0000-0000-000091050000}"/>
    <cellStyle name="ÅëÈ­ [0]_Book3" xfId="1450" xr:uid="{00000000-0005-0000-0000-000092050000}"/>
    <cellStyle name="ÅëÈ­_Book3" xfId="1451" xr:uid="{00000000-0005-0000-0000-000093050000}"/>
    <cellStyle name="AFE" xfId="1452" xr:uid="{00000000-0005-0000-0000-000094050000}"/>
    <cellStyle name="ANALYST" xfId="1453" xr:uid="{00000000-0005-0000-0000-000095050000}"/>
    <cellStyle name="Analyst Name" xfId="1454" xr:uid="{00000000-0005-0000-0000-000096050000}"/>
    <cellStyle name="Ȧormal_VALC" xfId="1455" xr:uid="{00000000-0005-0000-0000-000097050000}"/>
    <cellStyle name="args.style" xfId="1456" xr:uid="{00000000-0005-0000-0000-000098050000}"/>
    <cellStyle name="Arial 10" xfId="1457" xr:uid="{00000000-0005-0000-0000-000099050000}"/>
    <cellStyle name="Arial 10 2" xfId="1458" xr:uid="{00000000-0005-0000-0000-00009A050000}"/>
    <cellStyle name="Arial 12" xfId="1459" xr:uid="{00000000-0005-0000-0000-00009B050000}"/>
    <cellStyle name="Arial10" xfId="1460" xr:uid="{00000000-0005-0000-0000-00009C050000}"/>
    <cellStyle name="Arial6Bold" xfId="1461" xr:uid="{00000000-0005-0000-0000-00009D050000}"/>
    <cellStyle name="Arial8Bold" xfId="1462" xr:uid="{00000000-0005-0000-0000-00009E050000}"/>
    <cellStyle name="Arial8Italic" xfId="1463" xr:uid="{00000000-0005-0000-0000-00009F050000}"/>
    <cellStyle name="ArialNormal" xfId="1464" xr:uid="{00000000-0005-0000-0000-0000A0050000}"/>
    <cellStyle name="Availability" xfId="1465" xr:uid="{00000000-0005-0000-0000-0000A1050000}"/>
    <cellStyle name="b" xfId="1466" xr:uid="{00000000-0005-0000-0000-0000A2050000}"/>
    <cellStyle name="b_Acme master" xfId="1467" xr:uid="{00000000-0005-0000-0000-0000A3050000}"/>
    <cellStyle name="b_alpha bet sep07" xfId="1468" xr:uid="{00000000-0005-0000-0000-0000A4050000}"/>
    <cellStyle name="B_bharti_master" xfId="1469" xr:uid="{00000000-0005-0000-0000-0000A5050000}"/>
    <cellStyle name="B_Book1" xfId="1470" xr:uid="{00000000-0005-0000-0000-0000A6050000}"/>
    <cellStyle name="B_Book1 (2)" xfId="1471" xr:uid="{00000000-0005-0000-0000-0000A7050000}"/>
    <cellStyle name="B_Book2 (2)" xfId="1472" xr:uid="{00000000-0005-0000-0000-0000A8050000}"/>
    <cellStyle name="B_Book3" xfId="1473" xr:uid="{00000000-0005-0000-0000-0000A9050000}"/>
    <cellStyle name="B_Embedded value exhibits" xfId="1474" xr:uid="{00000000-0005-0000-0000-0000AA050000}"/>
    <cellStyle name="b_exhibits" xfId="1475" xr:uid="{00000000-0005-0000-0000-0000AB050000}"/>
    <cellStyle name="b_exhibits_tech" xfId="1476" xr:uid="{00000000-0005-0000-0000-0000AC050000}"/>
    <cellStyle name="b_idea exhibits mar07" xfId="1477" xr:uid="{00000000-0005-0000-0000-0000AD050000}"/>
    <cellStyle name="b_idea exhibits mar07_1" xfId="1478" xr:uid="{00000000-0005-0000-0000-0000AE050000}"/>
    <cellStyle name="B_idea exhibits mar07_alpha bet sep07" xfId="1479" xr:uid="{00000000-0005-0000-0000-0000AF050000}"/>
    <cellStyle name="b_idea exhibits mar07_apr30 4QFY07 results review bharti" xfId="1480" xr:uid="{00000000-0005-0000-0000-0000B0050000}"/>
    <cellStyle name="B_idea exhibits mar07_exhibits" xfId="1481" xr:uid="{00000000-0005-0000-0000-0000B1050000}"/>
    <cellStyle name="B_idea exhibits mar07_exhibits_tech" xfId="1482" xr:uid="{00000000-0005-0000-0000-0000B2050000}"/>
    <cellStyle name="b_idea exhibits mar07_IT quarterly_exhibits_Jun07" xfId="1483" xr:uid="{00000000-0005-0000-0000-0000B3050000}"/>
    <cellStyle name="b_idea exhibits mar07_jan 19 3QFY08 results review" xfId="1484" xr:uid="{00000000-0005-0000-0000-0000B4050000}"/>
    <cellStyle name="B_idea exhibits mar07_jan 21 3QFY08 results call highlights" xfId="1485" xr:uid="{00000000-0005-0000-0000-0000B5050000}"/>
    <cellStyle name="b_idea exhibits mar07_July04_present_tables_linknew" xfId="1486" xr:uid="{00000000-0005-0000-0000-0000B6050000}"/>
    <cellStyle name="B_idea exhibits mar07_may01 4QFY07 results review rcl" xfId="1487" xr:uid="{00000000-0005-0000-0000-0000B7050000}"/>
    <cellStyle name="B_idea exhibits mar07_may05 telecom tables for strategy" xfId="1488" xr:uid="{00000000-0005-0000-0000-0000B8050000}"/>
    <cellStyle name="B_idea exhibits mar07_oct22 premium to bharti unsustainable" xfId="1489" xr:uid="{00000000-0005-0000-0000-0000B9050000}"/>
    <cellStyle name="b_idea exhibits mar07_presentation charts-GSIC" xfId="1490" xr:uid="{00000000-0005-0000-0000-0000BA050000}"/>
    <cellStyle name="b_idea exhibits mar07_Pricing sensitivity" xfId="1491" xr:uid="{00000000-0005-0000-0000-0000BB050000}"/>
    <cellStyle name="B_idea exhibits mar07_reverse dcf" xfId="1492" xr:uid="{00000000-0005-0000-0000-0000BC050000}"/>
    <cellStyle name="b_idea exhibits mar07_sep10 spectrum update" xfId="1493" xr:uid="{00000000-0005-0000-0000-0000BD050000}"/>
    <cellStyle name="b_idea exhibits mar07_strategy aug07" xfId="1494" xr:uid="{00000000-0005-0000-0000-0000BE050000}"/>
    <cellStyle name="b_idea exhibits mar07_strategy_master" xfId="1495" xr:uid="{00000000-0005-0000-0000-0000BF050000}"/>
    <cellStyle name="b_IDEA master" xfId="1496" xr:uid="{00000000-0005-0000-0000-0000C0050000}"/>
    <cellStyle name="b_IDEA master apr07" xfId="1497" xr:uid="{00000000-0005-0000-0000-0000C1050000}"/>
    <cellStyle name="b_IDEA master jan08" xfId="1498" xr:uid="{00000000-0005-0000-0000-0000C2050000}"/>
    <cellStyle name="b_IDEA master oct07" xfId="1499" xr:uid="{00000000-0005-0000-0000-0000C3050000}"/>
    <cellStyle name="B_IT quarterly_exhibits_Jun07" xfId="1500" xr:uid="{00000000-0005-0000-0000-0000C4050000}"/>
    <cellStyle name="B_IT stress case" xfId="1501" xr:uid="{00000000-0005-0000-0000-0000C5050000}"/>
    <cellStyle name="B_IT stress case (3)" xfId="1502" xr:uid="{00000000-0005-0000-0000-0000C6050000}"/>
    <cellStyle name="B_jan 21 3QFY08 results call highlights" xfId="1503" xr:uid="{00000000-0005-0000-0000-0000C7050000}"/>
    <cellStyle name="B_July04_present_tables_link" xfId="1504" xr:uid="{00000000-0005-0000-0000-0000C8050000}"/>
    <cellStyle name="B_July04_present_tables_linknew" xfId="1505" xr:uid="{00000000-0005-0000-0000-0000C9050000}"/>
    <cellStyle name="B_may05 telecom tables for strategy" xfId="1506" xr:uid="{00000000-0005-0000-0000-0000CA050000}"/>
    <cellStyle name="b_MS=Godrej Exhibits" xfId="1507" xr:uid="{00000000-0005-0000-0000-0000CB050000}"/>
    <cellStyle name="B_Nov 19 impact of reduction in tariff" xfId="1508" xr:uid="{00000000-0005-0000-0000-0000CC050000}"/>
    <cellStyle name="B_presentation charts-GSIC" xfId="1509" xr:uid="{00000000-0005-0000-0000-0000CD050000}"/>
    <cellStyle name="B_Pricing sensitivity" xfId="1510" xr:uid="{00000000-0005-0000-0000-0000CE050000}"/>
    <cellStyle name="B_rcl exhibits nov06" xfId="1511" xr:uid="{00000000-0005-0000-0000-0000CF050000}"/>
    <cellStyle name="b_RCL_4qfy07_results_exhibit" xfId="1512" xr:uid="{00000000-0005-0000-0000-0000D0050000}"/>
    <cellStyle name="b_RCOM master" xfId="1513" xr:uid="{00000000-0005-0000-0000-0000D1050000}"/>
    <cellStyle name="b_RCOM master_July07" xfId="1514" xr:uid="{00000000-0005-0000-0000-0000D2050000}"/>
    <cellStyle name="b_RCOM master_wip" xfId="1515" xr:uid="{00000000-0005-0000-0000-0000D3050000}"/>
    <cellStyle name="B_Re USD analysis for Sanjeev" xfId="1516" xr:uid="{00000000-0005-0000-0000-0000D4050000}"/>
    <cellStyle name="b_reverse dcf" xfId="1517" xr:uid="{00000000-0005-0000-0000-0000D5050000}"/>
    <cellStyle name="b_RTIL model" xfId="1518" xr:uid="{00000000-0005-0000-0000-0000D6050000}"/>
    <cellStyle name="B_Saty charts for strategy" xfId="1519" xr:uid="{00000000-0005-0000-0000-0000D7050000}"/>
    <cellStyle name="B_sep10 spectrum update" xfId="1520" xr:uid="{00000000-0005-0000-0000-0000D8050000}"/>
    <cellStyle name="B_sep26 new applications" xfId="1521" xr:uid="{00000000-0005-0000-0000-0000D9050000}"/>
    <cellStyle name="b_strategy aug07" xfId="1522" xr:uid="{00000000-0005-0000-0000-0000DA050000}"/>
    <cellStyle name="B_technology pricing scenario" xfId="1523" xr:uid="{00000000-0005-0000-0000-0000DB050000}"/>
    <cellStyle name="B_telecom pricing scenario" xfId="1524" xr:uid="{00000000-0005-0000-0000-0000DC050000}"/>
    <cellStyle name="B_telecom stress case" xfId="1525" xr:uid="{00000000-0005-0000-0000-0000DD050000}"/>
    <cellStyle name="B_tower exhibits_25Jun07" xfId="1526" xr:uid="{00000000-0005-0000-0000-0000DE050000}"/>
    <cellStyle name="Bad 2" xfId="1527" xr:uid="{00000000-0005-0000-0000-0000DF050000}"/>
    <cellStyle name="Bad 2 2" xfId="1528" xr:uid="{00000000-0005-0000-0000-0000E0050000}"/>
    <cellStyle name="Bad 2 3" xfId="1529" xr:uid="{00000000-0005-0000-0000-0000E1050000}"/>
    <cellStyle name="Bad 3" xfId="1530" xr:uid="{00000000-0005-0000-0000-0000E2050000}"/>
    <cellStyle name="Bad 4" xfId="1531" xr:uid="{00000000-0005-0000-0000-0000E3050000}"/>
    <cellStyle name="Bad 4 2" xfId="1532" xr:uid="{00000000-0005-0000-0000-0000E4050000}"/>
    <cellStyle name="Bad 4 3" xfId="1533" xr:uid="{00000000-0005-0000-0000-0000E5050000}"/>
    <cellStyle name="Balance" xfId="1534" xr:uid="{00000000-0005-0000-0000-0000E6050000}"/>
    <cellStyle name="BALANCE VER" xfId="1535" xr:uid="{00000000-0005-0000-0000-0000E7050000}"/>
    <cellStyle name="BalanceSheet" xfId="1536" xr:uid="{00000000-0005-0000-0000-0000E8050000}"/>
    <cellStyle name="Besuchter Hyperlink" xfId="1537" xr:uid="{00000000-0005-0000-0000-0000E9050000}"/>
    <cellStyle name="Blank" xfId="1538" xr:uid="{00000000-0005-0000-0000-0000EA050000}"/>
    <cellStyle name="Blue" xfId="1539" xr:uid="{00000000-0005-0000-0000-0000EB050000}"/>
    <cellStyle name="Blue Title" xfId="1540" xr:uid="{00000000-0005-0000-0000-0000EC050000}"/>
    <cellStyle name="Body" xfId="1541" xr:uid="{00000000-0005-0000-0000-0000ED050000}"/>
    <cellStyle name="Bold/Border" xfId="1542" xr:uid="{00000000-0005-0000-0000-0000EE050000}"/>
    <cellStyle name="bp--" xfId="1543" xr:uid="{00000000-0005-0000-0000-0000EF050000}"/>
    <cellStyle name="British Pound" xfId="1544" xr:uid="{00000000-0005-0000-0000-0000F0050000}"/>
    <cellStyle name="British Pound 2" xfId="1545" xr:uid="{00000000-0005-0000-0000-0000F1050000}"/>
    <cellStyle name="Bullet" xfId="1546" xr:uid="{00000000-0005-0000-0000-0000F2050000}"/>
    <cellStyle name="C?mma [0]_PH-CTY" xfId="1547" xr:uid="{00000000-0005-0000-0000-0000F3050000}"/>
    <cellStyle name="Ç¥ÁØ_Book3" xfId="1548" xr:uid="{00000000-0005-0000-0000-0000F4050000}"/>
    <cellStyle name="Calc Cells" xfId="1549" xr:uid="{00000000-0005-0000-0000-0000F5050000}"/>
    <cellStyle name="Calc Currency (0)" xfId="1550" xr:uid="{00000000-0005-0000-0000-0000F6050000}"/>
    <cellStyle name="Calc_0dp" xfId="1551" xr:uid="{00000000-0005-0000-0000-0000F7050000}"/>
    <cellStyle name="Calculated" xfId="1552" xr:uid="{00000000-0005-0000-0000-0000F8050000}"/>
    <cellStyle name="Calculation 2" xfId="1553" xr:uid="{00000000-0005-0000-0000-0000F9050000}"/>
    <cellStyle name="Calculation 2 2" xfId="1554" xr:uid="{00000000-0005-0000-0000-0000FA050000}"/>
    <cellStyle name="Calculation 2 3" xfId="1555" xr:uid="{00000000-0005-0000-0000-0000FB050000}"/>
    <cellStyle name="Calculation 3" xfId="1556" xr:uid="{00000000-0005-0000-0000-0000FC050000}"/>
    <cellStyle name="Calculation 4" xfId="1557" xr:uid="{00000000-0005-0000-0000-0000FD050000}"/>
    <cellStyle name="Calculation 4 2" xfId="1558" xr:uid="{00000000-0005-0000-0000-0000FE050000}"/>
    <cellStyle name="Calculation 4 3" xfId="1559" xr:uid="{00000000-0005-0000-0000-0000FF050000}"/>
    <cellStyle name="Calculations" xfId="1560" xr:uid="{00000000-0005-0000-0000-000000060000}"/>
    <cellStyle name="Capital" xfId="1561" xr:uid="{00000000-0005-0000-0000-000001060000}"/>
    <cellStyle name="CashFlow" xfId="1562" xr:uid="{00000000-0005-0000-0000-000002060000}"/>
    <cellStyle name="category" xfId="1563" xr:uid="{00000000-0005-0000-0000-000003060000}"/>
    <cellStyle name="Changeable" xfId="1564" xr:uid="{00000000-0005-0000-0000-000004060000}"/>
    <cellStyle name="Check" xfId="1565" xr:uid="{00000000-0005-0000-0000-000005060000}"/>
    <cellStyle name="Check Cell 2" xfId="1566" xr:uid="{00000000-0005-0000-0000-000006060000}"/>
    <cellStyle name="Check Cell 2 2" xfId="1567" xr:uid="{00000000-0005-0000-0000-000007060000}"/>
    <cellStyle name="Check Cell 2 3" xfId="1568" xr:uid="{00000000-0005-0000-0000-000008060000}"/>
    <cellStyle name="Check Cell 3" xfId="1569" xr:uid="{00000000-0005-0000-0000-000009060000}"/>
    <cellStyle name="Check Cell 4" xfId="1570" xr:uid="{00000000-0005-0000-0000-00000A060000}"/>
    <cellStyle name="Check Cell 4 2" xfId="1571" xr:uid="{00000000-0005-0000-0000-00000B060000}"/>
    <cellStyle name="Check Cell 4 3" xfId="1572" xr:uid="{00000000-0005-0000-0000-00000C060000}"/>
    <cellStyle name="Clear" xfId="1573" xr:uid="{00000000-0005-0000-0000-00000D060000}"/>
    <cellStyle name="Co Name" xfId="1574" xr:uid="{00000000-0005-0000-0000-00000E060000}"/>
    <cellStyle name="Code" xfId="1575" xr:uid="{00000000-0005-0000-0000-00000F060000}"/>
    <cellStyle name="Code Section" xfId="1576" xr:uid="{00000000-0005-0000-0000-000010060000}"/>
    <cellStyle name="Codes" xfId="1577" xr:uid="{00000000-0005-0000-0000-000011060000}"/>
    <cellStyle name="col" xfId="1578" xr:uid="{00000000-0005-0000-0000-000012060000}"/>
    <cellStyle name="col.header" xfId="1579" xr:uid="{00000000-0005-0000-0000-000013060000}"/>
    <cellStyle name="ColHeading" xfId="1580" xr:uid="{00000000-0005-0000-0000-000014060000}"/>
    <cellStyle name="Column Header" xfId="1581" xr:uid="{00000000-0005-0000-0000-000015060000}"/>
    <cellStyle name="Column Header (Center)" xfId="1582" xr:uid="{00000000-0005-0000-0000-000016060000}"/>
    <cellStyle name="Column Header (Left)" xfId="1583" xr:uid="{00000000-0005-0000-0000-000017060000}"/>
    <cellStyle name="columnheader" xfId="1584" xr:uid="{00000000-0005-0000-0000-000018060000}"/>
    <cellStyle name="Comma" xfId="1" builtinId="3"/>
    <cellStyle name="Comma  - Style1" xfId="1585" xr:uid="{00000000-0005-0000-0000-00001A060000}"/>
    <cellStyle name="Comma  - Style2" xfId="1586" xr:uid="{00000000-0005-0000-0000-00001B060000}"/>
    <cellStyle name="Comma  - Style3" xfId="1587" xr:uid="{00000000-0005-0000-0000-00001C060000}"/>
    <cellStyle name="Comma  - Style4" xfId="1588" xr:uid="{00000000-0005-0000-0000-00001D060000}"/>
    <cellStyle name="Comma  - Style5" xfId="1589" xr:uid="{00000000-0005-0000-0000-00001E060000}"/>
    <cellStyle name="Comma  - Style6" xfId="1590" xr:uid="{00000000-0005-0000-0000-00001F060000}"/>
    <cellStyle name="Comma  - Style7" xfId="1591" xr:uid="{00000000-0005-0000-0000-000020060000}"/>
    <cellStyle name="Comma  - Style8" xfId="1592" xr:uid="{00000000-0005-0000-0000-000021060000}"/>
    <cellStyle name="Comma (1)" xfId="1593" xr:uid="{00000000-0005-0000-0000-000022060000}"/>
    <cellStyle name="Comma 0" xfId="1594" xr:uid="{00000000-0005-0000-0000-000023060000}"/>
    <cellStyle name="Comma 10" xfId="1595" xr:uid="{00000000-0005-0000-0000-000024060000}"/>
    <cellStyle name="Comma 10 2" xfId="1596" xr:uid="{00000000-0005-0000-0000-000025060000}"/>
    <cellStyle name="Comma 11" xfId="1597" xr:uid="{00000000-0005-0000-0000-000026060000}"/>
    <cellStyle name="Comma 12" xfId="1598" xr:uid="{00000000-0005-0000-0000-000027060000}"/>
    <cellStyle name="Comma 12 2 2" xfId="3238" xr:uid="{00000000-0005-0000-0000-000028060000}"/>
    <cellStyle name="Comma 13" xfId="1599" xr:uid="{00000000-0005-0000-0000-000029060000}"/>
    <cellStyle name="Comma 14" xfId="1600" xr:uid="{00000000-0005-0000-0000-00002A060000}"/>
    <cellStyle name="Comma 15" xfId="1601" xr:uid="{00000000-0005-0000-0000-00002B060000}"/>
    <cellStyle name="Comma 16" xfId="1602" xr:uid="{00000000-0005-0000-0000-00002C060000}"/>
    <cellStyle name="Comma 17" xfId="1603" xr:uid="{00000000-0005-0000-0000-00002D060000}"/>
    <cellStyle name="Comma 18" xfId="1604" xr:uid="{00000000-0005-0000-0000-00002E060000}"/>
    <cellStyle name="Comma 19" xfId="1605" xr:uid="{00000000-0005-0000-0000-00002F060000}"/>
    <cellStyle name="Comma 2" xfId="4" xr:uid="{00000000-0005-0000-0000-000030060000}"/>
    <cellStyle name="Comma 2 10" xfId="1606" xr:uid="{00000000-0005-0000-0000-000031060000}"/>
    <cellStyle name="Comma 2 11" xfId="1607" xr:uid="{00000000-0005-0000-0000-000032060000}"/>
    <cellStyle name="Comma 2 12" xfId="1608" xr:uid="{00000000-0005-0000-0000-000033060000}"/>
    <cellStyle name="Comma 2 13" xfId="1609" xr:uid="{00000000-0005-0000-0000-000034060000}"/>
    <cellStyle name="Comma 2 14" xfId="1610" xr:uid="{00000000-0005-0000-0000-000035060000}"/>
    <cellStyle name="Comma 2 15" xfId="1611" xr:uid="{00000000-0005-0000-0000-000036060000}"/>
    <cellStyle name="Comma 2 16" xfId="1612" xr:uid="{00000000-0005-0000-0000-000037060000}"/>
    <cellStyle name="Comma 2 17" xfId="1613" xr:uid="{00000000-0005-0000-0000-000038060000}"/>
    <cellStyle name="Comma 2 18" xfId="1614" xr:uid="{00000000-0005-0000-0000-000039060000}"/>
    <cellStyle name="Comma 2 19" xfId="1615" xr:uid="{00000000-0005-0000-0000-00003A060000}"/>
    <cellStyle name="Comma 2 2" xfId="6" xr:uid="{00000000-0005-0000-0000-00003B060000}"/>
    <cellStyle name="Comma 2 2 10" xfId="1616" xr:uid="{00000000-0005-0000-0000-00003C060000}"/>
    <cellStyle name="Comma 2 2 11" xfId="1617" xr:uid="{00000000-0005-0000-0000-00003D060000}"/>
    <cellStyle name="Comma 2 2 12" xfId="1618" xr:uid="{00000000-0005-0000-0000-00003E060000}"/>
    <cellStyle name="Comma 2 2 13" xfId="1619" xr:uid="{00000000-0005-0000-0000-00003F060000}"/>
    <cellStyle name="Comma 2 2 14" xfId="1620" xr:uid="{00000000-0005-0000-0000-000040060000}"/>
    <cellStyle name="Comma 2 2 15" xfId="1621" xr:uid="{00000000-0005-0000-0000-000041060000}"/>
    <cellStyle name="Comma 2 2 15 2" xfId="1622" xr:uid="{00000000-0005-0000-0000-000042060000}"/>
    <cellStyle name="Comma 2 2 15 3" xfId="1623" xr:uid="{00000000-0005-0000-0000-000043060000}"/>
    <cellStyle name="Comma 2 2 16" xfId="1624" xr:uid="{00000000-0005-0000-0000-000044060000}"/>
    <cellStyle name="Comma 2 2 17" xfId="1625" xr:uid="{00000000-0005-0000-0000-000045060000}"/>
    <cellStyle name="Comma 2 2 2" xfId="1626" xr:uid="{00000000-0005-0000-0000-000046060000}"/>
    <cellStyle name="Comma 2 2 2 2" xfId="1627" xr:uid="{00000000-0005-0000-0000-000047060000}"/>
    <cellStyle name="Comma 2 2 2 2 2" xfId="1628" xr:uid="{00000000-0005-0000-0000-000048060000}"/>
    <cellStyle name="Comma 2 2 2 2 2 2" xfId="1629" xr:uid="{00000000-0005-0000-0000-000049060000}"/>
    <cellStyle name="Comma 2 2 2 2 2 2 2" xfId="1630" xr:uid="{00000000-0005-0000-0000-00004A060000}"/>
    <cellStyle name="Comma 2 2 2 2 2 2 3" xfId="1631" xr:uid="{00000000-0005-0000-0000-00004B060000}"/>
    <cellStyle name="Comma 2 2 2 2 2 2 4" xfId="1632" xr:uid="{00000000-0005-0000-0000-00004C060000}"/>
    <cellStyle name="Comma 2 2 2 2 2 3" xfId="1633" xr:uid="{00000000-0005-0000-0000-00004D060000}"/>
    <cellStyle name="Comma 2 2 2 2 2 4" xfId="1634" xr:uid="{00000000-0005-0000-0000-00004E060000}"/>
    <cellStyle name="Comma 2 2 2 2 3" xfId="1635" xr:uid="{00000000-0005-0000-0000-00004F060000}"/>
    <cellStyle name="Comma 2 2 2 2 4" xfId="1636" xr:uid="{00000000-0005-0000-0000-000050060000}"/>
    <cellStyle name="Comma 2 2 2 2 5" xfId="1637" xr:uid="{00000000-0005-0000-0000-000051060000}"/>
    <cellStyle name="Comma 2 2 2 2 6" xfId="1638" xr:uid="{00000000-0005-0000-0000-000052060000}"/>
    <cellStyle name="Comma 2 2 2 2 7" xfId="1639" xr:uid="{00000000-0005-0000-0000-000053060000}"/>
    <cellStyle name="Comma 2 2 2 3" xfId="1640" xr:uid="{00000000-0005-0000-0000-000054060000}"/>
    <cellStyle name="Comma 2 2 2 3 2" xfId="1641" xr:uid="{00000000-0005-0000-0000-000055060000}"/>
    <cellStyle name="Comma 2 2 2 3 2 2" xfId="1642" xr:uid="{00000000-0005-0000-0000-000056060000}"/>
    <cellStyle name="Comma 2 2 2 3 2 3" xfId="1643" xr:uid="{00000000-0005-0000-0000-000057060000}"/>
    <cellStyle name="Comma 2 2 2 3 2 4" xfId="1644" xr:uid="{00000000-0005-0000-0000-000058060000}"/>
    <cellStyle name="Comma 2 2 2 3 3" xfId="1645" xr:uid="{00000000-0005-0000-0000-000059060000}"/>
    <cellStyle name="Comma 2 2 2 3 4" xfId="1646" xr:uid="{00000000-0005-0000-0000-00005A060000}"/>
    <cellStyle name="Comma 2 2 2 4" xfId="1647" xr:uid="{00000000-0005-0000-0000-00005B060000}"/>
    <cellStyle name="Comma 2 2 2 5" xfId="1648" xr:uid="{00000000-0005-0000-0000-00005C060000}"/>
    <cellStyle name="Comma 2 2 2 6" xfId="1649" xr:uid="{00000000-0005-0000-0000-00005D060000}"/>
    <cellStyle name="Comma 2 2 2 7" xfId="1650" xr:uid="{00000000-0005-0000-0000-00005E060000}"/>
    <cellStyle name="Comma 2 2 3" xfId="1651" xr:uid="{00000000-0005-0000-0000-00005F060000}"/>
    <cellStyle name="Comma 2 2 4" xfId="1652" xr:uid="{00000000-0005-0000-0000-000060060000}"/>
    <cellStyle name="Comma 2 2 4 2" xfId="1653" xr:uid="{00000000-0005-0000-0000-000061060000}"/>
    <cellStyle name="Comma 2 2 4 2 2" xfId="1654" xr:uid="{00000000-0005-0000-0000-000062060000}"/>
    <cellStyle name="Comma 2 2 4 2 3" xfId="1655" xr:uid="{00000000-0005-0000-0000-000063060000}"/>
    <cellStyle name="Comma 2 2 4 2 4" xfId="1656" xr:uid="{00000000-0005-0000-0000-000064060000}"/>
    <cellStyle name="Comma 2 2 4 3" xfId="1657" xr:uid="{00000000-0005-0000-0000-000065060000}"/>
    <cellStyle name="Comma 2 2 4 4" xfId="1658" xr:uid="{00000000-0005-0000-0000-000066060000}"/>
    <cellStyle name="Comma 2 2 5" xfId="1659" xr:uid="{00000000-0005-0000-0000-000067060000}"/>
    <cellStyle name="Comma 2 2 6" xfId="1660" xr:uid="{00000000-0005-0000-0000-000068060000}"/>
    <cellStyle name="Comma 2 2 7" xfId="1661" xr:uid="{00000000-0005-0000-0000-000069060000}"/>
    <cellStyle name="Comma 2 2 8" xfId="1662" xr:uid="{00000000-0005-0000-0000-00006A060000}"/>
    <cellStyle name="Comma 2 2 9" xfId="1663" xr:uid="{00000000-0005-0000-0000-00006B060000}"/>
    <cellStyle name="Comma 2 20" xfId="1664" xr:uid="{00000000-0005-0000-0000-00006C060000}"/>
    <cellStyle name="Comma 2 21" xfId="1665" xr:uid="{00000000-0005-0000-0000-00006D060000}"/>
    <cellStyle name="Comma 2 22" xfId="1666" xr:uid="{00000000-0005-0000-0000-00006E060000}"/>
    <cellStyle name="Comma 2 23" xfId="1667" xr:uid="{00000000-0005-0000-0000-00006F060000}"/>
    <cellStyle name="Comma 2 24" xfId="1668" xr:uid="{00000000-0005-0000-0000-000070060000}"/>
    <cellStyle name="Comma 2 25" xfId="1669" xr:uid="{00000000-0005-0000-0000-000071060000}"/>
    <cellStyle name="Comma 2 26" xfId="1670" xr:uid="{00000000-0005-0000-0000-000072060000}"/>
    <cellStyle name="Comma 2 27" xfId="1671" xr:uid="{00000000-0005-0000-0000-000073060000}"/>
    <cellStyle name="Comma 2 28" xfId="1672" xr:uid="{00000000-0005-0000-0000-000074060000}"/>
    <cellStyle name="Comma 2 3" xfId="1673" xr:uid="{00000000-0005-0000-0000-000075060000}"/>
    <cellStyle name="Comma 2 4" xfId="1674" xr:uid="{00000000-0005-0000-0000-000076060000}"/>
    <cellStyle name="Comma 2 5" xfId="1675" xr:uid="{00000000-0005-0000-0000-000077060000}"/>
    <cellStyle name="Comma 2 6" xfId="1676" xr:uid="{00000000-0005-0000-0000-000078060000}"/>
    <cellStyle name="Comma 2 7" xfId="1677" xr:uid="{00000000-0005-0000-0000-000079060000}"/>
    <cellStyle name="Comma 2 8" xfId="1678" xr:uid="{00000000-0005-0000-0000-00007A060000}"/>
    <cellStyle name="Comma 2 9" xfId="1679" xr:uid="{00000000-0005-0000-0000-00007B060000}"/>
    <cellStyle name="Comma 2_Ambit_Cummins" xfId="1680" xr:uid="{00000000-0005-0000-0000-00007C060000}"/>
    <cellStyle name="Comma 20" xfId="1681" xr:uid="{00000000-0005-0000-0000-00007D060000}"/>
    <cellStyle name="Comma 21" xfId="1682" xr:uid="{00000000-0005-0000-0000-00007E060000}"/>
    <cellStyle name="Comma 22" xfId="1683" xr:uid="{00000000-0005-0000-0000-00007F060000}"/>
    <cellStyle name="Comma 23" xfId="1684" xr:uid="{00000000-0005-0000-0000-000080060000}"/>
    <cellStyle name="Comma 23 2" xfId="1685" xr:uid="{00000000-0005-0000-0000-000081060000}"/>
    <cellStyle name="Comma 23 3" xfId="1686" xr:uid="{00000000-0005-0000-0000-000082060000}"/>
    <cellStyle name="Comma 24" xfId="1687" xr:uid="{00000000-0005-0000-0000-000083060000}"/>
    <cellStyle name="Comma 24 2" xfId="1688" xr:uid="{00000000-0005-0000-0000-000084060000}"/>
    <cellStyle name="Comma 24 3" xfId="1689" xr:uid="{00000000-0005-0000-0000-000085060000}"/>
    <cellStyle name="Comma 25" xfId="1690" xr:uid="{00000000-0005-0000-0000-000086060000}"/>
    <cellStyle name="Comma 25 2" xfId="1691" xr:uid="{00000000-0005-0000-0000-000087060000}"/>
    <cellStyle name="Comma 25 3" xfId="1692" xr:uid="{00000000-0005-0000-0000-000088060000}"/>
    <cellStyle name="Comma 26" xfId="1693" xr:uid="{00000000-0005-0000-0000-000089060000}"/>
    <cellStyle name="Comma 26 2" xfId="1694" xr:uid="{00000000-0005-0000-0000-00008A060000}"/>
    <cellStyle name="Comma 26 3" xfId="1695" xr:uid="{00000000-0005-0000-0000-00008B060000}"/>
    <cellStyle name="Comma 27" xfId="1696" xr:uid="{00000000-0005-0000-0000-00008C060000}"/>
    <cellStyle name="Comma 27 2" xfId="1697" xr:uid="{00000000-0005-0000-0000-00008D060000}"/>
    <cellStyle name="Comma 27 3" xfId="1698" xr:uid="{00000000-0005-0000-0000-00008E060000}"/>
    <cellStyle name="Comma 3" xfId="1699" xr:uid="{00000000-0005-0000-0000-00008F060000}"/>
    <cellStyle name="Comma 3 10" xfId="3234" xr:uid="{00000000-0005-0000-0000-000090060000}"/>
    <cellStyle name="Comma 3 2" xfId="1700" xr:uid="{00000000-0005-0000-0000-000091060000}"/>
    <cellStyle name="Comma 3 3" xfId="1701" xr:uid="{00000000-0005-0000-0000-000092060000}"/>
    <cellStyle name="Comma 3 4" xfId="1702" xr:uid="{00000000-0005-0000-0000-000093060000}"/>
    <cellStyle name="Comma 3 5" xfId="1703" xr:uid="{00000000-0005-0000-0000-000094060000}"/>
    <cellStyle name="Comma 3 6" xfId="1704" xr:uid="{00000000-0005-0000-0000-000095060000}"/>
    <cellStyle name="Comma 3 7" xfId="1705" xr:uid="{00000000-0005-0000-0000-000096060000}"/>
    <cellStyle name="Comma 3 8" xfId="1706" xr:uid="{00000000-0005-0000-0000-000097060000}"/>
    <cellStyle name="Comma 3 9" xfId="1707" xr:uid="{00000000-0005-0000-0000-000098060000}"/>
    <cellStyle name="Comma 30" xfId="1708" xr:uid="{00000000-0005-0000-0000-000099060000}"/>
    <cellStyle name="Comma 4" xfId="19" xr:uid="{00000000-0005-0000-0000-00009A060000}"/>
    <cellStyle name="Comma 4 2" xfId="1709" xr:uid="{00000000-0005-0000-0000-00009B060000}"/>
    <cellStyle name="Comma 4 2 2" xfId="1710" xr:uid="{00000000-0005-0000-0000-00009C060000}"/>
    <cellStyle name="Comma 4 2 3" xfId="1711" xr:uid="{00000000-0005-0000-0000-00009D060000}"/>
    <cellStyle name="Comma 4 2 4" xfId="1712" xr:uid="{00000000-0005-0000-0000-00009E060000}"/>
    <cellStyle name="Comma 4 3" xfId="1713" xr:uid="{00000000-0005-0000-0000-00009F060000}"/>
    <cellStyle name="Comma 4 4" xfId="1714" xr:uid="{00000000-0005-0000-0000-0000A0060000}"/>
    <cellStyle name="Comma 4 5" xfId="1715" xr:uid="{00000000-0005-0000-0000-0000A1060000}"/>
    <cellStyle name="Comma 4 6" xfId="1716" xr:uid="{00000000-0005-0000-0000-0000A2060000}"/>
    <cellStyle name="Comma 4 7" xfId="1717" xr:uid="{00000000-0005-0000-0000-0000A3060000}"/>
    <cellStyle name="Comma 5" xfId="1718" xr:uid="{00000000-0005-0000-0000-0000A4060000}"/>
    <cellStyle name="Comma 6" xfId="1719" xr:uid="{00000000-0005-0000-0000-0000A5060000}"/>
    <cellStyle name="Comma 6 2" xfId="1720" xr:uid="{00000000-0005-0000-0000-0000A6060000}"/>
    <cellStyle name="Comma 6 2 2" xfId="1721" xr:uid="{00000000-0005-0000-0000-0000A7060000}"/>
    <cellStyle name="Comma 6 3" xfId="1722" xr:uid="{00000000-0005-0000-0000-0000A8060000}"/>
    <cellStyle name="Comma 7" xfId="20" xr:uid="{00000000-0005-0000-0000-0000A9060000}"/>
    <cellStyle name="Comma 7 2" xfId="1723" xr:uid="{00000000-0005-0000-0000-0000AA060000}"/>
    <cellStyle name="Comma 7 2 2" xfId="1724" xr:uid="{00000000-0005-0000-0000-0000AB060000}"/>
    <cellStyle name="Comma 7 3" xfId="1725" xr:uid="{00000000-0005-0000-0000-0000AC060000}"/>
    <cellStyle name="Comma 7 4 2" xfId="1726" xr:uid="{00000000-0005-0000-0000-0000AD060000}"/>
    <cellStyle name="Comma 7_Titan EM_11june2012" xfId="1727" xr:uid="{00000000-0005-0000-0000-0000AE060000}"/>
    <cellStyle name="Comma 8" xfId="1728" xr:uid="{00000000-0005-0000-0000-0000AF060000}"/>
    <cellStyle name="Comma 9" xfId="1729" xr:uid="{00000000-0005-0000-0000-0000B0060000}"/>
    <cellStyle name="comma zerodec" xfId="1730" xr:uid="{00000000-0005-0000-0000-0000B1060000}"/>
    <cellStyle name="Comma(1)" xfId="1731" xr:uid="{00000000-0005-0000-0000-0000B2060000}"/>
    <cellStyle name="Comma(1) 2" xfId="1732" xr:uid="{00000000-0005-0000-0000-0000B3060000}"/>
    <cellStyle name="Comma(1) 3" xfId="1733" xr:uid="{00000000-0005-0000-0000-0000B4060000}"/>
    <cellStyle name="Comma.1" xfId="1734" xr:uid="{00000000-0005-0000-0000-0000B5060000}"/>
    <cellStyle name="Comma.2" xfId="1735" xr:uid="{00000000-0005-0000-0000-0000B6060000}"/>
    <cellStyle name="Comma0" xfId="1736" xr:uid="{00000000-0005-0000-0000-0000B7060000}"/>
    <cellStyle name="Comma0 - Modelo1" xfId="1737" xr:uid="{00000000-0005-0000-0000-0000B8060000}"/>
    <cellStyle name="Comma0 - Style1" xfId="1738" xr:uid="{00000000-0005-0000-0000-0000B9060000}"/>
    <cellStyle name="Comma0 2" xfId="1739" xr:uid="{00000000-0005-0000-0000-0000BA060000}"/>
    <cellStyle name="Comma1 - Modelo2" xfId="1740" xr:uid="{00000000-0005-0000-0000-0000BB060000}"/>
    <cellStyle name="Comma1 - Style2" xfId="1741" xr:uid="{00000000-0005-0000-0000-0000BC060000}"/>
    <cellStyle name="Comma1dp" xfId="1742" xr:uid="{00000000-0005-0000-0000-0000BD060000}"/>
    <cellStyle name="Company" xfId="1743" xr:uid="{00000000-0005-0000-0000-0000BE060000}"/>
    <cellStyle name="Company 2" xfId="1744" xr:uid="{00000000-0005-0000-0000-0000BF060000}"/>
    <cellStyle name="Company 2 2" xfId="1745" xr:uid="{00000000-0005-0000-0000-0000C0060000}"/>
    <cellStyle name="Company 2 3" xfId="1746" xr:uid="{00000000-0005-0000-0000-0000C1060000}"/>
    <cellStyle name="Company Guidance" xfId="1747" xr:uid="{00000000-0005-0000-0000-0000C2060000}"/>
    <cellStyle name="Company name" xfId="1748" xr:uid="{00000000-0005-0000-0000-0000C3060000}"/>
    <cellStyle name="Company_135 main060502n" xfId="1749" xr:uid="{00000000-0005-0000-0000-0000C4060000}"/>
    <cellStyle name="ContentsHyperlink" xfId="1750" xr:uid="{00000000-0005-0000-0000-0000C5060000}"/>
    <cellStyle name="Copied" xfId="1751" xr:uid="{00000000-0005-0000-0000-0000C6060000}"/>
    <cellStyle name="CoTitle" xfId="1752" xr:uid="{00000000-0005-0000-0000-0000C7060000}"/>
    <cellStyle name="Cover Date" xfId="1753" xr:uid="{00000000-0005-0000-0000-0000C8060000}"/>
    <cellStyle name="Cover Subtitle" xfId="1754" xr:uid="{00000000-0005-0000-0000-0000C9060000}"/>
    <cellStyle name="Cover Title" xfId="1755" xr:uid="{00000000-0005-0000-0000-0000CA060000}"/>
    <cellStyle name="CurRatio" xfId="1756" xr:uid="{00000000-0005-0000-0000-0000CB060000}"/>
    <cellStyle name="CurRatio 2" xfId="1757" xr:uid="{00000000-0005-0000-0000-0000CC060000}"/>
    <cellStyle name="Currency--" xfId="1758" xr:uid="{00000000-0005-0000-0000-0000CD060000}"/>
    <cellStyle name="Currency $" xfId="1759" xr:uid="{00000000-0005-0000-0000-0000CE060000}"/>
    <cellStyle name="Currency [1]" xfId="1760" xr:uid="{00000000-0005-0000-0000-0000CF060000}"/>
    <cellStyle name="Currency [2]" xfId="1761" xr:uid="{00000000-0005-0000-0000-0000D0060000}"/>
    <cellStyle name="Currency 0" xfId="1762" xr:uid="{00000000-0005-0000-0000-0000D1060000}"/>
    <cellStyle name="Currency 2" xfId="1763" xr:uid="{00000000-0005-0000-0000-0000D2060000}"/>
    <cellStyle name="Currency 3" xfId="1764" xr:uid="{00000000-0005-0000-0000-0000D3060000}"/>
    <cellStyle name="Currency0" xfId="1765" xr:uid="{00000000-0005-0000-0000-0000D4060000}"/>
    <cellStyle name="Currency0 2" xfId="1766" xr:uid="{00000000-0005-0000-0000-0000D5060000}"/>
    <cellStyle name="Currency1" xfId="1767" xr:uid="{00000000-0005-0000-0000-0000D6060000}"/>
    <cellStyle name="CUS.Work.Area" xfId="1768" xr:uid="{00000000-0005-0000-0000-0000D7060000}"/>
    <cellStyle name="Custom - Style1" xfId="1769" xr:uid="{00000000-0005-0000-0000-0000D8060000}"/>
    <cellStyle name="Custom - Style8" xfId="1770" xr:uid="{00000000-0005-0000-0000-0000D9060000}"/>
    <cellStyle name="CustomStyle1" xfId="1771" xr:uid="{00000000-0005-0000-0000-0000DA060000}"/>
    <cellStyle name="CustomStyle10" xfId="1772" xr:uid="{00000000-0005-0000-0000-0000DB060000}"/>
    <cellStyle name="CustomStyle11" xfId="1773" xr:uid="{00000000-0005-0000-0000-0000DC060000}"/>
    <cellStyle name="CustomStyle12" xfId="1774" xr:uid="{00000000-0005-0000-0000-0000DD060000}"/>
    <cellStyle name="CustomStyle13" xfId="1775" xr:uid="{00000000-0005-0000-0000-0000DE060000}"/>
    <cellStyle name="CustomStyle14" xfId="1776" xr:uid="{00000000-0005-0000-0000-0000DF060000}"/>
    <cellStyle name="CustomStyle15" xfId="1777" xr:uid="{00000000-0005-0000-0000-0000E0060000}"/>
    <cellStyle name="CustomStyle16" xfId="1778" xr:uid="{00000000-0005-0000-0000-0000E1060000}"/>
    <cellStyle name="CustomStyle17" xfId="1779" xr:uid="{00000000-0005-0000-0000-0000E2060000}"/>
    <cellStyle name="CustomStyle18" xfId="1780" xr:uid="{00000000-0005-0000-0000-0000E3060000}"/>
    <cellStyle name="CustomStyle19" xfId="1781" xr:uid="{00000000-0005-0000-0000-0000E4060000}"/>
    <cellStyle name="CustomStyle2" xfId="1782" xr:uid="{00000000-0005-0000-0000-0000E5060000}"/>
    <cellStyle name="CustomStyle20" xfId="1783" xr:uid="{00000000-0005-0000-0000-0000E6060000}"/>
    <cellStyle name="CustomStyle21" xfId="1784" xr:uid="{00000000-0005-0000-0000-0000E7060000}"/>
    <cellStyle name="CustomStyle22" xfId="1785" xr:uid="{00000000-0005-0000-0000-0000E8060000}"/>
    <cellStyle name="CustomStyle23" xfId="1786" xr:uid="{00000000-0005-0000-0000-0000E9060000}"/>
    <cellStyle name="CustomStyle3" xfId="1787" xr:uid="{00000000-0005-0000-0000-0000EA060000}"/>
    <cellStyle name="CustomStyle4" xfId="1788" xr:uid="{00000000-0005-0000-0000-0000EB060000}"/>
    <cellStyle name="CustomStyle5" xfId="1789" xr:uid="{00000000-0005-0000-0000-0000EC060000}"/>
    <cellStyle name="CustomStyle6" xfId="1790" xr:uid="{00000000-0005-0000-0000-0000ED060000}"/>
    <cellStyle name="CustomStyle7" xfId="1791" xr:uid="{00000000-0005-0000-0000-0000EE060000}"/>
    <cellStyle name="CustomStyle8" xfId="1792" xr:uid="{00000000-0005-0000-0000-0000EF060000}"/>
    <cellStyle name="CustomStyle9" xfId="1793" xr:uid="{00000000-0005-0000-0000-0000F0060000}"/>
    <cellStyle name="d" xfId="1794" xr:uid="{00000000-0005-0000-0000-0000F1060000}"/>
    <cellStyle name="d_yield" xfId="1795" xr:uid="{00000000-0005-0000-0000-0000F2060000}"/>
    <cellStyle name="d_yield_Sheet1" xfId="1796" xr:uid="{00000000-0005-0000-0000-0000F3060000}"/>
    <cellStyle name="DarkBlue" xfId="1797" xr:uid="{00000000-0005-0000-0000-0000F4060000}"/>
    <cellStyle name="Dash" xfId="1798" xr:uid="{00000000-0005-0000-0000-0000F5060000}"/>
    <cellStyle name="Data   - Style2" xfId="1799" xr:uid="{00000000-0005-0000-0000-0000F6060000}"/>
    <cellStyle name="Data Area" xfId="1800" xr:uid="{00000000-0005-0000-0000-0000F7060000}"/>
    <cellStyle name="Data Entry" xfId="1801" xr:uid="{00000000-0005-0000-0000-0000F8060000}"/>
    <cellStyle name="Data_0dp" xfId="1802" xr:uid="{00000000-0005-0000-0000-0000F9060000}"/>
    <cellStyle name="DataSheet Style" xfId="1803" xr:uid="{00000000-0005-0000-0000-0000FA060000}"/>
    <cellStyle name="DataSheet Style 2" xfId="1804" xr:uid="{00000000-0005-0000-0000-0000FB060000}"/>
    <cellStyle name="DataSheet Style 3" xfId="1805" xr:uid="{00000000-0005-0000-0000-0000FC060000}"/>
    <cellStyle name="DataSheet Style 4" xfId="1806" xr:uid="{00000000-0005-0000-0000-0000FD060000}"/>
    <cellStyle name="Date" xfId="1807" xr:uid="{00000000-0005-0000-0000-0000FE060000}"/>
    <cellStyle name="Date [d-mmm-yy]" xfId="1808" xr:uid="{00000000-0005-0000-0000-0000FF060000}"/>
    <cellStyle name="Date [mm-d-yy]" xfId="1809" xr:uid="{00000000-0005-0000-0000-000000070000}"/>
    <cellStyle name="Date [mm-d-yyyy]" xfId="1810" xr:uid="{00000000-0005-0000-0000-000001070000}"/>
    <cellStyle name="Date [mmm-d-yyyy]" xfId="1811" xr:uid="{00000000-0005-0000-0000-000002070000}"/>
    <cellStyle name="Date [mmm-yy]" xfId="1812" xr:uid="{00000000-0005-0000-0000-000003070000}"/>
    <cellStyle name="Date [mmm-yyyy]" xfId="1813" xr:uid="{00000000-0005-0000-0000-000004070000}"/>
    <cellStyle name="Date 2" xfId="1814" xr:uid="{00000000-0005-0000-0000-000005070000}"/>
    <cellStyle name="Date Aligned" xfId="1815" xr:uid="{00000000-0005-0000-0000-000006070000}"/>
    <cellStyle name="Date_123" xfId="1816" xr:uid="{00000000-0005-0000-0000-000007070000}"/>
    <cellStyle name="Date2" xfId="1817" xr:uid="{00000000-0005-0000-0000-000008070000}"/>
    <cellStyle name="Dates" xfId="1818" xr:uid="{00000000-0005-0000-0000-000009070000}"/>
    <cellStyle name="DateYear" xfId="1819" xr:uid="{00000000-0005-0000-0000-00000A070000}"/>
    <cellStyle name="Dec" xfId="1820" xr:uid="{00000000-0005-0000-0000-00000B070000}"/>
    <cellStyle name="default" xfId="1821" xr:uid="{00000000-0005-0000-0000-00000C070000}"/>
    <cellStyle name="Define your own named style" xfId="1822" xr:uid="{00000000-0005-0000-0000-00000D070000}"/>
    <cellStyle name="Derive" xfId="1823" xr:uid="{00000000-0005-0000-0000-00000E070000}"/>
    <cellStyle name="Dezimal [0]_35ERI8T2gbIEMixb4v26icuOo" xfId="1824" xr:uid="{00000000-0005-0000-0000-00000F070000}"/>
    <cellStyle name="Dezimal_ Magirus " xfId="1825" xr:uid="{00000000-0005-0000-0000-000010070000}"/>
    <cellStyle name="Dia" xfId="1826" xr:uid="{00000000-0005-0000-0000-000011070000}"/>
    <cellStyle name="d-mmm-yy" xfId="1827" xr:uid="{00000000-0005-0000-0000-000012070000}"/>
    <cellStyle name="Dollar" xfId="1828" xr:uid="{00000000-0005-0000-0000-000013070000}"/>
    <cellStyle name="Dollar (zero dec)" xfId="1829" xr:uid="{00000000-0005-0000-0000-000014070000}"/>
    <cellStyle name="Dollar 2" xfId="1830" xr:uid="{00000000-0005-0000-0000-000015070000}"/>
    <cellStyle name="Dollar 2 2" xfId="1831" xr:uid="{00000000-0005-0000-0000-000016070000}"/>
    <cellStyle name="Dollar 2 3" xfId="1832" xr:uid="{00000000-0005-0000-0000-000017070000}"/>
    <cellStyle name="dollars" xfId="1833" xr:uid="{00000000-0005-0000-0000-000018070000}"/>
    <cellStyle name="DollarWhole" xfId="1834" xr:uid="{00000000-0005-0000-0000-000019070000}"/>
    <cellStyle name="Dotted Line" xfId="1835" xr:uid="{00000000-0005-0000-0000-00001A070000}"/>
    <cellStyle name="Double Accounting" xfId="1836" xr:uid="{00000000-0005-0000-0000-00001B070000}"/>
    <cellStyle name="Draw lines around data in range" xfId="1837" xr:uid="{00000000-0005-0000-0000-00001C070000}"/>
    <cellStyle name="Draw shadow and lines within range" xfId="1838" xr:uid="{00000000-0005-0000-0000-00001D070000}"/>
    <cellStyle name="Driver" xfId="1839" xr:uid="{00000000-0005-0000-0000-00001E070000}"/>
    <cellStyle name="EDComma0" xfId="1840" xr:uid="{00000000-0005-0000-0000-00001F070000}"/>
    <cellStyle name="EDComma0 2" xfId="1841" xr:uid="{00000000-0005-0000-0000-000020070000}"/>
    <cellStyle name="EDComma0 3" xfId="1842" xr:uid="{00000000-0005-0000-0000-000021070000}"/>
    <cellStyle name="EDComma1" xfId="1843" xr:uid="{00000000-0005-0000-0000-000022070000}"/>
    <cellStyle name="EDComma1 2" xfId="1844" xr:uid="{00000000-0005-0000-0000-000023070000}"/>
    <cellStyle name="EDComma1 3" xfId="1845" xr:uid="{00000000-0005-0000-0000-000024070000}"/>
    <cellStyle name="EDComma2" xfId="1846" xr:uid="{00000000-0005-0000-0000-000025070000}"/>
    <cellStyle name="EDComma2 2" xfId="1847" xr:uid="{00000000-0005-0000-0000-000026070000}"/>
    <cellStyle name="EDComma2 3" xfId="1848" xr:uid="{00000000-0005-0000-0000-000027070000}"/>
    <cellStyle name="EDCommaB0" xfId="1849" xr:uid="{00000000-0005-0000-0000-000028070000}"/>
    <cellStyle name="EDCommaB0 2" xfId="1850" xr:uid="{00000000-0005-0000-0000-000029070000}"/>
    <cellStyle name="EDCommaB1" xfId="1851" xr:uid="{00000000-0005-0000-0000-00002A070000}"/>
    <cellStyle name="EDCommaB1 2" xfId="1852" xr:uid="{00000000-0005-0000-0000-00002B070000}"/>
    <cellStyle name="EDCommaB2" xfId="1853" xr:uid="{00000000-0005-0000-0000-00002C070000}"/>
    <cellStyle name="EDCommaB2 2" xfId="1854" xr:uid="{00000000-0005-0000-0000-00002D070000}"/>
    <cellStyle name="EDDate" xfId="1855" xr:uid="{00000000-0005-0000-0000-00002E070000}"/>
    <cellStyle name="EDDate 2" xfId="1856" xr:uid="{00000000-0005-0000-0000-00002F070000}"/>
    <cellStyle name="EDDate 3" xfId="1857" xr:uid="{00000000-0005-0000-0000-000030070000}"/>
    <cellStyle name="EDDateB" xfId="1858" xr:uid="{00000000-0005-0000-0000-000031070000}"/>
    <cellStyle name="EDDateB 2" xfId="1859" xr:uid="{00000000-0005-0000-0000-000032070000}"/>
    <cellStyle name="EDDateB 3" xfId="1860" xr:uid="{00000000-0005-0000-0000-000033070000}"/>
    <cellStyle name="EDFullDate" xfId="1861" xr:uid="{00000000-0005-0000-0000-000034070000}"/>
    <cellStyle name="EDFullDate 2" xfId="1862" xr:uid="{00000000-0005-0000-0000-000035070000}"/>
    <cellStyle name="EDNormal" xfId="1863" xr:uid="{00000000-0005-0000-0000-000036070000}"/>
    <cellStyle name="EDNormal 2" xfId="1864" xr:uid="{00000000-0005-0000-0000-000037070000}"/>
    <cellStyle name="EDNormal 3" xfId="1865" xr:uid="{00000000-0005-0000-0000-000038070000}"/>
    <cellStyle name="EDPercent" xfId="1866" xr:uid="{00000000-0005-0000-0000-000039070000}"/>
    <cellStyle name="EDPercent 2" xfId="1867" xr:uid="{00000000-0005-0000-0000-00003A070000}"/>
    <cellStyle name="EDPercent1" xfId="1868" xr:uid="{00000000-0005-0000-0000-00003B070000}"/>
    <cellStyle name="EDPercent1 2" xfId="1869" xr:uid="{00000000-0005-0000-0000-00003C070000}"/>
    <cellStyle name="EDPercent1 3" xfId="1870" xr:uid="{00000000-0005-0000-0000-00003D070000}"/>
    <cellStyle name="EDPercent2" xfId="1871" xr:uid="{00000000-0005-0000-0000-00003E070000}"/>
    <cellStyle name="EDPercent2 2" xfId="1872" xr:uid="{00000000-0005-0000-0000-00003F070000}"/>
    <cellStyle name="EDRightText" xfId="1873" xr:uid="{00000000-0005-0000-0000-000040070000}"/>
    <cellStyle name="EDRightText 2" xfId="1874" xr:uid="{00000000-0005-0000-0000-000041070000}"/>
    <cellStyle name="EDRightText 3" xfId="1875" xr:uid="{00000000-0005-0000-0000-000042070000}"/>
    <cellStyle name="Emphasis 1" xfId="1876" xr:uid="{00000000-0005-0000-0000-000043070000}"/>
    <cellStyle name="Emphasis 2" xfId="1877" xr:uid="{00000000-0005-0000-0000-000044070000}"/>
    <cellStyle name="Emphasis 3" xfId="1878" xr:uid="{00000000-0005-0000-0000-000045070000}"/>
    <cellStyle name="Encabez1" xfId="1879" xr:uid="{00000000-0005-0000-0000-000046070000}"/>
    <cellStyle name="Encabez2" xfId="1880" xr:uid="{00000000-0005-0000-0000-000047070000}"/>
    <cellStyle name="Enlarge title text, yellow on blue" xfId="1881" xr:uid="{00000000-0005-0000-0000-000048070000}"/>
    <cellStyle name="Entered" xfId="1882" xr:uid="{00000000-0005-0000-0000-000049070000}"/>
    <cellStyle name="EnterpriseTable[1]" xfId="1883" xr:uid="{00000000-0005-0000-0000-00004A070000}"/>
    <cellStyle name="Entry" xfId="1884" xr:uid="{00000000-0005-0000-0000-00004B070000}"/>
    <cellStyle name="eps" xfId="1885" xr:uid="{00000000-0005-0000-0000-00004C070000}"/>
    <cellStyle name="eps$" xfId="1886" xr:uid="{00000000-0005-0000-0000-00004D070000}"/>
    <cellStyle name="eps$A" xfId="1887" xr:uid="{00000000-0005-0000-0000-00004E070000}"/>
    <cellStyle name="eps$E" xfId="1888" xr:uid="{00000000-0005-0000-0000-00004F070000}"/>
    <cellStyle name="eps_2nd Quarter" xfId="1889" xr:uid="{00000000-0005-0000-0000-000050070000}"/>
    <cellStyle name="epsA" xfId="1890" xr:uid="{00000000-0005-0000-0000-000051070000}"/>
    <cellStyle name="EPSActual" xfId="1891" xr:uid="{00000000-0005-0000-0000-000052070000}"/>
    <cellStyle name="epsE" xfId="1892" xr:uid="{00000000-0005-0000-0000-000053070000}"/>
    <cellStyle name="EPSEstimate" xfId="1893" xr:uid="{00000000-0005-0000-0000-000054070000}"/>
    <cellStyle name="Erc" xfId="1894" xr:uid="{00000000-0005-0000-0000-000055070000}"/>
    <cellStyle name="ERROR" xfId="1895" xr:uid="{00000000-0005-0000-0000-000056070000}"/>
    <cellStyle name="essay" xfId="1896" xr:uid="{00000000-0005-0000-0000-000057070000}"/>
    <cellStyle name="essay - Style1" xfId="1897" xr:uid="{00000000-0005-0000-0000-000058070000}"/>
    <cellStyle name="EsText" xfId="1898" xr:uid="{00000000-0005-0000-0000-000059070000}"/>
    <cellStyle name="EsText 2" xfId="1899" xr:uid="{00000000-0005-0000-0000-00005A070000}"/>
    <cellStyle name="EsText 2 2" xfId="1900" xr:uid="{00000000-0005-0000-0000-00005B070000}"/>
    <cellStyle name="EsText 2 3" xfId="1901" xr:uid="{00000000-0005-0000-0000-00005C070000}"/>
    <cellStyle name="Estimate" xfId="1902" xr:uid="{00000000-0005-0000-0000-00005D070000}"/>
    <cellStyle name="Estimate 2" xfId="1903" xr:uid="{00000000-0005-0000-0000-00005E070000}"/>
    <cellStyle name="Estimate 3" xfId="1904" xr:uid="{00000000-0005-0000-0000-00005F070000}"/>
    <cellStyle name="Estimate 4" xfId="1905" xr:uid="{00000000-0005-0000-0000-000060070000}"/>
    <cellStyle name="Estimate 5" xfId="1906" xr:uid="{00000000-0005-0000-0000-000061070000}"/>
    <cellStyle name="Estimate 6" xfId="1907" xr:uid="{00000000-0005-0000-0000-000062070000}"/>
    <cellStyle name="Estimate 7" xfId="1908" xr:uid="{00000000-0005-0000-0000-000063070000}"/>
    <cellStyle name="Estimate 8" xfId="1909" xr:uid="{00000000-0005-0000-0000-000064070000}"/>
    <cellStyle name="Estimate 9" xfId="1910" xr:uid="{00000000-0005-0000-0000-000065070000}"/>
    <cellStyle name="Euro" xfId="1911" xr:uid="{00000000-0005-0000-0000-000066070000}"/>
    <cellStyle name="Euro 2" xfId="1912" xr:uid="{00000000-0005-0000-0000-000067070000}"/>
    <cellStyle name="Euro 2 2" xfId="1913" xr:uid="{00000000-0005-0000-0000-000068070000}"/>
    <cellStyle name="Euro 2 3" xfId="1914" xr:uid="{00000000-0005-0000-0000-000069070000}"/>
    <cellStyle name="ExchRate" xfId="1915" xr:uid="{00000000-0005-0000-0000-00006A070000}"/>
    <cellStyle name="Explanatory Text 2" xfId="1916" xr:uid="{00000000-0005-0000-0000-00006B070000}"/>
    <cellStyle name="Explanatory Text 2 2" xfId="1917" xr:uid="{00000000-0005-0000-0000-00006C070000}"/>
    <cellStyle name="Explanatory Text 2 3" xfId="1918" xr:uid="{00000000-0005-0000-0000-00006D070000}"/>
    <cellStyle name="Explanatory Text 3" xfId="1919" xr:uid="{00000000-0005-0000-0000-00006E070000}"/>
    <cellStyle name="Explanatory Text 4" xfId="1920" xr:uid="{00000000-0005-0000-0000-00006F070000}"/>
    <cellStyle name="Explanatory Text 4 2" xfId="1921" xr:uid="{00000000-0005-0000-0000-000070070000}"/>
    <cellStyle name="Explanatory Text 4 3" xfId="1922" xr:uid="{00000000-0005-0000-0000-000071070000}"/>
    <cellStyle name="External File Cells" xfId="1923" xr:uid="{00000000-0005-0000-0000-000072070000}"/>
    <cellStyle name="External Link" xfId="1924" xr:uid="{00000000-0005-0000-0000-000073070000}"/>
    <cellStyle name="Ezres [0]_Quarters_Sales" xfId="1925" xr:uid="{00000000-0005-0000-0000-000074070000}"/>
    <cellStyle name="Ezres_BS" xfId="1926" xr:uid="{00000000-0005-0000-0000-000075070000}"/>
    <cellStyle name="F2" xfId="1927" xr:uid="{00000000-0005-0000-0000-000076070000}"/>
    <cellStyle name="F2 2" xfId="1928" xr:uid="{00000000-0005-0000-0000-000077070000}"/>
    <cellStyle name="F3" xfId="1929" xr:uid="{00000000-0005-0000-0000-000078070000}"/>
    <cellStyle name="F3 2" xfId="1930" xr:uid="{00000000-0005-0000-0000-000079070000}"/>
    <cellStyle name="F4" xfId="1931" xr:uid="{00000000-0005-0000-0000-00007A070000}"/>
    <cellStyle name="F4 2" xfId="1932" xr:uid="{00000000-0005-0000-0000-00007B070000}"/>
    <cellStyle name="F5" xfId="1933" xr:uid="{00000000-0005-0000-0000-00007C070000}"/>
    <cellStyle name="F5 2" xfId="1934" xr:uid="{00000000-0005-0000-0000-00007D070000}"/>
    <cellStyle name="F6" xfId="1935" xr:uid="{00000000-0005-0000-0000-00007E070000}"/>
    <cellStyle name="F6 2" xfId="1936" xr:uid="{00000000-0005-0000-0000-00007F070000}"/>
    <cellStyle name="F7" xfId="1937" xr:uid="{00000000-0005-0000-0000-000080070000}"/>
    <cellStyle name="F7 2" xfId="1938" xr:uid="{00000000-0005-0000-0000-000081070000}"/>
    <cellStyle name="F8" xfId="1939" xr:uid="{00000000-0005-0000-0000-000082070000}"/>
    <cellStyle name="F8 2" xfId="1940" xr:uid="{00000000-0005-0000-0000-000083070000}"/>
    <cellStyle name="Figure" xfId="1941" xr:uid="{00000000-0005-0000-0000-000084070000}"/>
    <cellStyle name="Figure 2" xfId="1942" xr:uid="{00000000-0005-0000-0000-000085070000}"/>
    <cellStyle name="Figure 2 2" xfId="1943" xr:uid="{00000000-0005-0000-0000-000086070000}"/>
    <cellStyle name="Figure 2 3" xfId="1944" xr:uid="{00000000-0005-0000-0000-000087070000}"/>
    <cellStyle name="Figures[0]" xfId="1945" xr:uid="{00000000-0005-0000-0000-000088070000}"/>
    <cellStyle name="Fijo" xfId="1946" xr:uid="{00000000-0005-0000-0000-000089070000}"/>
    <cellStyle name="Financial" xfId="1947" xr:uid="{00000000-0005-0000-0000-00008A070000}"/>
    <cellStyle name="Financial Table Row Text" xfId="1948" xr:uid="{00000000-0005-0000-0000-00008B070000}"/>
    <cellStyle name="Financial Table Text" xfId="1949" xr:uid="{00000000-0005-0000-0000-00008C070000}"/>
    <cellStyle name="Financial Table Total Row" xfId="1950" xr:uid="{00000000-0005-0000-0000-00008D070000}"/>
    <cellStyle name="Financial Table Total text" xfId="1951" xr:uid="{00000000-0005-0000-0000-00008E070000}"/>
    <cellStyle name="Financiero" xfId="1952" xr:uid="{00000000-0005-0000-0000-00008F070000}"/>
    <cellStyle name="Fixed" xfId="1953" xr:uid="{00000000-0005-0000-0000-000090070000}"/>
    <cellStyle name="Fixed [0]" xfId="1954" xr:uid="{00000000-0005-0000-0000-000091070000}"/>
    <cellStyle name="Fixed 2" xfId="1955" xr:uid="{00000000-0005-0000-0000-000092070000}"/>
    <cellStyle name="Fol㳬owed Hyperlink_NRS2001" xfId="1956" xr:uid="{00000000-0005-0000-0000-000093070000}"/>
    <cellStyle name="Footer SBILogo1" xfId="1957" xr:uid="{00000000-0005-0000-0000-000094070000}"/>
    <cellStyle name="Footer SBILogo2" xfId="1958" xr:uid="{00000000-0005-0000-0000-000095070000}"/>
    <cellStyle name="Footnote" xfId="1959" xr:uid="{00000000-0005-0000-0000-000096070000}"/>
    <cellStyle name="Footnote Reference" xfId="1960" xr:uid="{00000000-0005-0000-0000-000097070000}"/>
    <cellStyle name="Footnote_Auto interest rate sensitivity" xfId="1961" xr:uid="{00000000-0005-0000-0000-000098070000}"/>
    <cellStyle name="Forecast Cells" xfId="1962" xr:uid="{00000000-0005-0000-0000-000099070000}"/>
    <cellStyle name="Format a column of totals" xfId="1963" xr:uid="{00000000-0005-0000-0000-00009A070000}"/>
    <cellStyle name="Format a row of totals" xfId="1964" xr:uid="{00000000-0005-0000-0000-00009B070000}"/>
    <cellStyle name="Format text as bold, black on yellow" xfId="1965" xr:uid="{00000000-0005-0000-0000-00009C070000}"/>
    <cellStyle name="fourdecplace" xfId="1966" xr:uid="{00000000-0005-0000-0000-00009D070000}"/>
    <cellStyle name="fy" xfId="1967" xr:uid="{00000000-0005-0000-0000-00009E070000}"/>
    <cellStyle name="g_rate" xfId="1968" xr:uid="{00000000-0005-0000-0000-00009F070000}"/>
    <cellStyle name="g_rate_Sheet1" xfId="1969" xr:uid="{00000000-0005-0000-0000-0000A0070000}"/>
    <cellStyle name="G1_1999 figures" xfId="1970" xr:uid="{00000000-0005-0000-0000-0000A1070000}"/>
    <cellStyle name="General" xfId="1971" xr:uid="{00000000-0005-0000-0000-0000A2070000}"/>
    <cellStyle name="Global" xfId="1972" xr:uid="{00000000-0005-0000-0000-0000A3070000}"/>
    <cellStyle name="Global 2" xfId="1973" xr:uid="{00000000-0005-0000-0000-0000A4070000}"/>
    <cellStyle name="Good 2" xfId="1974" xr:uid="{00000000-0005-0000-0000-0000A5070000}"/>
    <cellStyle name="Good 2 2" xfId="1975" xr:uid="{00000000-0005-0000-0000-0000A6070000}"/>
    <cellStyle name="Good 2 3" xfId="1976" xr:uid="{00000000-0005-0000-0000-0000A7070000}"/>
    <cellStyle name="Good 3" xfId="1977" xr:uid="{00000000-0005-0000-0000-0000A8070000}"/>
    <cellStyle name="Good 4" xfId="1978" xr:uid="{00000000-0005-0000-0000-0000A9070000}"/>
    <cellStyle name="Good 4 2" xfId="1979" xr:uid="{00000000-0005-0000-0000-0000AA070000}"/>
    <cellStyle name="Good 4 3" xfId="1980" xr:uid="{00000000-0005-0000-0000-0000AB070000}"/>
    <cellStyle name="Green" xfId="1981" xr:uid="{00000000-0005-0000-0000-0000AC070000}"/>
    <cellStyle name="Green 2" xfId="1982" xr:uid="{00000000-0005-0000-0000-0000AD070000}"/>
    <cellStyle name="Green 2 2" xfId="1983" xr:uid="{00000000-0005-0000-0000-0000AE070000}"/>
    <cellStyle name="Green 2 3" xfId="1984" xr:uid="{00000000-0005-0000-0000-0000AF070000}"/>
    <cellStyle name="Grey" xfId="1985" xr:uid="{00000000-0005-0000-0000-0000B0070000}"/>
    <cellStyle name="Grey 2" xfId="1986" xr:uid="{00000000-0005-0000-0000-0000B1070000}"/>
    <cellStyle name="Grey 3" xfId="1987" xr:uid="{00000000-0005-0000-0000-0000B2070000}"/>
    <cellStyle name="Grey 4" xfId="1988" xr:uid="{00000000-0005-0000-0000-0000B3070000}"/>
    <cellStyle name="Grey 5" xfId="1989" xr:uid="{00000000-0005-0000-0000-0000B4070000}"/>
    <cellStyle name="Grey 6" xfId="1990" xr:uid="{00000000-0005-0000-0000-0000B5070000}"/>
    <cellStyle name="Grey 7" xfId="1991" xr:uid="{00000000-0005-0000-0000-0000B6070000}"/>
    <cellStyle name="Grey 8" xfId="1992" xr:uid="{00000000-0005-0000-0000-0000B7070000}"/>
    <cellStyle name="Grey 9" xfId="1993" xr:uid="{00000000-0005-0000-0000-0000B8070000}"/>
    <cellStyle name="Growth" xfId="1994" xr:uid="{00000000-0005-0000-0000-0000B9070000}"/>
    <cellStyle name="GrowthRate" xfId="1995" xr:uid="{00000000-0005-0000-0000-0000BA070000}"/>
    <cellStyle name="GrowthSeq" xfId="1996" xr:uid="{00000000-0005-0000-0000-0000BB070000}"/>
    <cellStyle name="GWN Table Body" xfId="1997" xr:uid="{00000000-0005-0000-0000-0000BC070000}"/>
    <cellStyle name="GWN Table Header" xfId="1998" xr:uid="{00000000-0005-0000-0000-0000BD070000}"/>
    <cellStyle name="GWN Table Left Header" xfId="1999" xr:uid="{00000000-0005-0000-0000-0000BE070000}"/>
    <cellStyle name="GWN Table Note" xfId="2000" xr:uid="{00000000-0005-0000-0000-0000BF070000}"/>
    <cellStyle name="GWN Table Title" xfId="2001" xr:uid="{00000000-0005-0000-0000-0000C0070000}"/>
    <cellStyle name="H_1998_col_head" xfId="2002" xr:uid="{00000000-0005-0000-0000-0000C1070000}"/>
    <cellStyle name="H_1998_col_head_IVRCL - results - 2Q09 - exhibits" xfId="2003" xr:uid="{00000000-0005-0000-0000-0000C2070000}"/>
    <cellStyle name="H_1999_col_head" xfId="2004" xr:uid="{00000000-0005-0000-0000-0000C3070000}"/>
    <cellStyle name="H1_1998 figures" xfId="2005" xr:uid="{00000000-0005-0000-0000-0000C4070000}"/>
    <cellStyle name="H໥ading2" xfId="2006" xr:uid="{00000000-0005-0000-0000-0000C5070000}"/>
    <cellStyle name="H໥ading2 2" xfId="2007" xr:uid="{00000000-0005-0000-0000-0000C6070000}"/>
    <cellStyle name="Hard Percent" xfId="2008" xr:uid="{00000000-0005-0000-0000-0000C7070000}"/>
    <cellStyle name="Hardcoded" xfId="2009" xr:uid="{00000000-0005-0000-0000-0000C8070000}"/>
    <cellStyle name="Head - Style2" xfId="2010" xr:uid="{00000000-0005-0000-0000-0000C9070000}"/>
    <cellStyle name="Header" xfId="2011" xr:uid="{00000000-0005-0000-0000-0000CA070000}"/>
    <cellStyle name="Header Draft Stamp" xfId="2012" xr:uid="{00000000-0005-0000-0000-0000CB070000}"/>
    <cellStyle name="Header_Auto interest rate sensitivity" xfId="2013" xr:uid="{00000000-0005-0000-0000-0000CC070000}"/>
    <cellStyle name="Header1" xfId="2014" xr:uid="{00000000-0005-0000-0000-0000CD070000}"/>
    <cellStyle name="Header2" xfId="2015" xr:uid="{00000000-0005-0000-0000-0000CE070000}"/>
    <cellStyle name="headin - Style2" xfId="2016" xr:uid="{00000000-0005-0000-0000-0000CF070000}"/>
    <cellStyle name="Heading" xfId="2017" xr:uid="{00000000-0005-0000-0000-0000D0070000}"/>
    <cellStyle name="Heading 1 2" xfId="2018" xr:uid="{00000000-0005-0000-0000-0000D1070000}"/>
    <cellStyle name="Heading 1 2 2" xfId="2019" xr:uid="{00000000-0005-0000-0000-0000D2070000}"/>
    <cellStyle name="Heading 1 2 3" xfId="2020" xr:uid="{00000000-0005-0000-0000-0000D3070000}"/>
    <cellStyle name="Heading 1 3" xfId="2021" xr:uid="{00000000-0005-0000-0000-0000D4070000}"/>
    <cellStyle name="Heading 1 4" xfId="2022" xr:uid="{00000000-0005-0000-0000-0000D5070000}"/>
    <cellStyle name="Heading 1 4 2" xfId="2023" xr:uid="{00000000-0005-0000-0000-0000D6070000}"/>
    <cellStyle name="Heading 1 4 3" xfId="2024" xr:uid="{00000000-0005-0000-0000-0000D7070000}"/>
    <cellStyle name="Heading 1 Above" xfId="2025" xr:uid="{00000000-0005-0000-0000-0000D8070000}"/>
    <cellStyle name="Heading 1+" xfId="2026" xr:uid="{00000000-0005-0000-0000-0000D9070000}"/>
    <cellStyle name="Heading 2 2" xfId="2027" xr:uid="{00000000-0005-0000-0000-0000DA070000}"/>
    <cellStyle name="Heading 2 2 2" xfId="2028" xr:uid="{00000000-0005-0000-0000-0000DB070000}"/>
    <cellStyle name="Heading 2 2 3" xfId="2029" xr:uid="{00000000-0005-0000-0000-0000DC070000}"/>
    <cellStyle name="Heading 2 3" xfId="2030" xr:uid="{00000000-0005-0000-0000-0000DD070000}"/>
    <cellStyle name="Heading 2 4" xfId="2031" xr:uid="{00000000-0005-0000-0000-0000DE070000}"/>
    <cellStyle name="Heading 2 4 2" xfId="2032" xr:uid="{00000000-0005-0000-0000-0000DF070000}"/>
    <cellStyle name="Heading 2 4 3" xfId="2033" xr:uid="{00000000-0005-0000-0000-0000E0070000}"/>
    <cellStyle name="Heading 2 Below" xfId="2034" xr:uid="{00000000-0005-0000-0000-0000E1070000}"/>
    <cellStyle name="Heading 2 Below 2" xfId="2035" xr:uid="{00000000-0005-0000-0000-0000E2070000}"/>
    <cellStyle name="Heading 2+" xfId="2036" xr:uid="{00000000-0005-0000-0000-0000E3070000}"/>
    <cellStyle name="Heading 3 2" xfId="2037" xr:uid="{00000000-0005-0000-0000-0000E4070000}"/>
    <cellStyle name="Heading 3 2 2" xfId="2038" xr:uid="{00000000-0005-0000-0000-0000E5070000}"/>
    <cellStyle name="Heading 3 2 3" xfId="2039" xr:uid="{00000000-0005-0000-0000-0000E6070000}"/>
    <cellStyle name="Heading 3 2 4" xfId="2040" xr:uid="{00000000-0005-0000-0000-0000E7070000}"/>
    <cellStyle name="Heading 3 2 4 2" xfId="2041" xr:uid="{00000000-0005-0000-0000-0000E8070000}"/>
    <cellStyle name="Heading 3 2 4 3" xfId="2042" xr:uid="{00000000-0005-0000-0000-0000E9070000}"/>
    <cellStyle name="Heading 3 2 5" xfId="2043" xr:uid="{00000000-0005-0000-0000-0000EA070000}"/>
    <cellStyle name="Heading 3 2 6" xfId="2044" xr:uid="{00000000-0005-0000-0000-0000EB070000}"/>
    <cellStyle name="Heading 3 3" xfId="2045" xr:uid="{00000000-0005-0000-0000-0000EC070000}"/>
    <cellStyle name="Heading 3 4" xfId="2046" xr:uid="{00000000-0005-0000-0000-0000ED070000}"/>
    <cellStyle name="Heading 3 4 2" xfId="2047" xr:uid="{00000000-0005-0000-0000-0000EE070000}"/>
    <cellStyle name="Heading 3 4 3" xfId="2048" xr:uid="{00000000-0005-0000-0000-0000EF070000}"/>
    <cellStyle name="Heading 3 5" xfId="2049" xr:uid="{00000000-0005-0000-0000-0000F0070000}"/>
    <cellStyle name="Heading 3 6" xfId="2050" xr:uid="{00000000-0005-0000-0000-0000F1070000}"/>
    <cellStyle name="Heading 3+" xfId="2051" xr:uid="{00000000-0005-0000-0000-0000F2070000}"/>
    <cellStyle name="Heading 4 2" xfId="2052" xr:uid="{00000000-0005-0000-0000-0000F3070000}"/>
    <cellStyle name="Heading 4 2 2" xfId="2053" xr:uid="{00000000-0005-0000-0000-0000F4070000}"/>
    <cellStyle name="Heading 4 2 3" xfId="2054" xr:uid="{00000000-0005-0000-0000-0000F5070000}"/>
    <cellStyle name="Heading 4 3" xfId="2055" xr:uid="{00000000-0005-0000-0000-0000F6070000}"/>
    <cellStyle name="Heading 4 4" xfId="2056" xr:uid="{00000000-0005-0000-0000-0000F7070000}"/>
    <cellStyle name="Heading 4 4 2" xfId="2057" xr:uid="{00000000-0005-0000-0000-0000F8070000}"/>
    <cellStyle name="Heading 4 4 3" xfId="2058" xr:uid="{00000000-0005-0000-0000-0000F9070000}"/>
    <cellStyle name="Heading 5" xfId="2059" xr:uid="{00000000-0005-0000-0000-0000FA070000}"/>
    <cellStyle name="Heading 6" xfId="2060" xr:uid="{00000000-0005-0000-0000-0000FB070000}"/>
    <cellStyle name="heading 7" xfId="2061" xr:uid="{00000000-0005-0000-0000-0000FC070000}"/>
    <cellStyle name="Heading bar" xfId="2062" xr:uid="{00000000-0005-0000-0000-0000FD070000}"/>
    <cellStyle name="Heading column" xfId="2063" xr:uid="{00000000-0005-0000-0000-0000FE070000}"/>
    <cellStyle name="Heading column 2" xfId="2064" xr:uid="{00000000-0005-0000-0000-0000FF070000}"/>
    <cellStyle name="Heading column 2 2" xfId="2065" xr:uid="{00000000-0005-0000-0000-000000080000}"/>
    <cellStyle name="Heading column 3" xfId="2066" xr:uid="{00000000-0005-0000-0000-000001080000}"/>
    <cellStyle name="Heading column 4" xfId="2067" xr:uid="{00000000-0005-0000-0000-000002080000}"/>
    <cellStyle name="Heading column 5" xfId="2068" xr:uid="{00000000-0005-0000-0000-000003080000}"/>
    <cellStyle name="Heading1" xfId="2069" xr:uid="{00000000-0005-0000-0000-000004080000}"/>
    <cellStyle name="Heading2" xfId="2070" xr:uid="{00000000-0005-0000-0000-000005080000}"/>
    <cellStyle name="Headings" xfId="2071" xr:uid="{00000000-0005-0000-0000-000006080000}"/>
    <cellStyle name="HeadlineStyle" xfId="2072" xr:uid="{00000000-0005-0000-0000-000007080000}"/>
    <cellStyle name="HeadlineStyleJustified" xfId="2073" xr:uid="{00000000-0005-0000-0000-000008080000}"/>
    <cellStyle name="HeadRow" xfId="2074" xr:uid="{00000000-0005-0000-0000-000009080000}"/>
    <cellStyle name="HeadRowCol" xfId="2075" xr:uid="{00000000-0005-0000-0000-00000A080000}"/>
    <cellStyle name="Helv" xfId="2076" xr:uid="{00000000-0005-0000-0000-00000B080000}"/>
    <cellStyle name="HIDE" xfId="2077" xr:uid="{00000000-0005-0000-0000-00000C080000}"/>
    <cellStyle name="hidebold" xfId="2078" xr:uid="{00000000-0005-0000-0000-00000D080000}"/>
    <cellStyle name="hidenorm" xfId="2079" xr:uid="{00000000-0005-0000-0000-00000E080000}"/>
    <cellStyle name="Hiperhivatkozás_Quarters_Sales" xfId="2080" xr:uid="{00000000-0005-0000-0000-00000F080000}"/>
    <cellStyle name="Historical" xfId="2081" xr:uid="{00000000-0005-0000-0000-000010080000}"/>
    <cellStyle name="Hyperlink" xfId="3235" builtinId="8"/>
    <cellStyle name="Hyperlink 2" xfId="2082" xr:uid="{00000000-0005-0000-0000-000012080000}"/>
    <cellStyle name="Hyperlink 2 2" xfId="2083" xr:uid="{00000000-0005-0000-0000-000013080000}"/>
    <cellStyle name="Hyperlink 3" xfId="2084" xr:uid="{00000000-0005-0000-0000-000014080000}"/>
    <cellStyle name="Hyperlink 4" xfId="2085" xr:uid="{00000000-0005-0000-0000-000015080000}"/>
    <cellStyle name="iannumber" xfId="2086" xr:uid="{00000000-0005-0000-0000-000016080000}"/>
    <cellStyle name="ianpercent" xfId="2087" xr:uid="{00000000-0005-0000-0000-000017080000}"/>
    <cellStyle name="Income" xfId="2088" xr:uid="{00000000-0005-0000-0000-000018080000}"/>
    <cellStyle name="IncomeStatement" xfId="2089" xr:uid="{00000000-0005-0000-0000-000019080000}"/>
    <cellStyle name="INCSTMT" xfId="2090" xr:uid="{00000000-0005-0000-0000-00001A080000}"/>
    <cellStyle name="Indent" xfId="2091" xr:uid="{00000000-0005-0000-0000-00001B080000}"/>
    <cellStyle name="Indent Bold" xfId="2092" xr:uid="{00000000-0005-0000-0000-00001C080000}"/>
    <cellStyle name="Info_Main" xfId="2093" xr:uid="{00000000-0005-0000-0000-00001D080000}"/>
    <cellStyle name="Input [yellow]" xfId="2094" xr:uid="{00000000-0005-0000-0000-00001E080000}"/>
    <cellStyle name="Input [yellow] 2" xfId="2095" xr:uid="{00000000-0005-0000-0000-00001F080000}"/>
    <cellStyle name="Input [yellow] 3" xfId="2096" xr:uid="{00000000-0005-0000-0000-000020080000}"/>
    <cellStyle name="Input [yellow] 4" xfId="2097" xr:uid="{00000000-0005-0000-0000-000021080000}"/>
    <cellStyle name="Input [yellow] 5" xfId="2098" xr:uid="{00000000-0005-0000-0000-000022080000}"/>
    <cellStyle name="Input [yellow] 6" xfId="2099" xr:uid="{00000000-0005-0000-0000-000023080000}"/>
    <cellStyle name="Input [yellow] 7" xfId="2100" xr:uid="{00000000-0005-0000-0000-000024080000}"/>
    <cellStyle name="Input [yellow] 8" xfId="2101" xr:uid="{00000000-0005-0000-0000-000025080000}"/>
    <cellStyle name="Input [yellow] 9" xfId="2102" xr:uid="{00000000-0005-0000-0000-000026080000}"/>
    <cellStyle name="Input 2" xfId="2103" xr:uid="{00000000-0005-0000-0000-000027080000}"/>
    <cellStyle name="Input 2 2" xfId="2104" xr:uid="{00000000-0005-0000-0000-000028080000}"/>
    <cellStyle name="Input 2 3" xfId="2105" xr:uid="{00000000-0005-0000-0000-000029080000}"/>
    <cellStyle name="Input 3" xfId="2106" xr:uid="{00000000-0005-0000-0000-00002A080000}"/>
    <cellStyle name="Input 4" xfId="2107" xr:uid="{00000000-0005-0000-0000-00002B080000}"/>
    <cellStyle name="Input 4 2" xfId="2108" xr:uid="{00000000-0005-0000-0000-00002C080000}"/>
    <cellStyle name="Input 4 3" xfId="2109" xr:uid="{00000000-0005-0000-0000-00002D080000}"/>
    <cellStyle name="Input Cells" xfId="2110" xr:uid="{00000000-0005-0000-0000-00002E080000}"/>
    <cellStyle name="Input Currency" xfId="2111" xr:uid="{00000000-0005-0000-0000-00002F080000}"/>
    <cellStyle name="Input Date" xfId="2112" xr:uid="{00000000-0005-0000-0000-000030080000}"/>
    <cellStyle name="Input Fixed [0]" xfId="2113" xr:uid="{00000000-0005-0000-0000-000031080000}"/>
    <cellStyle name="Input Normal" xfId="2114" xr:uid="{00000000-0005-0000-0000-000032080000}"/>
    <cellStyle name="Input Percent" xfId="2115" xr:uid="{00000000-0005-0000-0000-000033080000}"/>
    <cellStyle name="Input Percent [2]" xfId="2116" xr:uid="{00000000-0005-0000-0000-000034080000}"/>
    <cellStyle name="Input Titles" xfId="2117" xr:uid="{00000000-0005-0000-0000-000035080000}"/>
    <cellStyle name="Input1dp" xfId="2118" xr:uid="{00000000-0005-0000-0000-000036080000}"/>
    <cellStyle name="InputBlueFont_Valuation " xfId="2119" xr:uid="{00000000-0005-0000-0000-000037080000}"/>
    <cellStyle name="InputData" xfId="2120" xr:uid="{00000000-0005-0000-0000-000038080000}"/>
    <cellStyle name="InputData 2" xfId="2121" xr:uid="{00000000-0005-0000-0000-000039080000}"/>
    <cellStyle name="InputDate" xfId="2122" xr:uid="{00000000-0005-0000-0000-00003A080000}"/>
    <cellStyle name="InputInfo" xfId="2123" xr:uid="{00000000-0005-0000-0000-00003B080000}"/>
    <cellStyle name="Input-Output" xfId="2124" xr:uid="{00000000-0005-0000-0000-00003C080000}"/>
    <cellStyle name="InputPercent" xfId="2125" xr:uid="{00000000-0005-0000-0000-00003D080000}"/>
    <cellStyle name="InputSheet" xfId="2126" xr:uid="{00000000-0005-0000-0000-00003E080000}"/>
    <cellStyle name="Integer" xfId="2127" xr:uid="{00000000-0005-0000-0000-00003F080000}"/>
    <cellStyle name="Integer 2" xfId="2128" xr:uid="{00000000-0005-0000-0000-000040080000}"/>
    <cellStyle name="Integer 2 2" xfId="2129" xr:uid="{00000000-0005-0000-0000-000041080000}"/>
    <cellStyle name="Integer 2 3" xfId="2130" xr:uid="{00000000-0005-0000-0000-000042080000}"/>
    <cellStyle name="Italic" xfId="2131" xr:uid="{00000000-0005-0000-0000-000043080000}"/>
    <cellStyle name="Italic 2" xfId="2132" xr:uid="{00000000-0005-0000-0000-000044080000}"/>
    <cellStyle name="Italic 3" xfId="2133" xr:uid="{00000000-0005-0000-0000-000045080000}"/>
    <cellStyle name="Item" xfId="2134" xr:uid="{00000000-0005-0000-0000-000046080000}"/>
    <cellStyle name="Item 2" xfId="2135" xr:uid="{00000000-0005-0000-0000-000047080000}"/>
    <cellStyle name="Item1" xfId="2136" xr:uid="{00000000-0005-0000-0000-000048080000}"/>
    <cellStyle name="Item2" xfId="2137" xr:uid="{00000000-0005-0000-0000-000049080000}"/>
    <cellStyle name="Item3" xfId="2138" xr:uid="{00000000-0005-0000-0000-00004A080000}"/>
    <cellStyle name="Items_Optional" xfId="2139" xr:uid="{00000000-0005-0000-0000-00004B080000}"/>
    <cellStyle name="ItemTot" xfId="2140" xr:uid="{00000000-0005-0000-0000-00004C080000}"/>
    <cellStyle name="ItemTypeClass" xfId="2141" xr:uid="{00000000-0005-0000-0000-00004D080000}"/>
    <cellStyle name="jhi" xfId="2142" xr:uid="{00000000-0005-0000-0000-00004E080000}"/>
    <cellStyle name="kakko" xfId="2143" xr:uid="{00000000-0005-0000-0000-00004F080000}"/>
    <cellStyle name="Label_Manual" xfId="2144" xr:uid="{00000000-0005-0000-0000-000050080000}"/>
    <cellStyle name="Labels - Style3" xfId="2145" xr:uid="{00000000-0005-0000-0000-000051080000}"/>
    <cellStyle name="LEVERS69" xfId="2146" xr:uid="{00000000-0005-0000-0000-000052080000}"/>
    <cellStyle name="Link" xfId="2147" xr:uid="{00000000-0005-0000-0000-000053080000}"/>
    <cellStyle name="Link 2" xfId="2148" xr:uid="{00000000-0005-0000-0000-000054080000}"/>
    <cellStyle name="Linked Cell 2" xfId="2149" xr:uid="{00000000-0005-0000-0000-000055080000}"/>
    <cellStyle name="Linked Cell 2 2" xfId="2150" xr:uid="{00000000-0005-0000-0000-000056080000}"/>
    <cellStyle name="Linked Cell 2 3" xfId="2151" xr:uid="{00000000-0005-0000-0000-000057080000}"/>
    <cellStyle name="Linked Cell 3" xfId="2152" xr:uid="{00000000-0005-0000-0000-000058080000}"/>
    <cellStyle name="Linked Cell 4" xfId="2153" xr:uid="{00000000-0005-0000-0000-000059080000}"/>
    <cellStyle name="Linked Cell 4 2" xfId="2154" xr:uid="{00000000-0005-0000-0000-00005A080000}"/>
    <cellStyle name="Linked Cell 4 3" xfId="2155" xr:uid="{00000000-0005-0000-0000-00005B080000}"/>
    <cellStyle name="Linked-Sheet" xfId="2156" xr:uid="{00000000-0005-0000-0000-00005C080000}"/>
    <cellStyle name="LTGR" xfId="2157" xr:uid="{00000000-0005-0000-0000-00005D080000}"/>
    <cellStyle name="m" xfId="2158" xr:uid="{00000000-0005-0000-0000-00005E080000}"/>
    <cellStyle name="m$" xfId="2159" xr:uid="{00000000-0005-0000-0000-00005F080000}"/>
    <cellStyle name="m/d/yy" xfId="2160" xr:uid="{00000000-0005-0000-0000-000060080000}"/>
    <cellStyle name="m_BRR" xfId="2161" xr:uid="{00000000-0005-0000-0000-000061080000}"/>
    <cellStyle name="m_Bsnx.xls Chart 1" xfId="2162" xr:uid="{00000000-0005-0000-0000-000062080000}"/>
    <cellStyle name="m_Bsnx.xls Chart 2" xfId="2163" xr:uid="{00000000-0005-0000-0000-000063080000}"/>
    <cellStyle name="m_Bsnx.xls Chart 3" xfId="2164" xr:uid="{00000000-0005-0000-0000-000064080000}"/>
    <cellStyle name="m_COG.XLS Chart 1" xfId="2165" xr:uid="{00000000-0005-0000-0000-000065080000}"/>
    <cellStyle name="m_COG.XLS Chart 2" xfId="2166" xr:uid="{00000000-0005-0000-0000-000066080000}"/>
    <cellStyle name="m_COG.XLS Chart 3" xfId="2167" xr:uid="{00000000-0005-0000-0000-000067080000}"/>
    <cellStyle name="m_LD.xls Chart 1" xfId="2168" xr:uid="{00000000-0005-0000-0000-000068080000}"/>
    <cellStyle name="m_LD.xls Chart 2" xfId="2169" xr:uid="{00000000-0005-0000-0000-000069080000}"/>
    <cellStyle name="m_LD.xls Chart 3" xfId="2170" xr:uid="{00000000-0005-0000-0000-00006A080000}"/>
    <cellStyle name="m_MARY.xls Chart 1" xfId="2171" xr:uid="{00000000-0005-0000-0000-00006B080000}"/>
    <cellStyle name="m_MARY.xls Chart 2" xfId="2172" xr:uid="{00000000-0005-0000-0000-00006C080000}"/>
    <cellStyle name="m_MARY.xls Chart 3" xfId="2173" xr:uid="{00000000-0005-0000-0000-00006D080000}"/>
    <cellStyle name="m_nev.xls Chart 1" xfId="2174" xr:uid="{00000000-0005-0000-0000-00006E080000}"/>
    <cellStyle name="m_nev.xls Chart 2" xfId="2175" xr:uid="{00000000-0005-0000-0000-00006F080000}"/>
    <cellStyle name="m_nev.xls Chart 3" xfId="2176" xr:uid="{00000000-0005-0000-0000-000070080000}"/>
    <cellStyle name="m_OEI.xls Chart 1" xfId="2177" xr:uid="{00000000-0005-0000-0000-000071080000}"/>
    <cellStyle name="m_OEI.xls Chart 2" xfId="2178" xr:uid="{00000000-0005-0000-0000-000072080000}"/>
    <cellStyle name="m_OEI.xls Chart 3" xfId="2179" xr:uid="{00000000-0005-0000-0000-000073080000}"/>
    <cellStyle name="m_SPNX.xls Chart 1" xfId="2180" xr:uid="{00000000-0005-0000-0000-000074080000}"/>
    <cellStyle name="m_SPNX.xls Chart 2" xfId="2181" xr:uid="{00000000-0005-0000-0000-000075080000}"/>
    <cellStyle name="m_SPNX.xls Chart 3" xfId="2182" xr:uid="{00000000-0005-0000-0000-000076080000}"/>
    <cellStyle name="mahesh" xfId="2183" xr:uid="{00000000-0005-0000-0000-000077080000}"/>
    <cellStyle name="main" xfId="2184" xr:uid="{00000000-0005-0000-0000-000078080000}"/>
    <cellStyle name="Mainhead" xfId="2185" xr:uid="{00000000-0005-0000-0000-000079080000}"/>
    <cellStyle name="margenta-f" xfId="2186" xr:uid="{00000000-0005-0000-0000-00007A080000}"/>
    <cellStyle name="Margin" xfId="2187" xr:uid="{00000000-0005-0000-0000-00007B080000}"/>
    <cellStyle name="Margins" xfId="2188" xr:uid="{00000000-0005-0000-0000-00007C080000}"/>
    <cellStyle name="MedLine(B)" xfId="2189" xr:uid="{00000000-0005-0000-0000-00007D080000}"/>
    <cellStyle name="MedLine(B) 2" xfId="2190" xr:uid="{00000000-0005-0000-0000-00007E080000}"/>
    <cellStyle name="MedLine(B) 2 2" xfId="2191" xr:uid="{00000000-0005-0000-0000-00007F080000}"/>
    <cellStyle name="MedLine(B) 2 3" xfId="2192" xr:uid="{00000000-0005-0000-0000-000080080000}"/>
    <cellStyle name="MedLines(2)" xfId="2193" xr:uid="{00000000-0005-0000-0000-000081080000}"/>
    <cellStyle name="MedLines(2) 2" xfId="2194" xr:uid="{00000000-0005-0000-0000-000082080000}"/>
    <cellStyle name="MedLines(2) 2 2" xfId="2195" xr:uid="{00000000-0005-0000-0000-000083080000}"/>
    <cellStyle name="MedLines(2) 2 3" xfId="2196" xr:uid="{00000000-0005-0000-0000-000084080000}"/>
    <cellStyle name="MidTotal" xfId="2197" xr:uid="{00000000-0005-0000-0000-000085080000}"/>
    <cellStyle name="Millares [0]_10 AVERIAS MASIVAS + ANT" xfId="2198" xr:uid="{00000000-0005-0000-0000-000086080000}"/>
    <cellStyle name="Millares_10 AVERIAS MASIVAS + ANT" xfId="2199" xr:uid="{00000000-0005-0000-0000-000087080000}"/>
    <cellStyle name="Milliers [0]_!!!GO" xfId="2200" xr:uid="{00000000-0005-0000-0000-000088080000}"/>
    <cellStyle name="Milliers_!!!GO" xfId="2201" xr:uid="{00000000-0005-0000-0000-000089080000}"/>
    <cellStyle name="mm" xfId="2202" xr:uid="{00000000-0005-0000-0000-00008A080000}"/>
    <cellStyle name="mmm" xfId="2203" xr:uid="{00000000-0005-0000-0000-00008B080000}"/>
    <cellStyle name="mmm-yy" xfId="2204" xr:uid="{00000000-0005-0000-0000-00008C080000}"/>
    <cellStyle name="Model" xfId="2205" xr:uid="{00000000-0005-0000-0000-00008D080000}"/>
    <cellStyle name="Moneda [0]_10 AVERIAS MASIVAS + ANT" xfId="2206" xr:uid="{00000000-0005-0000-0000-00008E080000}"/>
    <cellStyle name="Moneda_10 AVERIAS MASIVAS + ANT" xfId="2207" xr:uid="{00000000-0005-0000-0000-00008F080000}"/>
    <cellStyle name="Monétaire [0]_!!!GO" xfId="2208" xr:uid="{00000000-0005-0000-0000-000090080000}"/>
    <cellStyle name="Monétaire_!!!GO" xfId="2209" xr:uid="{00000000-0005-0000-0000-000091080000}"/>
    <cellStyle name="Monetario" xfId="2210" xr:uid="{00000000-0005-0000-0000-000092080000}"/>
    <cellStyle name="Money" xfId="2211" xr:uid="{00000000-0005-0000-0000-000093080000}"/>
    <cellStyle name="Month" xfId="2212" xr:uid="{00000000-0005-0000-0000-000094080000}"/>
    <cellStyle name="Multiple" xfId="2213" xr:uid="{00000000-0005-0000-0000-000095080000}"/>
    <cellStyle name="N/Y" xfId="2214" xr:uid="{00000000-0005-0000-0000-000096080000}"/>
    <cellStyle name="NA is zero" xfId="2215" xr:uid="{00000000-0005-0000-0000-000097080000}"/>
    <cellStyle name="Neutral 2" xfId="2216" xr:uid="{00000000-0005-0000-0000-000098080000}"/>
    <cellStyle name="Neutral 2 2" xfId="2217" xr:uid="{00000000-0005-0000-0000-000099080000}"/>
    <cellStyle name="Neutral 2 3" xfId="2218" xr:uid="{00000000-0005-0000-0000-00009A080000}"/>
    <cellStyle name="Neutral 3" xfId="2219" xr:uid="{00000000-0005-0000-0000-00009B080000}"/>
    <cellStyle name="Neutral 4" xfId="2220" xr:uid="{00000000-0005-0000-0000-00009C080000}"/>
    <cellStyle name="Neutral 4 2" xfId="2221" xr:uid="{00000000-0005-0000-0000-00009D080000}"/>
    <cellStyle name="Neutral 4 3" xfId="2222" xr:uid="{00000000-0005-0000-0000-00009E080000}"/>
    <cellStyle name="new font" xfId="2223" xr:uid="{00000000-0005-0000-0000-00009F080000}"/>
    <cellStyle name="New Times Roman" xfId="2224" xr:uid="{00000000-0005-0000-0000-0000A0080000}"/>
    <cellStyle name="no dec" xfId="2225" xr:uid="{00000000-0005-0000-0000-0000A1080000}"/>
    <cellStyle name="No Decimal" xfId="2226" xr:uid="{00000000-0005-0000-0000-0000A2080000}"/>
    <cellStyle name="Nodec" xfId="2227" xr:uid="{00000000-0005-0000-0000-0000A3080000}"/>
    <cellStyle name="nor" xfId="2228" xr:uid="{00000000-0005-0000-0000-0000A4080000}"/>
    <cellStyle name="Norm੎੎" xfId="2229" xr:uid="{00000000-0005-0000-0000-0000A5080000}"/>
    <cellStyle name="Norma?_INOPXESD" xfId="2230" xr:uid="{00000000-0005-0000-0000-0000A6080000}"/>
    <cellStyle name="Normal" xfId="0" builtinId="0"/>
    <cellStyle name="Normal--" xfId="2231" xr:uid="{00000000-0005-0000-0000-0000A8080000}"/>
    <cellStyle name="Normal - Style1" xfId="2232" xr:uid="{00000000-0005-0000-0000-0000A9080000}"/>
    <cellStyle name="Normal &quot;na&quot; is red" xfId="2233" xr:uid="{00000000-0005-0000-0000-0000AA080000}"/>
    <cellStyle name="Normal &quot;na&quot; is red 2" xfId="2234" xr:uid="{00000000-0005-0000-0000-0000AB080000}"/>
    <cellStyle name="Normal (no,)" xfId="2235" xr:uid="{00000000-0005-0000-0000-0000AC080000}"/>
    <cellStyle name="Normal [0]" xfId="2236" xr:uid="{00000000-0005-0000-0000-0000AD080000}"/>
    <cellStyle name="Normal [1]" xfId="2237" xr:uid="{00000000-0005-0000-0000-0000AE080000}"/>
    <cellStyle name="Normal [2]" xfId="2238" xr:uid="{00000000-0005-0000-0000-0000AF080000}"/>
    <cellStyle name="Normal [3]" xfId="2239" xr:uid="{00000000-0005-0000-0000-0000B0080000}"/>
    <cellStyle name="Normal 10" xfId="2240" xr:uid="{00000000-0005-0000-0000-0000B1080000}"/>
    <cellStyle name="Normal 10 2" xfId="23" xr:uid="{00000000-0005-0000-0000-0000B2080000}"/>
    <cellStyle name="Normal 10 3" xfId="2241" xr:uid="{00000000-0005-0000-0000-0000B3080000}"/>
    <cellStyle name="Normal 10 4" xfId="2242" xr:uid="{00000000-0005-0000-0000-0000B4080000}"/>
    <cellStyle name="Normal 11" xfId="2243" xr:uid="{00000000-0005-0000-0000-0000B5080000}"/>
    <cellStyle name="Normal 11 2" xfId="2244" xr:uid="{00000000-0005-0000-0000-0000B6080000}"/>
    <cellStyle name="Normal 113" xfId="2245" xr:uid="{00000000-0005-0000-0000-0000B7080000}"/>
    <cellStyle name="Normal 12" xfId="2246" xr:uid="{00000000-0005-0000-0000-0000B8080000}"/>
    <cellStyle name="Normal 13" xfId="2247" xr:uid="{00000000-0005-0000-0000-0000B9080000}"/>
    <cellStyle name="Normal 13 2" xfId="16" xr:uid="{00000000-0005-0000-0000-0000BA080000}"/>
    <cellStyle name="Normal 14" xfId="2248" xr:uid="{00000000-0005-0000-0000-0000BB080000}"/>
    <cellStyle name="Normal 143" xfId="2249" xr:uid="{00000000-0005-0000-0000-0000BC080000}"/>
    <cellStyle name="Normal 144" xfId="2250" xr:uid="{00000000-0005-0000-0000-0000BD080000}"/>
    <cellStyle name="Normal 15" xfId="2251" xr:uid="{00000000-0005-0000-0000-0000BE080000}"/>
    <cellStyle name="Normal 152" xfId="2252" xr:uid="{00000000-0005-0000-0000-0000BF080000}"/>
    <cellStyle name="Normal 16" xfId="2253" xr:uid="{00000000-0005-0000-0000-0000C0080000}"/>
    <cellStyle name="Normal 161" xfId="2254" xr:uid="{00000000-0005-0000-0000-0000C1080000}"/>
    <cellStyle name="Normal 165" xfId="2255" xr:uid="{00000000-0005-0000-0000-0000C2080000}"/>
    <cellStyle name="Normal 166" xfId="2256" xr:uid="{00000000-0005-0000-0000-0000C3080000}"/>
    <cellStyle name="Normal 167" xfId="2257" xr:uid="{00000000-0005-0000-0000-0000C4080000}"/>
    <cellStyle name="Normal 168" xfId="2258" xr:uid="{00000000-0005-0000-0000-0000C5080000}"/>
    <cellStyle name="Normal 169" xfId="2259" xr:uid="{00000000-0005-0000-0000-0000C6080000}"/>
    <cellStyle name="Normal 17" xfId="2260" xr:uid="{00000000-0005-0000-0000-0000C7080000}"/>
    <cellStyle name="Normal 17 2" xfId="2261" xr:uid="{00000000-0005-0000-0000-0000C8080000}"/>
    <cellStyle name="Normal 17 2 2" xfId="2262" xr:uid="{00000000-0005-0000-0000-0000C9080000}"/>
    <cellStyle name="Normal 17 2 3" xfId="2263" xr:uid="{00000000-0005-0000-0000-0000CA080000}"/>
    <cellStyle name="Normal 17 3" xfId="2264" xr:uid="{00000000-0005-0000-0000-0000CB080000}"/>
    <cellStyle name="Normal 17 3 2" xfId="2265" xr:uid="{00000000-0005-0000-0000-0000CC080000}"/>
    <cellStyle name="Normal 17 3 3" xfId="2266" xr:uid="{00000000-0005-0000-0000-0000CD080000}"/>
    <cellStyle name="Normal 17 4" xfId="2267" xr:uid="{00000000-0005-0000-0000-0000CE080000}"/>
    <cellStyle name="Normal 17 4 2" xfId="2268" xr:uid="{00000000-0005-0000-0000-0000CF080000}"/>
    <cellStyle name="Normal 17 4 3" xfId="2269" xr:uid="{00000000-0005-0000-0000-0000D0080000}"/>
    <cellStyle name="Normal 17 5" xfId="2270" xr:uid="{00000000-0005-0000-0000-0000D1080000}"/>
    <cellStyle name="Normal 17 5 2" xfId="2271" xr:uid="{00000000-0005-0000-0000-0000D2080000}"/>
    <cellStyle name="Normal 17 5 3" xfId="2272" xr:uid="{00000000-0005-0000-0000-0000D3080000}"/>
    <cellStyle name="Normal 17 6" xfId="2273" xr:uid="{00000000-0005-0000-0000-0000D4080000}"/>
    <cellStyle name="Normal 17 6 2" xfId="2274" xr:uid="{00000000-0005-0000-0000-0000D5080000}"/>
    <cellStyle name="Normal 17 6 3" xfId="2275" xr:uid="{00000000-0005-0000-0000-0000D6080000}"/>
    <cellStyle name="Normal 17 7" xfId="2276" xr:uid="{00000000-0005-0000-0000-0000D7080000}"/>
    <cellStyle name="Normal 17 7 2" xfId="2277" xr:uid="{00000000-0005-0000-0000-0000D8080000}"/>
    <cellStyle name="Normal 17 7 3" xfId="2278" xr:uid="{00000000-0005-0000-0000-0000D9080000}"/>
    <cellStyle name="Normal 170" xfId="2279" xr:uid="{00000000-0005-0000-0000-0000DA080000}"/>
    <cellStyle name="Normal 171" xfId="2280" xr:uid="{00000000-0005-0000-0000-0000DB080000}"/>
    <cellStyle name="Normal 172" xfId="2281" xr:uid="{00000000-0005-0000-0000-0000DC080000}"/>
    <cellStyle name="Normal 173" xfId="2282" xr:uid="{00000000-0005-0000-0000-0000DD080000}"/>
    <cellStyle name="Normal 174" xfId="2283" xr:uid="{00000000-0005-0000-0000-0000DE080000}"/>
    <cellStyle name="Normal 175" xfId="2284" xr:uid="{00000000-0005-0000-0000-0000DF080000}"/>
    <cellStyle name="Normal 176" xfId="2285" xr:uid="{00000000-0005-0000-0000-0000E0080000}"/>
    <cellStyle name="Normal 177" xfId="2286" xr:uid="{00000000-0005-0000-0000-0000E1080000}"/>
    <cellStyle name="Normal 178" xfId="2287" xr:uid="{00000000-0005-0000-0000-0000E2080000}"/>
    <cellStyle name="Normal 18" xfId="2288" xr:uid="{00000000-0005-0000-0000-0000E3080000}"/>
    <cellStyle name="Normal 19" xfId="2289" xr:uid="{00000000-0005-0000-0000-0000E4080000}"/>
    <cellStyle name="Normal 2" xfId="3" xr:uid="{00000000-0005-0000-0000-0000E5080000}"/>
    <cellStyle name="Normal 2 10" xfId="2290" xr:uid="{00000000-0005-0000-0000-0000E6080000}"/>
    <cellStyle name="Normal 2 11" xfId="2291" xr:uid="{00000000-0005-0000-0000-0000E7080000}"/>
    <cellStyle name="Normal 2 12" xfId="2292" xr:uid="{00000000-0005-0000-0000-0000E8080000}"/>
    <cellStyle name="Normal 2 13" xfId="2293" xr:uid="{00000000-0005-0000-0000-0000E9080000}"/>
    <cellStyle name="Normal 2 14" xfId="2294" xr:uid="{00000000-0005-0000-0000-0000EA080000}"/>
    <cellStyle name="Normal 2 15" xfId="2295" xr:uid="{00000000-0005-0000-0000-0000EB080000}"/>
    <cellStyle name="Normal 2 16" xfId="2296" xr:uid="{00000000-0005-0000-0000-0000EC080000}"/>
    <cellStyle name="Normal 2 17" xfId="2297" xr:uid="{00000000-0005-0000-0000-0000ED080000}"/>
    <cellStyle name="Normal 2 18" xfId="2298" xr:uid="{00000000-0005-0000-0000-0000EE080000}"/>
    <cellStyle name="Normal 2 19" xfId="2299" xr:uid="{00000000-0005-0000-0000-0000EF080000}"/>
    <cellStyle name="Normal 2 2" xfId="8" xr:uid="{00000000-0005-0000-0000-0000F0080000}"/>
    <cellStyle name="Normal 2 2 2" xfId="12" xr:uid="{00000000-0005-0000-0000-0000F1080000}"/>
    <cellStyle name="Normal 2 2 2 2" xfId="2300" xr:uid="{00000000-0005-0000-0000-0000F2080000}"/>
    <cellStyle name="Normal 2 2 2_Titan EM_11june2012" xfId="2301" xr:uid="{00000000-0005-0000-0000-0000F3080000}"/>
    <cellStyle name="Normal 2 2 3" xfId="22" xr:uid="{00000000-0005-0000-0000-0000F4080000}"/>
    <cellStyle name="Normal 2 2 4" xfId="2302" xr:uid="{00000000-0005-0000-0000-0000F5080000}"/>
    <cellStyle name="Normal 2 2 4 2" xfId="2303" xr:uid="{00000000-0005-0000-0000-0000F6080000}"/>
    <cellStyle name="Normal 2 2 4 3" xfId="2304" xr:uid="{00000000-0005-0000-0000-0000F7080000}"/>
    <cellStyle name="Normal 2 2 5" xfId="2305" xr:uid="{00000000-0005-0000-0000-0000F8080000}"/>
    <cellStyle name="Normal 2 2 6" xfId="2306" xr:uid="{00000000-0005-0000-0000-0000F9080000}"/>
    <cellStyle name="Normal 2 20" xfId="2307" xr:uid="{00000000-0005-0000-0000-0000FA080000}"/>
    <cellStyle name="Normal 2 21" xfId="2308" xr:uid="{00000000-0005-0000-0000-0000FB080000}"/>
    <cellStyle name="Normal 2 22" xfId="2309" xr:uid="{00000000-0005-0000-0000-0000FC080000}"/>
    <cellStyle name="Normal 2 23" xfId="2310" xr:uid="{00000000-0005-0000-0000-0000FD080000}"/>
    <cellStyle name="Normal 2 24" xfId="2311" xr:uid="{00000000-0005-0000-0000-0000FE080000}"/>
    <cellStyle name="Normal 2 25" xfId="2312" xr:uid="{00000000-0005-0000-0000-0000FF080000}"/>
    <cellStyle name="Normal 2 26" xfId="2313" xr:uid="{00000000-0005-0000-0000-000000090000}"/>
    <cellStyle name="Normal 2 27" xfId="2314" xr:uid="{00000000-0005-0000-0000-000001090000}"/>
    <cellStyle name="Normal 2 3" xfId="2315" xr:uid="{00000000-0005-0000-0000-000002090000}"/>
    <cellStyle name="Normal 2 4" xfId="2316" xr:uid="{00000000-0005-0000-0000-000003090000}"/>
    <cellStyle name="Normal 2 4 2" xfId="2317" xr:uid="{00000000-0005-0000-0000-000004090000}"/>
    <cellStyle name="Normal 2 4 2 2" xfId="2318" xr:uid="{00000000-0005-0000-0000-000005090000}"/>
    <cellStyle name="Normal 2 4 2 3" xfId="2319" xr:uid="{00000000-0005-0000-0000-000006090000}"/>
    <cellStyle name="Normal 2 4 2 4" xfId="2320" xr:uid="{00000000-0005-0000-0000-000007090000}"/>
    <cellStyle name="Normal 2 4 2 5" xfId="2321" xr:uid="{00000000-0005-0000-0000-000008090000}"/>
    <cellStyle name="Normal 2 4 3" xfId="2322" xr:uid="{00000000-0005-0000-0000-000009090000}"/>
    <cellStyle name="Normal 2 4 4" xfId="2323" xr:uid="{00000000-0005-0000-0000-00000A090000}"/>
    <cellStyle name="Normal 2 5" xfId="2324" xr:uid="{00000000-0005-0000-0000-00000B090000}"/>
    <cellStyle name="Normal 2 6" xfId="2325" xr:uid="{00000000-0005-0000-0000-00000C090000}"/>
    <cellStyle name="Normal 2 6 2" xfId="2326" xr:uid="{00000000-0005-0000-0000-00000D090000}"/>
    <cellStyle name="Normal 2 6_Titan EM_11june2012" xfId="2327" xr:uid="{00000000-0005-0000-0000-00000E090000}"/>
    <cellStyle name="Normal 2 7" xfId="2328" xr:uid="{00000000-0005-0000-0000-00000F090000}"/>
    <cellStyle name="Normal 2 7 2" xfId="2329" xr:uid="{00000000-0005-0000-0000-000010090000}"/>
    <cellStyle name="Normal 2 8" xfId="2330" xr:uid="{00000000-0005-0000-0000-000011090000}"/>
    <cellStyle name="Normal 2 9" xfId="2331" xr:uid="{00000000-0005-0000-0000-000012090000}"/>
    <cellStyle name="Normal 2_Final Thermax Model - 060511" xfId="2332" xr:uid="{00000000-0005-0000-0000-000013090000}"/>
    <cellStyle name="Normal 20" xfId="2333" xr:uid="{00000000-0005-0000-0000-000014090000}"/>
    <cellStyle name="Normal 20 2" xfId="2334" xr:uid="{00000000-0005-0000-0000-000015090000}"/>
    <cellStyle name="Normal 21" xfId="9" xr:uid="{00000000-0005-0000-0000-000016090000}"/>
    <cellStyle name="Normal 22" xfId="2335" xr:uid="{00000000-0005-0000-0000-000017090000}"/>
    <cellStyle name="Normal 22 2" xfId="2336" xr:uid="{00000000-0005-0000-0000-000018090000}"/>
    <cellStyle name="Normal 23" xfId="2337" xr:uid="{00000000-0005-0000-0000-000019090000}"/>
    <cellStyle name="Normal 24" xfId="2338" xr:uid="{00000000-0005-0000-0000-00001A090000}"/>
    <cellStyle name="Normal 25" xfId="2339" xr:uid="{00000000-0005-0000-0000-00001B090000}"/>
    <cellStyle name="Normal 26" xfId="2340" xr:uid="{00000000-0005-0000-0000-00001C090000}"/>
    <cellStyle name="Normal 27" xfId="2341" xr:uid="{00000000-0005-0000-0000-00001D090000}"/>
    <cellStyle name="Normal 28" xfId="2342" xr:uid="{00000000-0005-0000-0000-00001E090000}"/>
    <cellStyle name="Normal 29" xfId="2343" xr:uid="{00000000-0005-0000-0000-00001F090000}"/>
    <cellStyle name="Normal 3" xfId="2344" xr:uid="{00000000-0005-0000-0000-000020090000}"/>
    <cellStyle name="Normal 3 2" xfId="2345" xr:uid="{00000000-0005-0000-0000-000021090000}"/>
    <cellStyle name="Normal 3 2 2" xfId="2346" xr:uid="{00000000-0005-0000-0000-000022090000}"/>
    <cellStyle name="Normal 3 2 3" xfId="2347" xr:uid="{00000000-0005-0000-0000-000023090000}"/>
    <cellStyle name="Normal 3 2 3 2" xfId="2348" xr:uid="{00000000-0005-0000-0000-000024090000}"/>
    <cellStyle name="Normal 3 2 4" xfId="2349" xr:uid="{00000000-0005-0000-0000-000025090000}"/>
    <cellStyle name="Normal 3 3" xfId="2350" xr:uid="{00000000-0005-0000-0000-000026090000}"/>
    <cellStyle name="Normal 3 4" xfId="2351" xr:uid="{00000000-0005-0000-0000-000027090000}"/>
    <cellStyle name="Normal 3 5" xfId="2352" xr:uid="{00000000-0005-0000-0000-000028090000}"/>
    <cellStyle name="Normal 3 6" xfId="2353" xr:uid="{00000000-0005-0000-0000-000029090000}"/>
    <cellStyle name="Normal 3 7" xfId="2354" xr:uid="{00000000-0005-0000-0000-00002A090000}"/>
    <cellStyle name="Normal 30" xfId="2355" xr:uid="{00000000-0005-0000-0000-00002B090000}"/>
    <cellStyle name="Normal 31" xfId="2356" xr:uid="{00000000-0005-0000-0000-00002C090000}"/>
    <cellStyle name="Normal 32" xfId="2357" xr:uid="{00000000-0005-0000-0000-00002D090000}"/>
    <cellStyle name="Normal 33" xfId="2358" xr:uid="{00000000-0005-0000-0000-00002E090000}"/>
    <cellStyle name="Normal 34" xfId="2359" xr:uid="{00000000-0005-0000-0000-00002F090000}"/>
    <cellStyle name="Normal 35" xfId="2360" xr:uid="{00000000-0005-0000-0000-000030090000}"/>
    <cellStyle name="Normal 36" xfId="2361" xr:uid="{00000000-0005-0000-0000-000031090000}"/>
    <cellStyle name="Normal 37" xfId="2362" xr:uid="{00000000-0005-0000-0000-000032090000}"/>
    <cellStyle name="Normal 38" xfId="2363" xr:uid="{00000000-0005-0000-0000-000033090000}"/>
    <cellStyle name="Normal 39" xfId="2364" xr:uid="{00000000-0005-0000-0000-000034090000}"/>
    <cellStyle name="Normal 4" xfId="2365" xr:uid="{00000000-0005-0000-0000-000035090000}"/>
    <cellStyle name="Normal 4 2" xfId="2366" xr:uid="{00000000-0005-0000-0000-000036090000}"/>
    <cellStyle name="Normal 4 3" xfId="2367" xr:uid="{00000000-0005-0000-0000-000037090000}"/>
    <cellStyle name="Normal 4 4" xfId="2368" xr:uid="{00000000-0005-0000-0000-000038090000}"/>
    <cellStyle name="Normal 4_Ambit_Cummins" xfId="2369" xr:uid="{00000000-0005-0000-0000-000039090000}"/>
    <cellStyle name="Normal 40" xfId="2370" xr:uid="{00000000-0005-0000-0000-00003A090000}"/>
    <cellStyle name="Normal 41" xfId="2371" xr:uid="{00000000-0005-0000-0000-00003B090000}"/>
    <cellStyle name="Normal 42" xfId="2372" xr:uid="{00000000-0005-0000-0000-00003C090000}"/>
    <cellStyle name="Normal 43" xfId="2373" xr:uid="{00000000-0005-0000-0000-00003D090000}"/>
    <cellStyle name="Normal 44" xfId="2374" xr:uid="{00000000-0005-0000-0000-00003E090000}"/>
    <cellStyle name="Normal 45" xfId="2375" xr:uid="{00000000-0005-0000-0000-00003F090000}"/>
    <cellStyle name="Normal 46" xfId="2376" xr:uid="{00000000-0005-0000-0000-000040090000}"/>
    <cellStyle name="Normal 47" xfId="2377" xr:uid="{00000000-0005-0000-0000-000041090000}"/>
    <cellStyle name="Normal 48" xfId="2378" xr:uid="{00000000-0005-0000-0000-000042090000}"/>
    <cellStyle name="Normal 49" xfId="2379" xr:uid="{00000000-0005-0000-0000-000043090000}"/>
    <cellStyle name="Normal 5" xfId="2380" xr:uid="{00000000-0005-0000-0000-000044090000}"/>
    <cellStyle name="Normal 5 2" xfId="2381" xr:uid="{00000000-0005-0000-0000-000045090000}"/>
    <cellStyle name="Normal 5 2 2" xfId="3236" xr:uid="{00000000-0005-0000-0000-000046090000}"/>
    <cellStyle name="Normal 5 2 3" xfId="3239" xr:uid="{00000000-0005-0000-0000-000047090000}"/>
    <cellStyle name="Normal 5 3" xfId="2382" xr:uid="{00000000-0005-0000-0000-000048090000}"/>
    <cellStyle name="Normal 5 3 2" xfId="3237" xr:uid="{00000000-0005-0000-0000-000049090000}"/>
    <cellStyle name="Normal 5 4" xfId="2383" xr:uid="{00000000-0005-0000-0000-00004A090000}"/>
    <cellStyle name="Normal 50" xfId="2384" xr:uid="{00000000-0005-0000-0000-00004B090000}"/>
    <cellStyle name="Normal 51" xfId="2385" xr:uid="{00000000-0005-0000-0000-00004C090000}"/>
    <cellStyle name="Normal 52" xfId="2386" xr:uid="{00000000-0005-0000-0000-00004D090000}"/>
    <cellStyle name="Normal 53" xfId="2387" xr:uid="{00000000-0005-0000-0000-00004E090000}"/>
    <cellStyle name="Normal 54" xfId="2388" xr:uid="{00000000-0005-0000-0000-00004F090000}"/>
    <cellStyle name="Normal 55" xfId="2389" xr:uid="{00000000-0005-0000-0000-000050090000}"/>
    <cellStyle name="Normal 56" xfId="2390" xr:uid="{00000000-0005-0000-0000-000051090000}"/>
    <cellStyle name="Normal 57" xfId="2391" xr:uid="{00000000-0005-0000-0000-000052090000}"/>
    <cellStyle name="Normal 58" xfId="2392" xr:uid="{00000000-0005-0000-0000-000053090000}"/>
    <cellStyle name="Normal 59" xfId="2393" xr:uid="{00000000-0005-0000-0000-000054090000}"/>
    <cellStyle name="Normal 6" xfId="2394" xr:uid="{00000000-0005-0000-0000-000055090000}"/>
    <cellStyle name="Normal 6 2" xfId="2395" xr:uid="{00000000-0005-0000-0000-000056090000}"/>
    <cellStyle name="Normal 6 3" xfId="3232" xr:uid="{00000000-0005-0000-0000-000057090000}"/>
    <cellStyle name="Normal 60" xfId="2396" xr:uid="{00000000-0005-0000-0000-000058090000}"/>
    <cellStyle name="Normal 61" xfId="2397" xr:uid="{00000000-0005-0000-0000-000059090000}"/>
    <cellStyle name="Normal 62" xfId="2398" xr:uid="{00000000-0005-0000-0000-00005A090000}"/>
    <cellStyle name="Normal 63" xfId="2399" xr:uid="{00000000-0005-0000-0000-00005B090000}"/>
    <cellStyle name="Normal 64" xfId="2400" xr:uid="{00000000-0005-0000-0000-00005C090000}"/>
    <cellStyle name="Normal 64 2" xfId="2401" xr:uid="{00000000-0005-0000-0000-00005D090000}"/>
    <cellStyle name="Normal 64 3" xfId="2402" xr:uid="{00000000-0005-0000-0000-00005E090000}"/>
    <cellStyle name="Normal 65" xfId="2403" xr:uid="{00000000-0005-0000-0000-00005F090000}"/>
    <cellStyle name="Normal 65 2" xfId="2404" xr:uid="{00000000-0005-0000-0000-000060090000}"/>
    <cellStyle name="Normal 65 3" xfId="2405" xr:uid="{00000000-0005-0000-0000-000061090000}"/>
    <cellStyle name="Normal 66" xfId="2406" xr:uid="{00000000-0005-0000-0000-000062090000}"/>
    <cellStyle name="Normal 66 2" xfId="2407" xr:uid="{00000000-0005-0000-0000-000063090000}"/>
    <cellStyle name="Normal 66 3" xfId="2408" xr:uid="{00000000-0005-0000-0000-000064090000}"/>
    <cellStyle name="Normal 669" xfId="13" xr:uid="{00000000-0005-0000-0000-000065090000}"/>
    <cellStyle name="Normal 67" xfId="2409" xr:uid="{00000000-0005-0000-0000-000066090000}"/>
    <cellStyle name="Normal 67 2" xfId="2410" xr:uid="{00000000-0005-0000-0000-000067090000}"/>
    <cellStyle name="Normal 67 3" xfId="2411" xr:uid="{00000000-0005-0000-0000-000068090000}"/>
    <cellStyle name="Normal 68" xfId="2412" xr:uid="{00000000-0005-0000-0000-000069090000}"/>
    <cellStyle name="Normal 68 2" xfId="2413" xr:uid="{00000000-0005-0000-0000-00006A090000}"/>
    <cellStyle name="Normal 68 3" xfId="2414" xr:uid="{00000000-0005-0000-0000-00006B090000}"/>
    <cellStyle name="Normal 69" xfId="2415" xr:uid="{00000000-0005-0000-0000-00006C090000}"/>
    <cellStyle name="Normal 69 2" xfId="2416" xr:uid="{00000000-0005-0000-0000-00006D090000}"/>
    <cellStyle name="Normal 69 3" xfId="2417" xr:uid="{00000000-0005-0000-0000-00006E090000}"/>
    <cellStyle name="Normal 7" xfId="2418" xr:uid="{00000000-0005-0000-0000-00006F090000}"/>
    <cellStyle name="Normal 7 2" xfId="2419" xr:uid="{00000000-0005-0000-0000-000070090000}"/>
    <cellStyle name="Normal 7 2 2" xfId="11" xr:uid="{00000000-0005-0000-0000-000071090000}"/>
    <cellStyle name="Normal 7 3" xfId="10" xr:uid="{00000000-0005-0000-0000-000072090000}"/>
    <cellStyle name="Normal 70" xfId="2420" xr:uid="{00000000-0005-0000-0000-000073090000}"/>
    <cellStyle name="Normal 70 2" xfId="2421" xr:uid="{00000000-0005-0000-0000-000074090000}"/>
    <cellStyle name="Normal 70 3" xfId="2422" xr:uid="{00000000-0005-0000-0000-000075090000}"/>
    <cellStyle name="Normal 71" xfId="3240" xr:uid="{00000000-0005-0000-0000-000076090000}"/>
    <cellStyle name="Normal 72" xfId="2423" xr:uid="{00000000-0005-0000-0000-000077090000}"/>
    <cellStyle name="Normal 8" xfId="2424" xr:uid="{00000000-0005-0000-0000-000078090000}"/>
    <cellStyle name="Normal 8 2" xfId="2425" xr:uid="{00000000-0005-0000-0000-000079090000}"/>
    <cellStyle name="Normal 8 2 10" xfId="2426" xr:uid="{00000000-0005-0000-0000-00007A090000}"/>
    <cellStyle name="Normal 8 2 2" xfId="2427" xr:uid="{00000000-0005-0000-0000-00007B090000}"/>
    <cellStyle name="Normal 8 2 2 2" xfId="2428" xr:uid="{00000000-0005-0000-0000-00007C090000}"/>
    <cellStyle name="Normal 8 2 2 2 2" xfId="2429" xr:uid="{00000000-0005-0000-0000-00007D090000}"/>
    <cellStyle name="Normal 8 2 2 2 3" xfId="2430" xr:uid="{00000000-0005-0000-0000-00007E090000}"/>
    <cellStyle name="Normal 8 2 2 3" xfId="2431" xr:uid="{00000000-0005-0000-0000-00007F090000}"/>
    <cellStyle name="Normal 8 2 2 3 2" xfId="2432" xr:uid="{00000000-0005-0000-0000-000080090000}"/>
    <cellStyle name="Normal 8 2 2 3 3" xfId="2433" xr:uid="{00000000-0005-0000-0000-000081090000}"/>
    <cellStyle name="Normal 8 2 2 4" xfId="2434" xr:uid="{00000000-0005-0000-0000-000082090000}"/>
    <cellStyle name="Normal 8 2 2 4 2" xfId="2435" xr:uid="{00000000-0005-0000-0000-000083090000}"/>
    <cellStyle name="Normal 8 2 2 4 3" xfId="2436" xr:uid="{00000000-0005-0000-0000-000084090000}"/>
    <cellStyle name="Normal 8 2 2 5" xfId="2437" xr:uid="{00000000-0005-0000-0000-000085090000}"/>
    <cellStyle name="Normal 8 2 2 5 2" xfId="2438" xr:uid="{00000000-0005-0000-0000-000086090000}"/>
    <cellStyle name="Normal 8 2 2 5 3" xfId="2439" xr:uid="{00000000-0005-0000-0000-000087090000}"/>
    <cellStyle name="Normal 8 2 2 6" xfId="2440" xr:uid="{00000000-0005-0000-0000-000088090000}"/>
    <cellStyle name="Normal 8 2 2 6 2" xfId="2441" xr:uid="{00000000-0005-0000-0000-000089090000}"/>
    <cellStyle name="Normal 8 2 2 6 3" xfId="2442" xr:uid="{00000000-0005-0000-0000-00008A090000}"/>
    <cellStyle name="Normal 8 2 2 7" xfId="2443" xr:uid="{00000000-0005-0000-0000-00008B090000}"/>
    <cellStyle name="Normal 8 2 2 7 2" xfId="2444" xr:uid="{00000000-0005-0000-0000-00008C090000}"/>
    <cellStyle name="Normal 8 2 2 7 3" xfId="2445" xr:uid="{00000000-0005-0000-0000-00008D090000}"/>
    <cellStyle name="Normal 8 2 2 8" xfId="2446" xr:uid="{00000000-0005-0000-0000-00008E090000}"/>
    <cellStyle name="Normal 8 2 2 9" xfId="2447" xr:uid="{00000000-0005-0000-0000-00008F090000}"/>
    <cellStyle name="Normal 8 2 3" xfId="2448" xr:uid="{00000000-0005-0000-0000-000090090000}"/>
    <cellStyle name="Normal 8 2 3 2" xfId="2449" xr:uid="{00000000-0005-0000-0000-000091090000}"/>
    <cellStyle name="Normal 8 2 3 3" xfId="2450" xr:uid="{00000000-0005-0000-0000-000092090000}"/>
    <cellStyle name="Normal 8 2 4" xfId="2451" xr:uid="{00000000-0005-0000-0000-000093090000}"/>
    <cellStyle name="Normal 8 2 4 2" xfId="2452" xr:uid="{00000000-0005-0000-0000-000094090000}"/>
    <cellStyle name="Normal 8 2 4 3" xfId="2453" xr:uid="{00000000-0005-0000-0000-000095090000}"/>
    <cellStyle name="Normal 8 2 5" xfId="2454" xr:uid="{00000000-0005-0000-0000-000096090000}"/>
    <cellStyle name="Normal 8 2 5 2" xfId="2455" xr:uid="{00000000-0005-0000-0000-000097090000}"/>
    <cellStyle name="Normal 8 2 5 3" xfId="2456" xr:uid="{00000000-0005-0000-0000-000098090000}"/>
    <cellStyle name="Normal 8 2 6" xfId="2457" xr:uid="{00000000-0005-0000-0000-000099090000}"/>
    <cellStyle name="Normal 8 2 6 2" xfId="2458" xr:uid="{00000000-0005-0000-0000-00009A090000}"/>
    <cellStyle name="Normal 8 2 6 3" xfId="2459" xr:uid="{00000000-0005-0000-0000-00009B090000}"/>
    <cellStyle name="Normal 8 2 7" xfId="2460" xr:uid="{00000000-0005-0000-0000-00009C090000}"/>
    <cellStyle name="Normal 8 2 7 2" xfId="2461" xr:uid="{00000000-0005-0000-0000-00009D090000}"/>
    <cellStyle name="Normal 8 2 7 3" xfId="2462" xr:uid="{00000000-0005-0000-0000-00009E090000}"/>
    <cellStyle name="Normal 8 2 8" xfId="2463" xr:uid="{00000000-0005-0000-0000-00009F090000}"/>
    <cellStyle name="Normal 8 2 8 2" xfId="2464" xr:uid="{00000000-0005-0000-0000-0000A0090000}"/>
    <cellStyle name="Normal 8 2 8 3" xfId="2465" xr:uid="{00000000-0005-0000-0000-0000A1090000}"/>
    <cellStyle name="Normal 8 2 9" xfId="2466" xr:uid="{00000000-0005-0000-0000-0000A2090000}"/>
    <cellStyle name="Normal 8 3" xfId="2467" xr:uid="{00000000-0005-0000-0000-0000A3090000}"/>
    <cellStyle name="Normal 8 3 2" xfId="2468" xr:uid="{00000000-0005-0000-0000-0000A4090000}"/>
    <cellStyle name="Normal 8 3 2 2" xfId="2469" xr:uid="{00000000-0005-0000-0000-0000A5090000}"/>
    <cellStyle name="Normal 8 3 2 3" xfId="2470" xr:uid="{00000000-0005-0000-0000-0000A6090000}"/>
    <cellStyle name="Normal 8 3 3" xfId="2471" xr:uid="{00000000-0005-0000-0000-0000A7090000}"/>
    <cellStyle name="Normal 8 3 3 2" xfId="2472" xr:uid="{00000000-0005-0000-0000-0000A8090000}"/>
    <cellStyle name="Normal 8 3 3 3" xfId="2473" xr:uid="{00000000-0005-0000-0000-0000A9090000}"/>
    <cellStyle name="Normal 8 3 4" xfId="2474" xr:uid="{00000000-0005-0000-0000-0000AA090000}"/>
    <cellStyle name="Normal 8 3 4 2" xfId="2475" xr:uid="{00000000-0005-0000-0000-0000AB090000}"/>
    <cellStyle name="Normal 8 3 4 3" xfId="2476" xr:uid="{00000000-0005-0000-0000-0000AC090000}"/>
    <cellStyle name="Normal 8 3 5" xfId="2477" xr:uid="{00000000-0005-0000-0000-0000AD090000}"/>
    <cellStyle name="Normal 8 3 5 2" xfId="2478" xr:uid="{00000000-0005-0000-0000-0000AE090000}"/>
    <cellStyle name="Normal 8 3 5 3" xfId="2479" xr:uid="{00000000-0005-0000-0000-0000AF090000}"/>
    <cellStyle name="Normal 8 3 6" xfId="2480" xr:uid="{00000000-0005-0000-0000-0000B0090000}"/>
    <cellStyle name="Normal 8 3 6 2" xfId="2481" xr:uid="{00000000-0005-0000-0000-0000B1090000}"/>
    <cellStyle name="Normal 8 3 6 3" xfId="2482" xr:uid="{00000000-0005-0000-0000-0000B2090000}"/>
    <cellStyle name="Normal 8 3 7" xfId="2483" xr:uid="{00000000-0005-0000-0000-0000B3090000}"/>
    <cellStyle name="Normal 8 3 7 2" xfId="2484" xr:uid="{00000000-0005-0000-0000-0000B4090000}"/>
    <cellStyle name="Normal 8 3 7 3" xfId="2485" xr:uid="{00000000-0005-0000-0000-0000B5090000}"/>
    <cellStyle name="Normal 8 3 8" xfId="2486" xr:uid="{00000000-0005-0000-0000-0000B6090000}"/>
    <cellStyle name="Normal 8 3 9" xfId="2487" xr:uid="{00000000-0005-0000-0000-0000B7090000}"/>
    <cellStyle name="Normal 8 4" xfId="2488" xr:uid="{00000000-0005-0000-0000-0000B8090000}"/>
    <cellStyle name="Normal 8 4 2" xfId="2489" xr:uid="{00000000-0005-0000-0000-0000B9090000}"/>
    <cellStyle name="Normal 8 4 3" xfId="2490" xr:uid="{00000000-0005-0000-0000-0000BA090000}"/>
    <cellStyle name="Normal 8 5" xfId="2491" xr:uid="{00000000-0005-0000-0000-0000BB090000}"/>
    <cellStyle name="Normal 8 5 2" xfId="2492" xr:uid="{00000000-0005-0000-0000-0000BC090000}"/>
    <cellStyle name="Normal 8 5 3" xfId="2493" xr:uid="{00000000-0005-0000-0000-0000BD090000}"/>
    <cellStyle name="Normal 8 6" xfId="2494" xr:uid="{00000000-0005-0000-0000-0000BE090000}"/>
    <cellStyle name="Normal 8 6 2" xfId="2495" xr:uid="{00000000-0005-0000-0000-0000BF090000}"/>
    <cellStyle name="Normal 8 6 3" xfId="2496" xr:uid="{00000000-0005-0000-0000-0000C0090000}"/>
    <cellStyle name="Normal 8 7" xfId="2497" xr:uid="{00000000-0005-0000-0000-0000C1090000}"/>
    <cellStyle name="Normal 8 7 2" xfId="2498" xr:uid="{00000000-0005-0000-0000-0000C2090000}"/>
    <cellStyle name="Normal 8 7 3" xfId="2499" xr:uid="{00000000-0005-0000-0000-0000C3090000}"/>
    <cellStyle name="Normal 8 8" xfId="2500" xr:uid="{00000000-0005-0000-0000-0000C4090000}"/>
    <cellStyle name="Normal 8 8 2" xfId="2501" xr:uid="{00000000-0005-0000-0000-0000C5090000}"/>
    <cellStyle name="Normal 8 8 3" xfId="2502" xr:uid="{00000000-0005-0000-0000-0000C6090000}"/>
    <cellStyle name="Normal 8 9" xfId="2503" xr:uid="{00000000-0005-0000-0000-0000C7090000}"/>
    <cellStyle name="Normal 8 9 2" xfId="2504" xr:uid="{00000000-0005-0000-0000-0000C8090000}"/>
    <cellStyle name="Normal 8 9 3" xfId="2505" xr:uid="{00000000-0005-0000-0000-0000C9090000}"/>
    <cellStyle name="Normal 9" xfId="2506" xr:uid="{00000000-0005-0000-0000-0000CA090000}"/>
    <cellStyle name="Normal 9 2" xfId="2507" xr:uid="{00000000-0005-0000-0000-0000CB090000}"/>
    <cellStyle name="Normal 9 2 2" xfId="2508" xr:uid="{00000000-0005-0000-0000-0000CC090000}"/>
    <cellStyle name="Normal 9 2 2 2" xfId="2509" xr:uid="{00000000-0005-0000-0000-0000CD090000}"/>
    <cellStyle name="Normal 9 2 2 3" xfId="2510" xr:uid="{00000000-0005-0000-0000-0000CE090000}"/>
    <cellStyle name="Normal 9 2 3" xfId="2511" xr:uid="{00000000-0005-0000-0000-0000CF090000}"/>
    <cellStyle name="Normal 9 2 3 2" xfId="2512" xr:uid="{00000000-0005-0000-0000-0000D0090000}"/>
    <cellStyle name="Normal 9 2 3 3" xfId="2513" xr:uid="{00000000-0005-0000-0000-0000D1090000}"/>
    <cellStyle name="Normal 9 2 4" xfId="2514" xr:uid="{00000000-0005-0000-0000-0000D2090000}"/>
    <cellStyle name="Normal 9 2 4 2" xfId="2515" xr:uid="{00000000-0005-0000-0000-0000D3090000}"/>
    <cellStyle name="Normal 9 2 4 3" xfId="2516" xr:uid="{00000000-0005-0000-0000-0000D4090000}"/>
    <cellStyle name="Normal 9 2 5" xfId="2517" xr:uid="{00000000-0005-0000-0000-0000D5090000}"/>
    <cellStyle name="Normal 9 2 5 2" xfId="2518" xr:uid="{00000000-0005-0000-0000-0000D6090000}"/>
    <cellStyle name="Normal 9 2 5 3" xfId="2519" xr:uid="{00000000-0005-0000-0000-0000D7090000}"/>
    <cellStyle name="Normal 9 2 6" xfId="2520" xr:uid="{00000000-0005-0000-0000-0000D8090000}"/>
    <cellStyle name="Normal 9 2 6 2" xfId="2521" xr:uid="{00000000-0005-0000-0000-0000D9090000}"/>
    <cellStyle name="Normal 9 2 6 3" xfId="2522" xr:uid="{00000000-0005-0000-0000-0000DA090000}"/>
    <cellStyle name="Normal 9 2 7" xfId="2523" xr:uid="{00000000-0005-0000-0000-0000DB090000}"/>
    <cellStyle name="Normal 9 2 7 2" xfId="2524" xr:uid="{00000000-0005-0000-0000-0000DC090000}"/>
    <cellStyle name="Normal 9 2 7 3" xfId="2525" xr:uid="{00000000-0005-0000-0000-0000DD090000}"/>
    <cellStyle name="Normal 9 2 8" xfId="2526" xr:uid="{00000000-0005-0000-0000-0000DE090000}"/>
    <cellStyle name="Normal 9 2 9" xfId="2527" xr:uid="{00000000-0005-0000-0000-0000DF090000}"/>
    <cellStyle name="Normal 9 3" xfId="2528" xr:uid="{00000000-0005-0000-0000-0000E0090000}"/>
    <cellStyle name="Normal 9 3 2" xfId="2529" xr:uid="{00000000-0005-0000-0000-0000E1090000}"/>
    <cellStyle name="Normal 9 3 3" xfId="2530" xr:uid="{00000000-0005-0000-0000-0000E2090000}"/>
    <cellStyle name="Normal 9 4" xfId="2531" xr:uid="{00000000-0005-0000-0000-0000E3090000}"/>
    <cellStyle name="Normal 9 4 2" xfId="2532" xr:uid="{00000000-0005-0000-0000-0000E4090000}"/>
    <cellStyle name="Normal 9 4 3" xfId="2533" xr:uid="{00000000-0005-0000-0000-0000E5090000}"/>
    <cellStyle name="Normal 9 5" xfId="2534" xr:uid="{00000000-0005-0000-0000-0000E6090000}"/>
    <cellStyle name="Normal 9 5 2" xfId="2535" xr:uid="{00000000-0005-0000-0000-0000E7090000}"/>
    <cellStyle name="Normal 9 5 3" xfId="2536" xr:uid="{00000000-0005-0000-0000-0000E8090000}"/>
    <cellStyle name="Normal 9 6" xfId="2537" xr:uid="{00000000-0005-0000-0000-0000E9090000}"/>
    <cellStyle name="Normal 9 6 2" xfId="2538" xr:uid="{00000000-0005-0000-0000-0000EA090000}"/>
    <cellStyle name="Normal 9 6 3" xfId="2539" xr:uid="{00000000-0005-0000-0000-0000EB090000}"/>
    <cellStyle name="Normal 9 7" xfId="2540" xr:uid="{00000000-0005-0000-0000-0000EC090000}"/>
    <cellStyle name="Normal 9 7 2" xfId="2541" xr:uid="{00000000-0005-0000-0000-0000ED090000}"/>
    <cellStyle name="Normal 9 7 3" xfId="2542" xr:uid="{00000000-0005-0000-0000-0000EE090000}"/>
    <cellStyle name="Normal 9 8" xfId="2543" xr:uid="{00000000-0005-0000-0000-0000EF090000}"/>
    <cellStyle name="Normal 9 8 2" xfId="2544" xr:uid="{00000000-0005-0000-0000-0000F0090000}"/>
    <cellStyle name="Normal 9 8 3" xfId="2545" xr:uid="{00000000-0005-0000-0000-0000F1090000}"/>
    <cellStyle name="Normal Bold" xfId="2546" xr:uid="{00000000-0005-0000-0000-0000F2090000}"/>
    <cellStyle name="Normal Cells" xfId="2547" xr:uid="{00000000-0005-0000-0000-0000F3090000}"/>
    <cellStyle name="Normal Indent 1 sp" xfId="2548" xr:uid="{00000000-0005-0000-0000-0000F4090000}"/>
    <cellStyle name="Normal Indent 1 sp bold und" xfId="2549" xr:uid="{00000000-0005-0000-0000-0000F5090000}"/>
    <cellStyle name="Normal Indent 1 sp_2303-temp" xfId="2550" xr:uid="{00000000-0005-0000-0000-0000F6090000}"/>
    <cellStyle name="Normal no digit" xfId="2551" xr:uid="{00000000-0005-0000-0000-0000F7090000}"/>
    <cellStyle name="Normal Pct" xfId="2552" xr:uid="{00000000-0005-0000-0000-0000F8090000}"/>
    <cellStyle name="Normal(0)" xfId="2553" xr:uid="{00000000-0005-0000-0000-0000F9090000}"/>
    <cellStyle name="Normál_BS" xfId="2554" xr:uid="{00000000-0005-0000-0000-0000FB090000}"/>
    <cellStyle name="Normal_Sheet1" xfId="3231" xr:uid="{00000000-0005-0000-0000-0000010A0000}"/>
    <cellStyle name="Normal_Suzlon - kotak" xfId="5" xr:uid="{00000000-0005-0000-0000-0000020A0000}"/>
    <cellStyle name="Normál_uj termekek bevezetese" xfId="2555" xr:uid="{00000000-0005-0000-0000-0000040A0000}"/>
    <cellStyle name="NormalGB" xfId="2556" xr:uid="{00000000-0005-0000-0000-0000050A0000}"/>
    <cellStyle name="NormalGB 2" xfId="2557" xr:uid="{00000000-0005-0000-0000-0000060A0000}"/>
    <cellStyle name="NormalGB 3" xfId="2558" xr:uid="{00000000-0005-0000-0000-0000070A0000}"/>
    <cellStyle name="NormalGB 4" xfId="2559" xr:uid="{00000000-0005-0000-0000-0000080A0000}"/>
    <cellStyle name="NormalMultiple" xfId="2560" xr:uid="{00000000-0005-0000-0000-0000090A0000}"/>
    <cellStyle name="Normalny_formu?y" xfId="2561" xr:uid="{00000000-0005-0000-0000-00000A0A0000}"/>
    <cellStyle name="NormalX" xfId="2562" xr:uid="{00000000-0005-0000-0000-00000B0A0000}"/>
    <cellStyle name="NormalxShadow" xfId="2563" xr:uid="{00000000-0005-0000-0000-00000C0A0000}"/>
    <cellStyle name="Norma䃬_PVCQTRSD_PVCQTRSD" xfId="2564" xr:uid="{00000000-0005-0000-0000-00000D0A0000}"/>
    <cellStyle name="Note 2" xfId="2565" xr:uid="{00000000-0005-0000-0000-00000E0A0000}"/>
    <cellStyle name="Note 2 2" xfId="2566" xr:uid="{00000000-0005-0000-0000-00000F0A0000}"/>
    <cellStyle name="Note 2 3" xfId="2567" xr:uid="{00000000-0005-0000-0000-0000100A0000}"/>
    <cellStyle name="Note 3" xfId="2568" xr:uid="{00000000-0005-0000-0000-0000110A0000}"/>
    <cellStyle name="Note 4" xfId="2569" xr:uid="{00000000-0005-0000-0000-0000120A0000}"/>
    <cellStyle name="Note 4 2" xfId="2570" xr:uid="{00000000-0005-0000-0000-0000130A0000}"/>
    <cellStyle name="Note 4 3" xfId="2571" xr:uid="{00000000-0005-0000-0000-0000140A0000}"/>
    <cellStyle name="Notes" xfId="2572" xr:uid="{00000000-0005-0000-0000-0000150A0000}"/>
    <cellStyle name="NPPESalesPct" xfId="2573" xr:uid="{00000000-0005-0000-0000-0000160A0000}"/>
    <cellStyle name="Number" xfId="2574" xr:uid="{00000000-0005-0000-0000-0000170A0000}"/>
    <cellStyle name="number 2" xfId="2575" xr:uid="{00000000-0005-0000-0000-0000180A0000}"/>
    <cellStyle name="NumberX" xfId="2576" xr:uid="{00000000-0005-0000-0000-0000190A0000}"/>
    <cellStyle name="NumGen" xfId="2577" xr:uid="{00000000-0005-0000-0000-00001A0A0000}"/>
    <cellStyle name="NumGen 2" xfId="2578" xr:uid="{00000000-0005-0000-0000-00001B0A0000}"/>
    <cellStyle name="NumGen 2 2" xfId="2579" xr:uid="{00000000-0005-0000-0000-00001C0A0000}"/>
    <cellStyle name="NumGen 2 3" xfId="2580" xr:uid="{00000000-0005-0000-0000-00001D0A0000}"/>
    <cellStyle name="NumPcnt(2)" xfId="2581" xr:uid="{00000000-0005-0000-0000-00001E0A0000}"/>
    <cellStyle name="NumTh(0)" xfId="2582" xr:uid="{00000000-0005-0000-0000-00001F0A0000}"/>
    <cellStyle name="NumTh(0) 2" xfId="2583" xr:uid="{00000000-0005-0000-0000-0000200A0000}"/>
    <cellStyle name="NumTh(0) 2 2" xfId="2584" xr:uid="{00000000-0005-0000-0000-0000210A0000}"/>
    <cellStyle name="NumTh(0) 2 3" xfId="2585" xr:uid="{00000000-0005-0000-0000-0000220A0000}"/>
    <cellStyle name="NumThRed(2)" xfId="2586" xr:uid="{00000000-0005-0000-0000-0000230A0000}"/>
    <cellStyle name="NumThRed(2) 2" xfId="2587" xr:uid="{00000000-0005-0000-0000-0000240A0000}"/>
    <cellStyle name="NumThRed(2) 2 2" xfId="2588" xr:uid="{00000000-0005-0000-0000-0000250A0000}"/>
    <cellStyle name="NumThRed(2) 2 3" xfId="2589" xr:uid="{00000000-0005-0000-0000-0000260A0000}"/>
    <cellStyle name="NWI%S" xfId="2590" xr:uid="{00000000-0005-0000-0000-0000270A0000}"/>
    <cellStyle name="Obsolete" xfId="2591" xr:uid="{00000000-0005-0000-0000-0000280A0000}"/>
    <cellStyle name="Œ…‹æØ‚è [0.00]_GE 3 MINIMUM" xfId="2592" xr:uid="{00000000-0005-0000-0000-0000290A0000}"/>
    <cellStyle name="Œ…‹æØ‚è_GE 3 MINIMUM" xfId="2593" xr:uid="{00000000-0005-0000-0000-00002A0A0000}"/>
    <cellStyle name="OrdinaryNo" xfId="2594" xr:uid="{00000000-0005-0000-0000-00002B0A0000}"/>
    <cellStyle name="Output 2" xfId="2595" xr:uid="{00000000-0005-0000-0000-00002C0A0000}"/>
    <cellStyle name="Output 2 2" xfId="2596" xr:uid="{00000000-0005-0000-0000-00002D0A0000}"/>
    <cellStyle name="Output 2 3" xfId="2597" xr:uid="{00000000-0005-0000-0000-00002E0A0000}"/>
    <cellStyle name="Output 3" xfId="2598" xr:uid="{00000000-0005-0000-0000-00002F0A0000}"/>
    <cellStyle name="Output 4" xfId="2599" xr:uid="{00000000-0005-0000-0000-0000300A0000}"/>
    <cellStyle name="Output 4 2" xfId="2600" xr:uid="{00000000-0005-0000-0000-0000310A0000}"/>
    <cellStyle name="Output 4 3" xfId="2601" xr:uid="{00000000-0005-0000-0000-0000320A0000}"/>
    <cellStyle name="OutputPlain" xfId="2602" xr:uid="{00000000-0005-0000-0000-0000330A0000}"/>
    <cellStyle name="P/E" xfId="2603" xr:uid="{00000000-0005-0000-0000-0000340A0000}"/>
    <cellStyle name="Page header" xfId="2604" xr:uid="{00000000-0005-0000-0000-0000350A0000}"/>
    <cellStyle name="Page Number" xfId="2605" xr:uid="{00000000-0005-0000-0000-0000360A0000}"/>
    <cellStyle name="ParaHead" xfId="2606" xr:uid="{00000000-0005-0000-0000-0000370A0000}"/>
    <cellStyle name="ParaHead 2" xfId="2607" xr:uid="{00000000-0005-0000-0000-0000380A0000}"/>
    <cellStyle name="ParaHead 3" xfId="2608" xr:uid="{00000000-0005-0000-0000-0000390A0000}"/>
    <cellStyle name="ParaHead 4" xfId="2609" xr:uid="{00000000-0005-0000-0000-00003A0A0000}"/>
    <cellStyle name="ParaHead 5" xfId="2610" xr:uid="{00000000-0005-0000-0000-00003B0A0000}"/>
    <cellStyle name="ParaHead 6" xfId="2611" xr:uid="{00000000-0005-0000-0000-00003C0A0000}"/>
    <cellStyle name="ParaHead 7" xfId="2612" xr:uid="{00000000-0005-0000-0000-00003D0A0000}"/>
    <cellStyle name="ParaHead 8" xfId="2613" xr:uid="{00000000-0005-0000-0000-00003E0A0000}"/>
    <cellStyle name="ParaHead 9" xfId="2614" xr:uid="{00000000-0005-0000-0000-00003F0A0000}"/>
    <cellStyle name="PctLine" xfId="2615" xr:uid="{00000000-0005-0000-0000-0000400A0000}"/>
    <cellStyle name="pe" xfId="2616" xr:uid="{00000000-0005-0000-0000-0000410A0000}"/>
    <cellStyle name="PE/LTGR" xfId="2617" xr:uid="{00000000-0005-0000-0000-0000420A0000}"/>
    <cellStyle name="PEG" xfId="2618" xr:uid="{00000000-0005-0000-0000-0000430A0000}"/>
    <cellStyle name="Pénznem [0]_Quarters_Sales" xfId="2619" xr:uid="{00000000-0005-0000-0000-0000440A0000}"/>
    <cellStyle name="Pénznem_BS" xfId="2620" xr:uid="{00000000-0005-0000-0000-0000450A0000}"/>
    <cellStyle name="PER" xfId="2621" xr:uid="{00000000-0005-0000-0000-0000460A0000}"/>
    <cellStyle name="per.style" xfId="2622" xr:uid="{00000000-0005-0000-0000-0000470A0000}"/>
    <cellStyle name="PER_2303-temp" xfId="2623" xr:uid="{00000000-0005-0000-0000-0000480A0000}"/>
    <cellStyle name="Percent" xfId="2" builtinId="5"/>
    <cellStyle name="Percent (0.0)" xfId="2624" xr:uid="{00000000-0005-0000-0000-00004A0A0000}"/>
    <cellStyle name="Percent (0.00)" xfId="2625" xr:uid="{00000000-0005-0000-0000-00004B0A0000}"/>
    <cellStyle name="Percent [0]" xfId="2626" xr:uid="{00000000-0005-0000-0000-00004C0A0000}"/>
    <cellStyle name="Percent [1]" xfId="2627" xr:uid="{00000000-0005-0000-0000-00004D0A0000}"/>
    <cellStyle name="Percent [1] --" xfId="2628" xr:uid="{00000000-0005-0000-0000-00004E0A0000}"/>
    <cellStyle name="Percent [1]_~5269252" xfId="2629" xr:uid="{00000000-0005-0000-0000-00004F0A0000}"/>
    <cellStyle name="Percent [2]" xfId="2630" xr:uid="{00000000-0005-0000-0000-0000500A0000}"/>
    <cellStyle name="Percent [2] 2" xfId="2631" xr:uid="{00000000-0005-0000-0000-0000510A0000}"/>
    <cellStyle name="Percent [2] 3" xfId="2632" xr:uid="{00000000-0005-0000-0000-0000520A0000}"/>
    <cellStyle name="Percent [2] 3 2" xfId="2633" xr:uid="{00000000-0005-0000-0000-0000530A0000}"/>
    <cellStyle name="Percent [2] 3 3" xfId="2634" xr:uid="{00000000-0005-0000-0000-0000540A0000}"/>
    <cellStyle name="Percent [2] 4" xfId="2635" xr:uid="{00000000-0005-0000-0000-0000550A0000}"/>
    <cellStyle name="Percent [2] 5" xfId="2636" xr:uid="{00000000-0005-0000-0000-0000560A0000}"/>
    <cellStyle name="Percent [3]" xfId="2637" xr:uid="{00000000-0005-0000-0000-0000570A0000}"/>
    <cellStyle name="Percent [3]--" xfId="2638" xr:uid="{00000000-0005-0000-0000-0000580A0000}"/>
    <cellStyle name="Percent 0.0" xfId="2639" xr:uid="{00000000-0005-0000-0000-0000590A0000}"/>
    <cellStyle name="Percent 10" xfId="7" xr:uid="{00000000-0005-0000-0000-00005A0A0000}"/>
    <cellStyle name="Percent 10 2" xfId="2640" xr:uid="{00000000-0005-0000-0000-00005B0A0000}"/>
    <cellStyle name="Percent 11" xfId="2641" xr:uid="{00000000-0005-0000-0000-00005C0A0000}"/>
    <cellStyle name="Percent 12" xfId="2642" xr:uid="{00000000-0005-0000-0000-00005D0A0000}"/>
    <cellStyle name="Percent 13" xfId="2643" xr:uid="{00000000-0005-0000-0000-00005E0A0000}"/>
    <cellStyle name="Percent 14" xfId="2644" xr:uid="{00000000-0005-0000-0000-00005F0A0000}"/>
    <cellStyle name="Percent 15" xfId="2645" xr:uid="{00000000-0005-0000-0000-0000600A0000}"/>
    <cellStyle name="Percent 16" xfId="2646" xr:uid="{00000000-0005-0000-0000-0000610A0000}"/>
    <cellStyle name="Percent 17" xfId="2647" xr:uid="{00000000-0005-0000-0000-0000620A0000}"/>
    <cellStyle name="Percent 18" xfId="2648" xr:uid="{00000000-0005-0000-0000-0000630A0000}"/>
    <cellStyle name="Percent 19" xfId="2649" xr:uid="{00000000-0005-0000-0000-0000640A0000}"/>
    <cellStyle name="Percent 2" xfId="18" xr:uid="{00000000-0005-0000-0000-0000650A0000}"/>
    <cellStyle name="Percent 2 10" xfId="2650" xr:uid="{00000000-0005-0000-0000-0000660A0000}"/>
    <cellStyle name="Percent 2 11" xfId="2651" xr:uid="{00000000-0005-0000-0000-0000670A0000}"/>
    <cellStyle name="Percent 2 12" xfId="2652" xr:uid="{00000000-0005-0000-0000-0000680A0000}"/>
    <cellStyle name="Percent 2 13" xfId="2653" xr:uid="{00000000-0005-0000-0000-0000690A0000}"/>
    <cellStyle name="Percent 2 14" xfId="2654" xr:uid="{00000000-0005-0000-0000-00006A0A0000}"/>
    <cellStyle name="Percent 2 15" xfId="2655" xr:uid="{00000000-0005-0000-0000-00006B0A0000}"/>
    <cellStyle name="Percent 2 16" xfId="2656" xr:uid="{00000000-0005-0000-0000-00006C0A0000}"/>
    <cellStyle name="Percent 2 17" xfId="2657" xr:uid="{00000000-0005-0000-0000-00006D0A0000}"/>
    <cellStyle name="Percent 2 18" xfId="2658" xr:uid="{00000000-0005-0000-0000-00006E0A0000}"/>
    <cellStyle name="Percent 2 19" xfId="2659" xr:uid="{00000000-0005-0000-0000-00006F0A0000}"/>
    <cellStyle name="Percent 2 2" xfId="2660" xr:uid="{00000000-0005-0000-0000-0000700A0000}"/>
    <cellStyle name="Percent 2 2 10" xfId="2661" xr:uid="{00000000-0005-0000-0000-0000710A0000}"/>
    <cellStyle name="Percent 2 2 11" xfId="2662" xr:uid="{00000000-0005-0000-0000-0000720A0000}"/>
    <cellStyle name="Percent 2 2 12" xfId="2663" xr:uid="{00000000-0005-0000-0000-0000730A0000}"/>
    <cellStyle name="Percent 2 2 13" xfId="2664" xr:uid="{00000000-0005-0000-0000-0000740A0000}"/>
    <cellStyle name="Percent 2 2 14" xfId="2665" xr:uid="{00000000-0005-0000-0000-0000750A0000}"/>
    <cellStyle name="Percent 2 2 15" xfId="2666" xr:uid="{00000000-0005-0000-0000-0000760A0000}"/>
    <cellStyle name="Percent 2 2 15 2" xfId="2667" xr:uid="{00000000-0005-0000-0000-0000770A0000}"/>
    <cellStyle name="Percent 2 2 15 3" xfId="2668" xr:uid="{00000000-0005-0000-0000-0000780A0000}"/>
    <cellStyle name="Percent 2 2 16" xfId="2669" xr:uid="{00000000-0005-0000-0000-0000790A0000}"/>
    <cellStyle name="Percent 2 2 17" xfId="2670" xr:uid="{00000000-0005-0000-0000-00007A0A0000}"/>
    <cellStyle name="Percent 2 2 2" xfId="2671" xr:uid="{00000000-0005-0000-0000-00007B0A0000}"/>
    <cellStyle name="Percent 2 2 2 2" xfId="2672" xr:uid="{00000000-0005-0000-0000-00007C0A0000}"/>
    <cellStyle name="Percent 2 2 3" xfId="14" xr:uid="{00000000-0005-0000-0000-00007D0A0000}"/>
    <cellStyle name="Percent 2 2 4" xfId="2673" xr:uid="{00000000-0005-0000-0000-00007E0A0000}"/>
    <cellStyle name="Percent 2 2 5" xfId="2674" xr:uid="{00000000-0005-0000-0000-00007F0A0000}"/>
    <cellStyle name="Percent 2 2 6" xfId="2675" xr:uid="{00000000-0005-0000-0000-0000800A0000}"/>
    <cellStyle name="Percent 2 2 7" xfId="2676" xr:uid="{00000000-0005-0000-0000-0000810A0000}"/>
    <cellStyle name="Percent 2 2 8" xfId="2677" xr:uid="{00000000-0005-0000-0000-0000820A0000}"/>
    <cellStyle name="Percent 2 2 9" xfId="2678" xr:uid="{00000000-0005-0000-0000-0000830A0000}"/>
    <cellStyle name="Percent 2 20" xfId="2679" xr:uid="{00000000-0005-0000-0000-0000840A0000}"/>
    <cellStyle name="Percent 2 21" xfId="2680" xr:uid="{00000000-0005-0000-0000-0000850A0000}"/>
    <cellStyle name="Percent 2 22" xfId="2681" xr:uid="{00000000-0005-0000-0000-0000860A0000}"/>
    <cellStyle name="Percent 2 23" xfId="2682" xr:uid="{00000000-0005-0000-0000-0000870A0000}"/>
    <cellStyle name="Percent 2 24" xfId="2683" xr:uid="{00000000-0005-0000-0000-0000880A0000}"/>
    <cellStyle name="Percent 2 25" xfId="2684" xr:uid="{00000000-0005-0000-0000-0000890A0000}"/>
    <cellStyle name="Percent 2 26" xfId="2685" xr:uid="{00000000-0005-0000-0000-00008A0A0000}"/>
    <cellStyle name="Percent 2 27" xfId="2686" xr:uid="{00000000-0005-0000-0000-00008B0A0000}"/>
    <cellStyle name="Percent 2 28" xfId="2687" xr:uid="{00000000-0005-0000-0000-00008C0A0000}"/>
    <cellStyle name="Percent 2 29" xfId="2688" xr:uid="{00000000-0005-0000-0000-00008D0A0000}"/>
    <cellStyle name="Percent 2 3" xfId="2689" xr:uid="{00000000-0005-0000-0000-00008E0A0000}"/>
    <cellStyle name="Percent 2 3 2" xfId="2690" xr:uid="{00000000-0005-0000-0000-00008F0A0000}"/>
    <cellStyle name="Percent 2 4" xfId="2691" xr:uid="{00000000-0005-0000-0000-0000900A0000}"/>
    <cellStyle name="Percent 2 5" xfId="2692" xr:uid="{00000000-0005-0000-0000-0000910A0000}"/>
    <cellStyle name="Percent 2 6" xfId="2693" xr:uid="{00000000-0005-0000-0000-0000920A0000}"/>
    <cellStyle name="Percent 2 7" xfId="2694" xr:uid="{00000000-0005-0000-0000-0000930A0000}"/>
    <cellStyle name="Percent 2 8" xfId="2695" xr:uid="{00000000-0005-0000-0000-0000940A0000}"/>
    <cellStyle name="Percent 2 9" xfId="2696" xr:uid="{00000000-0005-0000-0000-0000950A0000}"/>
    <cellStyle name="Percent 20" xfId="2697" xr:uid="{00000000-0005-0000-0000-0000960A0000}"/>
    <cellStyle name="Percent 21" xfId="2698" xr:uid="{00000000-0005-0000-0000-0000970A0000}"/>
    <cellStyle name="Percent 22" xfId="2699" xr:uid="{00000000-0005-0000-0000-0000980A0000}"/>
    <cellStyle name="Percent 23" xfId="2700" xr:uid="{00000000-0005-0000-0000-0000990A0000}"/>
    <cellStyle name="Percent 24" xfId="2701" xr:uid="{00000000-0005-0000-0000-00009A0A0000}"/>
    <cellStyle name="Percent 25" xfId="2702" xr:uid="{00000000-0005-0000-0000-00009B0A0000}"/>
    <cellStyle name="Percent 26" xfId="2703" xr:uid="{00000000-0005-0000-0000-00009C0A0000}"/>
    <cellStyle name="Percent 27" xfId="2704" xr:uid="{00000000-0005-0000-0000-00009D0A0000}"/>
    <cellStyle name="Percent 28" xfId="2705" xr:uid="{00000000-0005-0000-0000-00009E0A0000}"/>
    <cellStyle name="Percent 29" xfId="2706" xr:uid="{00000000-0005-0000-0000-00009F0A0000}"/>
    <cellStyle name="Percent 3" xfId="2707" xr:uid="{00000000-0005-0000-0000-0000A00A0000}"/>
    <cellStyle name="Percent 3 2" xfId="2708" xr:uid="{00000000-0005-0000-0000-0000A10A0000}"/>
    <cellStyle name="Percent 3 2 2" xfId="2709" xr:uid="{00000000-0005-0000-0000-0000A20A0000}"/>
    <cellStyle name="Percent 3 2 2 2" xfId="2710" xr:uid="{00000000-0005-0000-0000-0000A30A0000}"/>
    <cellStyle name="Percent 3 2 2 3" xfId="2711" xr:uid="{00000000-0005-0000-0000-0000A40A0000}"/>
    <cellStyle name="Percent 3 2 2 4" xfId="2712" xr:uid="{00000000-0005-0000-0000-0000A50A0000}"/>
    <cellStyle name="Percent 3 2 2 5" xfId="2713" xr:uid="{00000000-0005-0000-0000-0000A60A0000}"/>
    <cellStyle name="Percent 3 2 2 6" xfId="2714" xr:uid="{00000000-0005-0000-0000-0000A70A0000}"/>
    <cellStyle name="Percent 3 2 2 7" xfId="2715" xr:uid="{00000000-0005-0000-0000-0000A80A0000}"/>
    <cellStyle name="Percent 3 2 3" xfId="2716" xr:uid="{00000000-0005-0000-0000-0000A90A0000}"/>
    <cellStyle name="Percent 3 2 4" xfId="2717" xr:uid="{00000000-0005-0000-0000-0000AA0A0000}"/>
    <cellStyle name="Percent 3 2 5" xfId="2718" xr:uid="{00000000-0005-0000-0000-0000AB0A0000}"/>
    <cellStyle name="Percent 3 2 6" xfId="2719" xr:uid="{00000000-0005-0000-0000-0000AC0A0000}"/>
    <cellStyle name="Percent 3 2 7" xfId="2720" xr:uid="{00000000-0005-0000-0000-0000AD0A0000}"/>
    <cellStyle name="Percent 3 2 8" xfId="2721" xr:uid="{00000000-0005-0000-0000-0000AE0A0000}"/>
    <cellStyle name="Percent 3 3" xfId="2722" xr:uid="{00000000-0005-0000-0000-0000AF0A0000}"/>
    <cellStyle name="Percent 3 3 2" xfId="2723" xr:uid="{00000000-0005-0000-0000-0000B00A0000}"/>
    <cellStyle name="Percent 3 3 3" xfId="2724" xr:uid="{00000000-0005-0000-0000-0000B10A0000}"/>
    <cellStyle name="Percent 3 3 4" xfId="2725" xr:uid="{00000000-0005-0000-0000-0000B20A0000}"/>
    <cellStyle name="Percent 3 3 5" xfId="2726" xr:uid="{00000000-0005-0000-0000-0000B30A0000}"/>
    <cellStyle name="Percent 3 3 6" xfId="2727" xr:uid="{00000000-0005-0000-0000-0000B40A0000}"/>
    <cellStyle name="Percent 3 3 7" xfId="2728" xr:uid="{00000000-0005-0000-0000-0000B50A0000}"/>
    <cellStyle name="Percent 3 4" xfId="2729" xr:uid="{00000000-0005-0000-0000-0000B60A0000}"/>
    <cellStyle name="Percent 3 5" xfId="2730" xr:uid="{00000000-0005-0000-0000-0000B70A0000}"/>
    <cellStyle name="Percent 3 6" xfId="2731" xr:uid="{00000000-0005-0000-0000-0000B80A0000}"/>
    <cellStyle name="Percent 3 7" xfId="2732" xr:uid="{00000000-0005-0000-0000-0000B90A0000}"/>
    <cellStyle name="Percent 3 8" xfId="2733" xr:uid="{00000000-0005-0000-0000-0000BA0A0000}"/>
    <cellStyle name="Percent 3 9" xfId="2734" xr:uid="{00000000-0005-0000-0000-0000BB0A0000}"/>
    <cellStyle name="Percent 30" xfId="2735" xr:uid="{00000000-0005-0000-0000-0000BC0A0000}"/>
    <cellStyle name="Percent 31" xfId="2736" xr:uid="{00000000-0005-0000-0000-0000BD0A0000}"/>
    <cellStyle name="Percent 32" xfId="2737" xr:uid="{00000000-0005-0000-0000-0000BE0A0000}"/>
    <cellStyle name="Percent 33" xfId="2738" xr:uid="{00000000-0005-0000-0000-0000BF0A0000}"/>
    <cellStyle name="Percent 34" xfId="2739" xr:uid="{00000000-0005-0000-0000-0000C00A0000}"/>
    <cellStyle name="Percent 35" xfId="15" xr:uid="{00000000-0005-0000-0000-0000C10A0000}"/>
    <cellStyle name="Percent 35 2" xfId="2740" xr:uid="{00000000-0005-0000-0000-0000C20A0000}"/>
    <cellStyle name="Percent 35 3" xfId="2741" xr:uid="{00000000-0005-0000-0000-0000C30A0000}"/>
    <cellStyle name="Percent 36" xfId="2742" xr:uid="{00000000-0005-0000-0000-0000C40A0000}"/>
    <cellStyle name="Percent 36 2" xfId="2743" xr:uid="{00000000-0005-0000-0000-0000C50A0000}"/>
    <cellStyle name="Percent 36 3" xfId="2744" xr:uid="{00000000-0005-0000-0000-0000C60A0000}"/>
    <cellStyle name="Percent 37" xfId="2745" xr:uid="{00000000-0005-0000-0000-0000C70A0000}"/>
    <cellStyle name="Percent 37 2" xfId="2746" xr:uid="{00000000-0005-0000-0000-0000C80A0000}"/>
    <cellStyle name="Percent 37 3" xfId="2747" xr:uid="{00000000-0005-0000-0000-0000C90A0000}"/>
    <cellStyle name="Percent 38" xfId="2748" xr:uid="{00000000-0005-0000-0000-0000CA0A0000}"/>
    <cellStyle name="Percent 38 2" xfId="2749" xr:uid="{00000000-0005-0000-0000-0000CB0A0000}"/>
    <cellStyle name="Percent 38 3" xfId="2750" xr:uid="{00000000-0005-0000-0000-0000CC0A0000}"/>
    <cellStyle name="Percent 39" xfId="2751" xr:uid="{00000000-0005-0000-0000-0000CD0A0000}"/>
    <cellStyle name="Percent 39 2" xfId="2752" xr:uid="{00000000-0005-0000-0000-0000CE0A0000}"/>
    <cellStyle name="Percent 39 3" xfId="2753" xr:uid="{00000000-0005-0000-0000-0000CF0A0000}"/>
    <cellStyle name="Percent 4" xfId="2754" xr:uid="{00000000-0005-0000-0000-0000D00A0000}"/>
    <cellStyle name="Percent 4 2" xfId="2755" xr:uid="{00000000-0005-0000-0000-0000D10A0000}"/>
    <cellStyle name="Percent 4 3" xfId="17" xr:uid="{00000000-0005-0000-0000-0000D20A0000}"/>
    <cellStyle name="Percent 4 4" xfId="2756" xr:uid="{00000000-0005-0000-0000-0000D30A0000}"/>
    <cellStyle name="Percent 4 5" xfId="2757" xr:uid="{00000000-0005-0000-0000-0000D40A0000}"/>
    <cellStyle name="Percent 4 6" xfId="2758" xr:uid="{00000000-0005-0000-0000-0000D50A0000}"/>
    <cellStyle name="Percent 4 7" xfId="2759" xr:uid="{00000000-0005-0000-0000-0000D60A0000}"/>
    <cellStyle name="Percent 4 8" xfId="2760" xr:uid="{00000000-0005-0000-0000-0000D70A0000}"/>
    <cellStyle name="Percent 40" xfId="2761" xr:uid="{00000000-0005-0000-0000-0000D80A0000}"/>
    <cellStyle name="Percent 40 2" xfId="2762" xr:uid="{00000000-0005-0000-0000-0000D90A0000}"/>
    <cellStyle name="Percent 40 3" xfId="2763" xr:uid="{00000000-0005-0000-0000-0000DA0A0000}"/>
    <cellStyle name="Percent 5" xfId="2764" xr:uid="{00000000-0005-0000-0000-0000DB0A0000}"/>
    <cellStyle name="Percent 5 2" xfId="2765" xr:uid="{00000000-0005-0000-0000-0000DC0A0000}"/>
    <cellStyle name="Percent 5 3" xfId="2766" xr:uid="{00000000-0005-0000-0000-0000DD0A0000}"/>
    <cellStyle name="Percent 5 4" xfId="2767" xr:uid="{00000000-0005-0000-0000-0000DE0A0000}"/>
    <cellStyle name="Percent 5 5" xfId="3233" xr:uid="{00000000-0005-0000-0000-0000DF0A0000}"/>
    <cellStyle name="Percent 6" xfId="2768" xr:uid="{00000000-0005-0000-0000-0000E00A0000}"/>
    <cellStyle name="Percent 6 3" xfId="2769" xr:uid="{00000000-0005-0000-0000-0000E10A0000}"/>
    <cellStyle name="Percent 6 4 2" xfId="2770" xr:uid="{00000000-0005-0000-0000-0000E20A0000}"/>
    <cellStyle name="Percent 7" xfId="2771" xr:uid="{00000000-0005-0000-0000-0000E30A0000}"/>
    <cellStyle name="Percent 8" xfId="2772" xr:uid="{00000000-0005-0000-0000-0000E40A0000}"/>
    <cellStyle name="Percent 8 10" xfId="2773" xr:uid="{00000000-0005-0000-0000-0000E50A0000}"/>
    <cellStyle name="Percent 8 11" xfId="2774" xr:uid="{00000000-0005-0000-0000-0000E60A0000}"/>
    <cellStyle name="Percent 8 12" xfId="2775" xr:uid="{00000000-0005-0000-0000-0000E70A0000}"/>
    <cellStyle name="Percent 8 13" xfId="2776" xr:uid="{00000000-0005-0000-0000-0000E80A0000}"/>
    <cellStyle name="Percent 8 14" xfId="2777" xr:uid="{00000000-0005-0000-0000-0000E90A0000}"/>
    <cellStyle name="Percent 8 15" xfId="2778" xr:uid="{00000000-0005-0000-0000-0000EA0A0000}"/>
    <cellStyle name="Percent 8 16" xfId="2779" xr:uid="{00000000-0005-0000-0000-0000EB0A0000}"/>
    <cellStyle name="Percent 8 17" xfId="2780" xr:uid="{00000000-0005-0000-0000-0000EC0A0000}"/>
    <cellStyle name="Percent 8 18" xfId="2781" xr:uid="{00000000-0005-0000-0000-0000ED0A0000}"/>
    <cellStyle name="Percent 8 19" xfId="2782" xr:uid="{00000000-0005-0000-0000-0000EE0A0000}"/>
    <cellStyle name="Percent 8 2" xfId="21" xr:uid="{00000000-0005-0000-0000-0000EF0A0000}"/>
    <cellStyle name="Percent 8 20" xfId="2783" xr:uid="{00000000-0005-0000-0000-0000F00A0000}"/>
    <cellStyle name="Percent 8 21" xfId="2784" xr:uid="{00000000-0005-0000-0000-0000F10A0000}"/>
    <cellStyle name="Percent 8 22" xfId="2785" xr:uid="{00000000-0005-0000-0000-0000F20A0000}"/>
    <cellStyle name="Percent 8 23" xfId="2786" xr:uid="{00000000-0005-0000-0000-0000F30A0000}"/>
    <cellStyle name="Percent 8 24" xfId="2787" xr:uid="{00000000-0005-0000-0000-0000F40A0000}"/>
    <cellStyle name="Percent 8 25" xfId="2788" xr:uid="{00000000-0005-0000-0000-0000F50A0000}"/>
    <cellStyle name="Percent 8 3" xfId="2789" xr:uid="{00000000-0005-0000-0000-0000F60A0000}"/>
    <cellStyle name="Percent 8 4" xfId="2790" xr:uid="{00000000-0005-0000-0000-0000F70A0000}"/>
    <cellStyle name="Percent 8 5" xfId="2791" xr:uid="{00000000-0005-0000-0000-0000F80A0000}"/>
    <cellStyle name="Percent 8 6" xfId="2792" xr:uid="{00000000-0005-0000-0000-0000F90A0000}"/>
    <cellStyle name="Percent 8 7" xfId="2793" xr:uid="{00000000-0005-0000-0000-0000FA0A0000}"/>
    <cellStyle name="Percent 8 8" xfId="2794" xr:uid="{00000000-0005-0000-0000-0000FB0A0000}"/>
    <cellStyle name="Percent 8 9" xfId="2795" xr:uid="{00000000-0005-0000-0000-0000FC0A0000}"/>
    <cellStyle name="Percent 9" xfId="2796" xr:uid="{00000000-0005-0000-0000-0000FD0A0000}"/>
    <cellStyle name="Percent(1)" xfId="2797" xr:uid="{00000000-0005-0000-0000-0000FE0A0000}"/>
    <cellStyle name="Percent(1) 2" xfId="2798" xr:uid="{00000000-0005-0000-0000-0000FF0A0000}"/>
    <cellStyle name="Percent(1) 3" xfId="2799" xr:uid="{00000000-0005-0000-0000-0000000B0000}"/>
    <cellStyle name="Percent(2)" xfId="2800" xr:uid="{00000000-0005-0000-0000-0000010B0000}"/>
    <cellStyle name="Percent(2) 2" xfId="2801" xr:uid="{00000000-0005-0000-0000-0000020B0000}"/>
    <cellStyle name="Percent(2) 3" xfId="2802" xr:uid="{00000000-0005-0000-0000-0000030B0000}"/>
    <cellStyle name="Percent.1" xfId="2803" xr:uid="{00000000-0005-0000-0000-0000040B0000}"/>
    <cellStyle name="Percentage" xfId="2804" xr:uid="{00000000-0005-0000-0000-0000050B0000}"/>
    <cellStyle name="PercentChange" xfId="2805" xr:uid="{00000000-0005-0000-0000-0000060B0000}"/>
    <cellStyle name="PercentChange 2" xfId="2806" xr:uid="{00000000-0005-0000-0000-0000070B0000}"/>
    <cellStyle name="PercentPresentation" xfId="2807" xr:uid="{00000000-0005-0000-0000-0000080B0000}"/>
    <cellStyle name="PercentSales" xfId="2808" xr:uid="{00000000-0005-0000-0000-0000090B0000}"/>
    <cellStyle name="PerShare" xfId="2809" xr:uid="{00000000-0005-0000-0000-00000A0B0000}"/>
    <cellStyle name="PETable[1]" xfId="2810" xr:uid="{00000000-0005-0000-0000-00000B0B0000}"/>
    <cellStyle name="plusandminus" xfId="2811" xr:uid="{00000000-0005-0000-0000-00000C0B0000}"/>
    <cellStyle name="Poneet Standard" xfId="2812" xr:uid="{00000000-0005-0000-0000-00000D0B0000}"/>
    <cellStyle name="POPS" xfId="2813" xr:uid="{00000000-0005-0000-0000-00000E0B0000}"/>
    <cellStyle name="Porcentaje" xfId="2814" xr:uid="{00000000-0005-0000-0000-00000F0B0000}"/>
    <cellStyle name="Presentation" xfId="2815" xr:uid="{00000000-0005-0000-0000-0000100B0000}"/>
    <cellStyle name="PresentationZero" xfId="2816" xr:uid="{00000000-0005-0000-0000-0000110B0000}"/>
    <cellStyle name="price" xfId="2817" xr:uid="{00000000-0005-0000-0000-0000120B0000}"/>
    <cellStyle name="pricing" xfId="2818" xr:uid="{00000000-0005-0000-0000-0000130B0000}"/>
    <cellStyle name="ProfileTitle" xfId="2819" xr:uid="{00000000-0005-0000-0000-0000140B0000}"/>
    <cellStyle name="Proj" xfId="2820" xr:uid="{00000000-0005-0000-0000-0000150B0000}"/>
    <cellStyle name="projection" xfId="2821" xr:uid="{00000000-0005-0000-0000-0000160B0000}"/>
    <cellStyle name="Projections" xfId="2822" xr:uid="{00000000-0005-0000-0000-0000170B0000}"/>
    <cellStyle name="PSChar" xfId="2823" xr:uid="{00000000-0005-0000-0000-0000180B0000}"/>
    <cellStyle name="PSHeading" xfId="2824" xr:uid="{00000000-0005-0000-0000-0000190B0000}"/>
    <cellStyle name="q" xfId="2825" xr:uid="{00000000-0005-0000-0000-00001A0B0000}"/>
    <cellStyle name="q_Sheet1" xfId="2826" xr:uid="{00000000-0005-0000-0000-00001B0B0000}"/>
    <cellStyle name="QEPS-h" xfId="2827" xr:uid="{00000000-0005-0000-0000-00001C0B0000}"/>
    <cellStyle name="QEPS-H1" xfId="2828" xr:uid="{00000000-0005-0000-0000-00001D0B0000}"/>
    <cellStyle name="qRange" xfId="2829" xr:uid="{00000000-0005-0000-0000-00001E0B0000}"/>
    <cellStyle name="Quantity" xfId="2830" xr:uid="{00000000-0005-0000-0000-00001F0B0000}"/>
    <cellStyle name="Quantity 2" xfId="2831" xr:uid="{00000000-0005-0000-0000-0000200B0000}"/>
    <cellStyle name="range" xfId="2832" xr:uid="{00000000-0005-0000-0000-0000210B0000}"/>
    <cellStyle name="Ratio" xfId="2833" xr:uid="{00000000-0005-0000-0000-0000220B0000}"/>
    <cellStyle name="Ratios[1]" xfId="2834" xr:uid="{00000000-0005-0000-0000-0000230B0000}"/>
    <cellStyle name="RatioX" xfId="2835" xr:uid="{00000000-0005-0000-0000-0000240B0000}"/>
    <cellStyle name="red" xfId="2836" xr:uid="{00000000-0005-0000-0000-0000250B0000}"/>
    <cellStyle name="Red (#,###0)" xfId="2837" xr:uid="{00000000-0005-0000-0000-0000260B0000}"/>
    <cellStyle name="Red font" xfId="2838" xr:uid="{00000000-0005-0000-0000-0000270B0000}"/>
    <cellStyle name="Report" xfId="2839" xr:uid="{00000000-0005-0000-0000-0000280B0000}"/>
    <cellStyle name="Reset  - Style4" xfId="2840" xr:uid="{00000000-0005-0000-0000-0000290B0000}"/>
    <cellStyle name="Reset  - Style7" xfId="2841" xr:uid="{00000000-0005-0000-0000-00002A0B0000}"/>
    <cellStyle name="Reset range style to defaults" xfId="2842" xr:uid="{00000000-0005-0000-0000-00002B0B0000}"/>
    <cellStyle name="Result F1" xfId="2843" xr:uid="{00000000-0005-0000-0000-00002C0B0000}"/>
    <cellStyle name="Result F1 2" xfId="2844" xr:uid="{00000000-0005-0000-0000-00002D0B0000}"/>
    <cellStyle name="Result F1 2 2" xfId="2845" xr:uid="{00000000-0005-0000-0000-00002E0B0000}"/>
    <cellStyle name="Result F1 2 3" xfId="2846" xr:uid="{00000000-0005-0000-0000-00002F0B0000}"/>
    <cellStyle name="Result Item" xfId="2847" xr:uid="{00000000-0005-0000-0000-0000300B0000}"/>
    <cellStyle name="Result Item 2" xfId="2848" xr:uid="{00000000-0005-0000-0000-0000310B0000}"/>
    <cellStyle name="Result Item 2 2" xfId="2849" xr:uid="{00000000-0005-0000-0000-0000320B0000}"/>
    <cellStyle name="Result Item 2 3" xfId="2850" xr:uid="{00000000-0005-0000-0000-0000330B0000}"/>
    <cellStyle name="Result Item Total" xfId="2851" xr:uid="{00000000-0005-0000-0000-0000340B0000}"/>
    <cellStyle name="Result Item_Ambit_JSW Energy_30032011" xfId="2852" xr:uid="{00000000-0005-0000-0000-0000350B0000}"/>
    <cellStyle name="Result T1" xfId="2853" xr:uid="{00000000-0005-0000-0000-0000360B0000}"/>
    <cellStyle name="Result T2" xfId="2854" xr:uid="{00000000-0005-0000-0000-0000370B0000}"/>
    <cellStyle name="Result T3" xfId="2855" xr:uid="{00000000-0005-0000-0000-0000380B0000}"/>
    <cellStyle name="Result T4" xfId="2856" xr:uid="{00000000-0005-0000-0000-0000390B0000}"/>
    <cellStyle name="Result Total" xfId="2857" xr:uid="{00000000-0005-0000-0000-00003A0B0000}"/>
    <cellStyle name="Result Total 2" xfId="2858" xr:uid="{00000000-0005-0000-0000-00003B0B0000}"/>
    <cellStyle name="Result Total 2 2" xfId="2859" xr:uid="{00000000-0005-0000-0000-00003C0B0000}"/>
    <cellStyle name="Result Total 2 3" xfId="2860" xr:uid="{00000000-0005-0000-0000-00003D0B0000}"/>
    <cellStyle name="Reuters Cells" xfId="2861" xr:uid="{00000000-0005-0000-0000-00003E0B0000}"/>
    <cellStyle name="RevList" xfId="2862" xr:uid="{00000000-0005-0000-0000-00003F0B0000}"/>
    <cellStyle name="RevList 2" xfId="2863" xr:uid="{00000000-0005-0000-0000-0000400B0000}"/>
    <cellStyle name="Right" xfId="2864" xr:uid="{00000000-0005-0000-0000-0000410B0000}"/>
    <cellStyle name="RM" xfId="2865" xr:uid="{00000000-0005-0000-0000-0000420B0000}"/>
    <cellStyle name="RobModel" xfId="2866" xr:uid="{00000000-0005-0000-0000-0000430B0000}"/>
    <cellStyle name="Role" xfId="2867" xr:uid="{00000000-0005-0000-0000-0000440B0000}"/>
    <cellStyle name="Rs Notation" xfId="2868" xr:uid="{00000000-0005-0000-0000-0000450B0000}"/>
    <cellStyle name="s_Valuation " xfId="2869" xr:uid="{00000000-0005-0000-0000-0000460B0000}"/>
    <cellStyle name="Salomon Logo" xfId="2870" xr:uid="{00000000-0005-0000-0000-0000470B0000}"/>
    <cellStyle name="ScripFactor" xfId="2871" xr:uid="{00000000-0005-0000-0000-0000480B0000}"/>
    <cellStyle name="ScripFactor 2" xfId="2872" xr:uid="{00000000-0005-0000-0000-0000490B0000}"/>
    <cellStyle name="SectionHeading" xfId="2873" xr:uid="{00000000-0005-0000-0000-00004A0B0000}"/>
    <cellStyle name="Shade" xfId="2874" xr:uid="{00000000-0005-0000-0000-00004B0B0000}"/>
    <cellStyle name="ShadedCells_Database" xfId="2875" xr:uid="{00000000-0005-0000-0000-00004C0B0000}"/>
    <cellStyle name="Share" xfId="2876" xr:uid="{00000000-0005-0000-0000-00004D0B0000}"/>
    <cellStyle name="Shares" xfId="2877" xr:uid="{00000000-0005-0000-0000-00004E0B0000}"/>
    <cellStyle name="Sheet Title" xfId="2878" xr:uid="{00000000-0005-0000-0000-00004F0B0000}"/>
    <cellStyle name="ShOut" xfId="2879" xr:uid="{00000000-0005-0000-0000-0000500B0000}"/>
    <cellStyle name="Single Accounting" xfId="2880" xr:uid="{00000000-0005-0000-0000-0000510B0000}"/>
    <cellStyle name="Source" xfId="2881" xr:uid="{00000000-0005-0000-0000-0000520B0000}"/>
    <cellStyle name="Special" xfId="2882" xr:uid="{00000000-0005-0000-0000-0000530B0000}"/>
    <cellStyle name="ssp " xfId="2883" xr:uid="{00000000-0005-0000-0000-0000540B0000}"/>
    <cellStyle name="Standard" xfId="2884" xr:uid="{00000000-0005-0000-0000-0000550B0000}"/>
    <cellStyle name="Standing Text" xfId="2885" xr:uid="{00000000-0005-0000-0000-0000560B0000}"/>
    <cellStyle name="StockPrice" xfId="2886" xr:uid="{00000000-0005-0000-0000-0000570B0000}"/>
    <cellStyle name="STYL1 - Style1" xfId="2887" xr:uid="{00000000-0005-0000-0000-0000580B0000}"/>
    <cellStyle name="STYL2 - Style2" xfId="2888" xr:uid="{00000000-0005-0000-0000-0000590B0000}"/>
    <cellStyle name="Style 1" xfId="2889" xr:uid="{00000000-0005-0000-0000-00005A0B0000}"/>
    <cellStyle name="Style 1 2" xfId="2890" xr:uid="{00000000-0005-0000-0000-00005B0B0000}"/>
    <cellStyle name="Style 1 3" xfId="2891" xr:uid="{00000000-0005-0000-0000-00005C0B0000}"/>
    <cellStyle name="Style 1 4" xfId="2892" xr:uid="{00000000-0005-0000-0000-00005D0B0000}"/>
    <cellStyle name="Style 1_Ass-Exp" xfId="2893" xr:uid="{00000000-0005-0000-0000-00005E0B0000}"/>
    <cellStyle name="Style 101" xfId="2894" xr:uid="{00000000-0005-0000-0000-00005F0B0000}"/>
    <cellStyle name="Style 103" xfId="2895" xr:uid="{00000000-0005-0000-0000-0000600B0000}"/>
    <cellStyle name="Style 105" xfId="2896" xr:uid="{00000000-0005-0000-0000-0000610B0000}"/>
    <cellStyle name="Style 107" xfId="2897" xr:uid="{00000000-0005-0000-0000-0000620B0000}"/>
    <cellStyle name="Style 109" xfId="2898" xr:uid="{00000000-0005-0000-0000-0000630B0000}"/>
    <cellStyle name="Style 111" xfId="2899" xr:uid="{00000000-0005-0000-0000-0000640B0000}"/>
    <cellStyle name="Style 113" xfId="2900" xr:uid="{00000000-0005-0000-0000-0000650B0000}"/>
    <cellStyle name="Style 115" xfId="2901" xr:uid="{00000000-0005-0000-0000-0000660B0000}"/>
    <cellStyle name="Style 117" xfId="2902" xr:uid="{00000000-0005-0000-0000-0000670B0000}"/>
    <cellStyle name="Style 119" xfId="2903" xr:uid="{00000000-0005-0000-0000-0000680B0000}"/>
    <cellStyle name="Style 121" xfId="2904" xr:uid="{00000000-0005-0000-0000-0000690B0000}"/>
    <cellStyle name="Style 123" xfId="2905" xr:uid="{00000000-0005-0000-0000-00006A0B0000}"/>
    <cellStyle name="Style 125" xfId="2906" xr:uid="{00000000-0005-0000-0000-00006B0B0000}"/>
    <cellStyle name="Style 127" xfId="2907" xr:uid="{00000000-0005-0000-0000-00006C0B0000}"/>
    <cellStyle name="Style 129" xfId="2908" xr:uid="{00000000-0005-0000-0000-00006D0B0000}"/>
    <cellStyle name="Style 131" xfId="2909" xr:uid="{00000000-0005-0000-0000-00006E0B0000}"/>
    <cellStyle name="Style 133" xfId="2910" xr:uid="{00000000-0005-0000-0000-00006F0B0000}"/>
    <cellStyle name="Style 135" xfId="2911" xr:uid="{00000000-0005-0000-0000-0000700B0000}"/>
    <cellStyle name="Style 137" xfId="2912" xr:uid="{00000000-0005-0000-0000-0000710B0000}"/>
    <cellStyle name="Style 139" xfId="2913" xr:uid="{00000000-0005-0000-0000-0000720B0000}"/>
    <cellStyle name="Style 141" xfId="2914" xr:uid="{00000000-0005-0000-0000-0000730B0000}"/>
    <cellStyle name="Style 143" xfId="2915" xr:uid="{00000000-0005-0000-0000-0000740B0000}"/>
    <cellStyle name="Style 145" xfId="2916" xr:uid="{00000000-0005-0000-0000-0000750B0000}"/>
    <cellStyle name="Style 147" xfId="2917" xr:uid="{00000000-0005-0000-0000-0000760B0000}"/>
    <cellStyle name="Style 149" xfId="2918" xr:uid="{00000000-0005-0000-0000-0000770B0000}"/>
    <cellStyle name="Style 151" xfId="2919" xr:uid="{00000000-0005-0000-0000-0000780B0000}"/>
    <cellStyle name="Style 153" xfId="2920" xr:uid="{00000000-0005-0000-0000-0000790B0000}"/>
    <cellStyle name="Style 155" xfId="2921" xr:uid="{00000000-0005-0000-0000-00007A0B0000}"/>
    <cellStyle name="Style 157" xfId="2922" xr:uid="{00000000-0005-0000-0000-00007B0B0000}"/>
    <cellStyle name="Style 159" xfId="2923" xr:uid="{00000000-0005-0000-0000-00007C0B0000}"/>
    <cellStyle name="Style 161" xfId="2924" xr:uid="{00000000-0005-0000-0000-00007D0B0000}"/>
    <cellStyle name="Style 2" xfId="2925" xr:uid="{00000000-0005-0000-0000-00007E0B0000}"/>
    <cellStyle name="Style 21" xfId="2926" xr:uid="{00000000-0005-0000-0000-00007F0B0000}"/>
    <cellStyle name="Style 22" xfId="2927" xr:uid="{00000000-0005-0000-0000-0000800B0000}"/>
    <cellStyle name="Style 23" xfId="2928" xr:uid="{00000000-0005-0000-0000-0000810B0000}"/>
    <cellStyle name="Style 24" xfId="2929" xr:uid="{00000000-0005-0000-0000-0000820B0000}"/>
    <cellStyle name="Style 25" xfId="2930" xr:uid="{00000000-0005-0000-0000-0000830B0000}"/>
    <cellStyle name="Style 26" xfId="2931" xr:uid="{00000000-0005-0000-0000-0000840B0000}"/>
    <cellStyle name="Style 27" xfId="2932" xr:uid="{00000000-0005-0000-0000-0000850B0000}"/>
    <cellStyle name="Style 28" xfId="2933" xr:uid="{00000000-0005-0000-0000-0000860B0000}"/>
    <cellStyle name="Style 29" xfId="2934" xr:uid="{00000000-0005-0000-0000-0000870B0000}"/>
    <cellStyle name="Style 3" xfId="2935" xr:uid="{00000000-0005-0000-0000-0000880B0000}"/>
    <cellStyle name="Style 30" xfId="2936" xr:uid="{00000000-0005-0000-0000-0000890B0000}"/>
    <cellStyle name="Style 31" xfId="2937" xr:uid="{00000000-0005-0000-0000-00008A0B0000}"/>
    <cellStyle name="Style 32" xfId="2938" xr:uid="{00000000-0005-0000-0000-00008B0B0000}"/>
    <cellStyle name="Style 33" xfId="2939" xr:uid="{00000000-0005-0000-0000-00008C0B0000}"/>
    <cellStyle name="Style 34" xfId="2940" xr:uid="{00000000-0005-0000-0000-00008D0B0000}"/>
    <cellStyle name="Style 35" xfId="2941" xr:uid="{00000000-0005-0000-0000-00008E0B0000}"/>
    <cellStyle name="Style 36" xfId="2942" xr:uid="{00000000-0005-0000-0000-00008F0B0000}"/>
    <cellStyle name="Style 37" xfId="2943" xr:uid="{00000000-0005-0000-0000-0000900B0000}"/>
    <cellStyle name="Style 38" xfId="2944" xr:uid="{00000000-0005-0000-0000-0000910B0000}"/>
    <cellStyle name="Style 39" xfId="2945" xr:uid="{00000000-0005-0000-0000-0000920B0000}"/>
    <cellStyle name="Style 40" xfId="2946" xr:uid="{00000000-0005-0000-0000-0000930B0000}"/>
    <cellStyle name="Style 41" xfId="2947" xr:uid="{00000000-0005-0000-0000-0000940B0000}"/>
    <cellStyle name="Style 42" xfId="2948" xr:uid="{00000000-0005-0000-0000-0000950B0000}"/>
    <cellStyle name="Style 43" xfId="2949" xr:uid="{00000000-0005-0000-0000-0000960B0000}"/>
    <cellStyle name="Style 44" xfId="2950" xr:uid="{00000000-0005-0000-0000-0000970B0000}"/>
    <cellStyle name="Style 45" xfId="2951" xr:uid="{00000000-0005-0000-0000-0000980B0000}"/>
    <cellStyle name="Style 46" xfId="2952" xr:uid="{00000000-0005-0000-0000-0000990B0000}"/>
    <cellStyle name="Style 47" xfId="2953" xr:uid="{00000000-0005-0000-0000-00009A0B0000}"/>
    <cellStyle name="Style 48" xfId="2954" xr:uid="{00000000-0005-0000-0000-00009B0B0000}"/>
    <cellStyle name="Style 49" xfId="2955" xr:uid="{00000000-0005-0000-0000-00009C0B0000}"/>
    <cellStyle name="Style 50" xfId="2956" xr:uid="{00000000-0005-0000-0000-00009D0B0000}"/>
    <cellStyle name="Style 56" xfId="2957" xr:uid="{00000000-0005-0000-0000-00009E0B0000}"/>
    <cellStyle name="Style 57" xfId="2958" xr:uid="{00000000-0005-0000-0000-00009F0B0000}"/>
    <cellStyle name="Style 58" xfId="2959" xr:uid="{00000000-0005-0000-0000-0000A00B0000}"/>
    <cellStyle name="Style 59" xfId="2960" xr:uid="{00000000-0005-0000-0000-0000A10B0000}"/>
    <cellStyle name="Style 60" xfId="2961" xr:uid="{00000000-0005-0000-0000-0000A20B0000}"/>
    <cellStyle name="Style 61" xfId="2962" xr:uid="{00000000-0005-0000-0000-0000A30B0000}"/>
    <cellStyle name="Style 62" xfId="2963" xr:uid="{00000000-0005-0000-0000-0000A40B0000}"/>
    <cellStyle name="Style 63" xfId="2964" xr:uid="{00000000-0005-0000-0000-0000A50B0000}"/>
    <cellStyle name="Style 64" xfId="2965" xr:uid="{00000000-0005-0000-0000-0000A60B0000}"/>
    <cellStyle name="Style 65" xfId="2966" xr:uid="{00000000-0005-0000-0000-0000A70B0000}"/>
    <cellStyle name="Style 66" xfId="2967" xr:uid="{00000000-0005-0000-0000-0000A80B0000}"/>
    <cellStyle name="Style 67" xfId="2968" xr:uid="{00000000-0005-0000-0000-0000A90B0000}"/>
    <cellStyle name="Style 68" xfId="2969" xr:uid="{00000000-0005-0000-0000-0000AA0B0000}"/>
    <cellStyle name="Style 69" xfId="2970" xr:uid="{00000000-0005-0000-0000-0000AB0B0000}"/>
    <cellStyle name="Style 70" xfId="2971" xr:uid="{00000000-0005-0000-0000-0000AC0B0000}"/>
    <cellStyle name="Style 71" xfId="2972" xr:uid="{00000000-0005-0000-0000-0000AD0B0000}"/>
    <cellStyle name="Style 72" xfId="2973" xr:uid="{00000000-0005-0000-0000-0000AE0B0000}"/>
    <cellStyle name="Style 73" xfId="2974" xr:uid="{00000000-0005-0000-0000-0000AF0B0000}"/>
    <cellStyle name="Style 74" xfId="2975" xr:uid="{00000000-0005-0000-0000-0000B00B0000}"/>
    <cellStyle name="Style 83" xfId="2976" xr:uid="{00000000-0005-0000-0000-0000B10B0000}"/>
    <cellStyle name="Style 85" xfId="2977" xr:uid="{00000000-0005-0000-0000-0000B20B0000}"/>
    <cellStyle name="Style 87" xfId="2978" xr:uid="{00000000-0005-0000-0000-0000B30B0000}"/>
    <cellStyle name="Style 89" xfId="2979" xr:uid="{00000000-0005-0000-0000-0000B40B0000}"/>
    <cellStyle name="Style 91" xfId="2980" xr:uid="{00000000-0005-0000-0000-0000B50B0000}"/>
    <cellStyle name="Style 93" xfId="2981" xr:uid="{00000000-0005-0000-0000-0000B60B0000}"/>
    <cellStyle name="Style 95" xfId="2982" xr:uid="{00000000-0005-0000-0000-0000B70B0000}"/>
    <cellStyle name="Style 97" xfId="2983" xr:uid="{00000000-0005-0000-0000-0000B80B0000}"/>
    <cellStyle name="Style 99" xfId="2984" xr:uid="{00000000-0005-0000-0000-0000B90B0000}"/>
    <cellStyle name="Style D green" xfId="2985" xr:uid="{00000000-0005-0000-0000-0000BA0B0000}"/>
    <cellStyle name="Style E" xfId="2986" xr:uid="{00000000-0005-0000-0000-0000BB0B0000}"/>
    <cellStyle name="Style H" xfId="2987" xr:uid="{00000000-0005-0000-0000-0000BC0B0000}"/>
    <cellStyle name="Sub - Style3" xfId="2988" xr:uid="{00000000-0005-0000-0000-0000BD0B0000}"/>
    <cellStyle name="Sub Normal" xfId="2989" xr:uid="{00000000-0005-0000-0000-0000BE0B0000}"/>
    <cellStyle name="Sub Title" xfId="2990" xr:uid="{00000000-0005-0000-0000-0000BF0B0000}"/>
    <cellStyle name="Sub total" xfId="2991" xr:uid="{00000000-0005-0000-0000-0000C00B0000}"/>
    <cellStyle name="SubDollar" xfId="2992" xr:uid="{00000000-0005-0000-0000-0000C10B0000}"/>
    <cellStyle name="SubGrowth" xfId="2993" xr:uid="{00000000-0005-0000-0000-0000C20B0000}"/>
    <cellStyle name="SubGrowthRate" xfId="2994" xr:uid="{00000000-0005-0000-0000-0000C30B0000}"/>
    <cellStyle name="subhead" xfId="2995" xr:uid="{00000000-0005-0000-0000-0000C40B0000}"/>
    <cellStyle name="SUBHEAD2" xfId="2996" xr:uid="{00000000-0005-0000-0000-0000C50B0000}"/>
    <cellStyle name="SubMargins" xfId="2997" xr:uid="{00000000-0005-0000-0000-0000C60B0000}"/>
    <cellStyle name="SubPenetration" xfId="2998" xr:uid="{00000000-0005-0000-0000-0000C70B0000}"/>
    <cellStyle name="Subscribers" xfId="2999" xr:uid="{00000000-0005-0000-0000-0000C80B0000}"/>
    <cellStyle name="Subtitle" xfId="3000" xr:uid="{00000000-0005-0000-0000-0000C90B0000}"/>
    <cellStyle name="SubTot 1" xfId="3001" xr:uid="{00000000-0005-0000-0000-0000CA0B0000}"/>
    <cellStyle name="SubTot 1 2" xfId="3002" xr:uid="{00000000-0005-0000-0000-0000CB0B0000}"/>
    <cellStyle name="SubTot 1 2 2" xfId="3003" xr:uid="{00000000-0005-0000-0000-0000CC0B0000}"/>
    <cellStyle name="SubTot 1 2 3" xfId="3004" xr:uid="{00000000-0005-0000-0000-0000CD0B0000}"/>
    <cellStyle name="SubTot 2" xfId="3005" xr:uid="{00000000-0005-0000-0000-0000CE0B0000}"/>
    <cellStyle name="SubTot 2 2" xfId="3006" xr:uid="{00000000-0005-0000-0000-0000CF0B0000}"/>
    <cellStyle name="SubTot 2 2 2" xfId="3007" xr:uid="{00000000-0005-0000-0000-0000D00B0000}"/>
    <cellStyle name="SubTot 2 2 3" xfId="3008" xr:uid="{00000000-0005-0000-0000-0000D10B0000}"/>
    <cellStyle name="SubTot 3" xfId="3009" xr:uid="{00000000-0005-0000-0000-0000D20B0000}"/>
    <cellStyle name="SubTot 3 2" xfId="3010" xr:uid="{00000000-0005-0000-0000-0000D30B0000}"/>
    <cellStyle name="SubTot 3 2 2" xfId="3011" xr:uid="{00000000-0005-0000-0000-0000D40B0000}"/>
    <cellStyle name="SubTot 3 2 3" xfId="3012" xr:uid="{00000000-0005-0000-0000-0000D50B0000}"/>
    <cellStyle name="Subtotal" xfId="3013" xr:uid="{00000000-0005-0000-0000-0000D60B0000}"/>
    <cellStyle name="Subtotal 2" xfId="3014" xr:uid="{00000000-0005-0000-0000-0000D70B0000}"/>
    <cellStyle name="SubtotalData" xfId="3015" xr:uid="{00000000-0005-0000-0000-0000D80B0000}"/>
    <cellStyle name="SubtotalData 2" xfId="3016" xr:uid="{00000000-0005-0000-0000-0000D90B0000}"/>
    <cellStyle name="SubVariable" xfId="3017" xr:uid="{00000000-0005-0000-0000-0000DA0B0000}"/>
    <cellStyle name="swisses" xfId="3018" xr:uid="{00000000-0005-0000-0000-0000DB0B0000}"/>
    <cellStyle name="switzerland" xfId="3019" xr:uid="{00000000-0005-0000-0000-0000DC0B0000}"/>
    <cellStyle name="swpBody01" xfId="3020" xr:uid="{00000000-0005-0000-0000-0000DD0B0000}"/>
    <cellStyle name="swpBodyFirstCol_EUREX" xfId="3021" xr:uid="{00000000-0005-0000-0000-0000DE0B0000}"/>
    <cellStyle name="SymbolBlue" xfId="3022" xr:uid="{00000000-0005-0000-0000-0000DF0B0000}"/>
    <cellStyle name="Synopsis" xfId="3023" xr:uid="{00000000-0005-0000-0000-0000E00B0000}"/>
    <cellStyle name="table" xfId="3024" xr:uid="{00000000-0005-0000-0000-0000E10B0000}"/>
    <cellStyle name="Table  - Style5" xfId="3025" xr:uid="{00000000-0005-0000-0000-0000E20B0000}"/>
    <cellStyle name="Table  - Style6" xfId="3026" xr:uid="{00000000-0005-0000-0000-0000E30B0000}"/>
    <cellStyle name="Table body" xfId="3027" xr:uid="{00000000-0005-0000-0000-0000E40B0000}"/>
    <cellStyle name="Table Column Heading" xfId="3028" xr:uid="{00000000-0005-0000-0000-0000E50B0000}"/>
    <cellStyle name="Table Column Heading (right align)" xfId="3029" xr:uid="{00000000-0005-0000-0000-0000E60B0000}"/>
    <cellStyle name="Table end" xfId="3030" xr:uid="{00000000-0005-0000-0000-0000E70B0000}"/>
    <cellStyle name="Table Footer" xfId="3031" xr:uid="{00000000-0005-0000-0000-0000E80B0000}"/>
    <cellStyle name="Table Head" xfId="3032" xr:uid="{00000000-0005-0000-0000-0000E90B0000}"/>
    <cellStyle name="Table Head Aligned" xfId="3033" xr:uid="{00000000-0005-0000-0000-0000EA0B0000}"/>
    <cellStyle name="Table Head Blue" xfId="3034" xr:uid="{00000000-0005-0000-0000-0000EB0B0000}"/>
    <cellStyle name="Table Head Green" xfId="3035" xr:uid="{00000000-0005-0000-0000-0000EC0B0000}"/>
    <cellStyle name="Table head_123" xfId="3036" xr:uid="{00000000-0005-0000-0000-0000ED0B0000}"/>
    <cellStyle name="Table Header" xfId="3037" xr:uid="{00000000-0005-0000-0000-0000EE0B0000}"/>
    <cellStyle name="Table Heading" xfId="3038" xr:uid="{00000000-0005-0000-0000-0000EF0B0000}"/>
    <cellStyle name="Table Source" xfId="3039" xr:uid="{00000000-0005-0000-0000-0000F00B0000}"/>
    <cellStyle name="Table subhead" xfId="3040" xr:uid="{00000000-0005-0000-0000-0000F10B0000}"/>
    <cellStyle name="Table Subheading" xfId="3041" xr:uid="{00000000-0005-0000-0000-0000F20B0000}"/>
    <cellStyle name="Table Text" xfId="3042" xr:uid="{00000000-0005-0000-0000-0000F30B0000}"/>
    <cellStyle name="Table Text 2" xfId="3043" xr:uid="{00000000-0005-0000-0000-0000F40B0000}"/>
    <cellStyle name="table text bold" xfId="3044" xr:uid="{00000000-0005-0000-0000-0000F50B0000}"/>
    <cellStyle name="table text bold green" xfId="3045" xr:uid="{00000000-0005-0000-0000-0000F60B0000}"/>
    <cellStyle name="table text bold_IVRCL - results - 2Q09 - exhibits" xfId="3046" xr:uid="{00000000-0005-0000-0000-0000F70B0000}"/>
    <cellStyle name="table text light" xfId="3047" xr:uid="{00000000-0005-0000-0000-0000F80B0000}"/>
    <cellStyle name="Table Title" xfId="3048" xr:uid="{00000000-0005-0000-0000-0000F90B0000}"/>
    <cellStyle name="Table Units" xfId="3049" xr:uid="{00000000-0005-0000-0000-0000FA0B0000}"/>
    <cellStyle name="Table-#" xfId="3050" xr:uid="{00000000-0005-0000-0000-0000FB0B0000}"/>
    <cellStyle name="TableBody" xfId="3051" xr:uid="{00000000-0005-0000-0000-0000FC0B0000}"/>
    <cellStyle name="Table-Headings" xfId="3052" xr:uid="{00000000-0005-0000-0000-0000FD0B0000}"/>
    <cellStyle name="Table-Titles" xfId="3053" xr:uid="{00000000-0005-0000-0000-0000FE0B0000}"/>
    <cellStyle name="tcn" xfId="3054" xr:uid="{00000000-0005-0000-0000-0000FF0B0000}"/>
    <cellStyle name="test" xfId="3055" xr:uid="{00000000-0005-0000-0000-0000000C0000}"/>
    <cellStyle name="Text" xfId="3056" xr:uid="{00000000-0005-0000-0000-0000010C0000}"/>
    <cellStyle name="Text _Titles" xfId="3057" xr:uid="{00000000-0005-0000-0000-0000020C0000}"/>
    <cellStyle name="Text 1" xfId="3058" xr:uid="{00000000-0005-0000-0000-0000030C0000}"/>
    <cellStyle name="Text 2" xfId="3059" xr:uid="{00000000-0005-0000-0000-0000040C0000}"/>
    <cellStyle name="Text Head 1" xfId="3060" xr:uid="{00000000-0005-0000-0000-0000050C0000}"/>
    <cellStyle name="Text Head 2" xfId="3061" xr:uid="{00000000-0005-0000-0000-0000060C0000}"/>
    <cellStyle name="Text Indent 1" xfId="3062" xr:uid="{00000000-0005-0000-0000-0000070C0000}"/>
    <cellStyle name="Text Indent 2" xfId="3063" xr:uid="{00000000-0005-0000-0000-0000080C0000}"/>
    <cellStyle name="Text Table Row Heading" xfId="3064" xr:uid="{00000000-0005-0000-0000-0000090C0000}"/>
    <cellStyle name="Text_Indent" xfId="3065" xr:uid="{00000000-0005-0000-0000-00000A0C0000}"/>
    <cellStyle name="TFCF" xfId="3066" xr:uid="{00000000-0005-0000-0000-00000B0C0000}"/>
    <cellStyle name="Thin2Lines(B)" xfId="3067" xr:uid="{00000000-0005-0000-0000-00000C0C0000}"/>
    <cellStyle name="Thin2Lines(B) 2" xfId="3068" xr:uid="{00000000-0005-0000-0000-00000D0C0000}"/>
    <cellStyle name="Thin2Lines(B) 2 2" xfId="3069" xr:uid="{00000000-0005-0000-0000-00000E0C0000}"/>
    <cellStyle name="Thin2Lines(B) 2 3" xfId="3070" xr:uid="{00000000-0005-0000-0000-00000F0C0000}"/>
    <cellStyle name="ThinBotRow" xfId="3071" xr:uid="{00000000-0005-0000-0000-0000100C0000}"/>
    <cellStyle name="ThinBotRow 2" xfId="3072" xr:uid="{00000000-0005-0000-0000-0000110C0000}"/>
    <cellStyle name="ThinBotRow 2 2" xfId="3073" xr:uid="{00000000-0005-0000-0000-0000120C0000}"/>
    <cellStyle name="ThinBotRow 2 3" xfId="3074" xr:uid="{00000000-0005-0000-0000-0000130C0000}"/>
    <cellStyle name="ThinLine(B)" xfId="3075" xr:uid="{00000000-0005-0000-0000-0000140C0000}"/>
    <cellStyle name="ThinLine(B) 2" xfId="3076" xr:uid="{00000000-0005-0000-0000-0000150C0000}"/>
    <cellStyle name="ThinLine(B) 2 2" xfId="3077" xr:uid="{00000000-0005-0000-0000-0000160C0000}"/>
    <cellStyle name="ThinLine(B) 2 3" xfId="3078" xr:uid="{00000000-0005-0000-0000-0000170C0000}"/>
    <cellStyle name="ThinLine(BL)" xfId="3079" xr:uid="{00000000-0005-0000-0000-0000180C0000}"/>
    <cellStyle name="ThinLine(BL) 2" xfId="3080" xr:uid="{00000000-0005-0000-0000-0000190C0000}"/>
    <cellStyle name="ThinLine(BL) 2 2" xfId="3081" xr:uid="{00000000-0005-0000-0000-00001A0C0000}"/>
    <cellStyle name="ThinLine(BL) 2 3" xfId="3082" xr:uid="{00000000-0005-0000-0000-00001B0C0000}"/>
    <cellStyle name="ThinLine(Box)" xfId="3083" xr:uid="{00000000-0005-0000-0000-00001C0C0000}"/>
    <cellStyle name="ThinLine(Box) 2" xfId="3084" xr:uid="{00000000-0005-0000-0000-00001D0C0000}"/>
    <cellStyle name="ThinLine(Box) 2 2" xfId="3085" xr:uid="{00000000-0005-0000-0000-00001E0C0000}"/>
    <cellStyle name="ThinLine(Box) 2 3" xfId="3086" xr:uid="{00000000-0005-0000-0000-00001F0C0000}"/>
    <cellStyle name="ThinLine(BR)" xfId="3087" xr:uid="{00000000-0005-0000-0000-0000200C0000}"/>
    <cellStyle name="ThinLine(BR) 2" xfId="3088" xr:uid="{00000000-0005-0000-0000-0000210C0000}"/>
    <cellStyle name="ThinLine(BR) 2 2" xfId="3089" xr:uid="{00000000-0005-0000-0000-0000220C0000}"/>
    <cellStyle name="ThinLine(BR) 2 3" xfId="3090" xr:uid="{00000000-0005-0000-0000-0000230C0000}"/>
    <cellStyle name="ThinLine(LBox)" xfId="3091" xr:uid="{00000000-0005-0000-0000-0000240C0000}"/>
    <cellStyle name="ThinLine(LBox) 2" xfId="3092" xr:uid="{00000000-0005-0000-0000-0000250C0000}"/>
    <cellStyle name="ThinLine(LBox) 2 2" xfId="3093" xr:uid="{00000000-0005-0000-0000-0000260C0000}"/>
    <cellStyle name="ThinLine(LBox) 2 3" xfId="3094" xr:uid="{00000000-0005-0000-0000-0000270C0000}"/>
    <cellStyle name="ThinLine(RBox)" xfId="3095" xr:uid="{00000000-0005-0000-0000-0000280C0000}"/>
    <cellStyle name="ThinLine(RBox) 2" xfId="3096" xr:uid="{00000000-0005-0000-0000-0000290C0000}"/>
    <cellStyle name="ThinLine(RBox) 2 2" xfId="3097" xr:uid="{00000000-0005-0000-0000-00002A0C0000}"/>
    <cellStyle name="ThinLine(RBox) 2 3" xfId="3098" xr:uid="{00000000-0005-0000-0000-00002B0C0000}"/>
    <cellStyle name="ThinLine(TB)" xfId="3099" xr:uid="{00000000-0005-0000-0000-00002C0C0000}"/>
    <cellStyle name="ThinLine(TB) 2" xfId="3100" xr:uid="{00000000-0005-0000-0000-00002D0C0000}"/>
    <cellStyle name="ThinLine(TB) 2 2" xfId="3101" xr:uid="{00000000-0005-0000-0000-00002E0C0000}"/>
    <cellStyle name="ThinLine(TB) 2 3" xfId="3102" xr:uid="{00000000-0005-0000-0000-00002F0C0000}"/>
    <cellStyle name="ThinLine(TL)" xfId="3103" xr:uid="{00000000-0005-0000-0000-0000300C0000}"/>
    <cellStyle name="ThinLine(TL) 2" xfId="3104" xr:uid="{00000000-0005-0000-0000-0000310C0000}"/>
    <cellStyle name="ThinLine(TL) 2 2" xfId="3105" xr:uid="{00000000-0005-0000-0000-0000320C0000}"/>
    <cellStyle name="ThinLine(TL) 2 3" xfId="3106" xr:uid="{00000000-0005-0000-0000-0000330C0000}"/>
    <cellStyle name="ThinLine(TR)" xfId="3107" xr:uid="{00000000-0005-0000-0000-0000340C0000}"/>
    <cellStyle name="ThinLine(TR) 2" xfId="3108" xr:uid="{00000000-0005-0000-0000-0000350C0000}"/>
    <cellStyle name="ThinLine(TR) 2 2" xfId="3109" xr:uid="{00000000-0005-0000-0000-0000360C0000}"/>
    <cellStyle name="ThinLine(TR) 2 3" xfId="3110" xr:uid="{00000000-0005-0000-0000-0000370C0000}"/>
    <cellStyle name="ThinMidRow" xfId="3111" xr:uid="{00000000-0005-0000-0000-0000380C0000}"/>
    <cellStyle name="ThinMidRow 2" xfId="3112" xr:uid="{00000000-0005-0000-0000-0000390C0000}"/>
    <cellStyle name="ThinMidRow 2 2" xfId="3113" xr:uid="{00000000-0005-0000-0000-00003A0C0000}"/>
    <cellStyle name="ThinMidRow 2 3" xfId="3114" xr:uid="{00000000-0005-0000-0000-00003B0C0000}"/>
    <cellStyle name="ThinTopRow" xfId="3115" xr:uid="{00000000-0005-0000-0000-00003C0C0000}"/>
    <cellStyle name="ThinTopRow 2" xfId="3116" xr:uid="{00000000-0005-0000-0000-00003D0C0000}"/>
    <cellStyle name="ThinTopRow 2 2" xfId="3117" xr:uid="{00000000-0005-0000-0000-00003E0C0000}"/>
    <cellStyle name="ThinTopRow 2 3" xfId="3118" xr:uid="{00000000-0005-0000-0000-00003F0C0000}"/>
    <cellStyle name="ThinTotLine" xfId="3119" xr:uid="{00000000-0005-0000-0000-0000400C0000}"/>
    <cellStyle name="ThinTotLine 2" xfId="3120" xr:uid="{00000000-0005-0000-0000-0000410C0000}"/>
    <cellStyle name="ThinTotLine 2 2" xfId="3121" xr:uid="{00000000-0005-0000-0000-0000420C0000}"/>
    <cellStyle name="ThinTotLine 2 3" xfId="3122" xr:uid="{00000000-0005-0000-0000-0000430C0000}"/>
    <cellStyle name="ThinTotLine(Box)" xfId="3123" xr:uid="{00000000-0005-0000-0000-0000440C0000}"/>
    <cellStyle name="ThinTotLine(Box) 2" xfId="3124" xr:uid="{00000000-0005-0000-0000-0000450C0000}"/>
    <cellStyle name="ThinTotLine(Box) 2 2" xfId="3125" xr:uid="{00000000-0005-0000-0000-0000460C0000}"/>
    <cellStyle name="ThinTotLine(Box) 2 3" xfId="3126" xr:uid="{00000000-0005-0000-0000-0000470C0000}"/>
    <cellStyle name="ThinTotLine_APTY" xfId="3127" xr:uid="{00000000-0005-0000-0000-0000480C0000}"/>
    <cellStyle name="Thom's Models" xfId="3128" xr:uid="{00000000-0005-0000-0000-0000490C0000}"/>
    <cellStyle name="threedecplace" xfId="3129" xr:uid="{00000000-0005-0000-0000-00004A0C0000}"/>
    <cellStyle name="Times 10" xfId="3130" xr:uid="{00000000-0005-0000-0000-00004B0C0000}"/>
    <cellStyle name="Times 12" xfId="3131" xr:uid="{00000000-0005-0000-0000-00004C0C0000}"/>
    <cellStyle name="Times New Roman" xfId="3132" xr:uid="{00000000-0005-0000-0000-00004D0C0000}"/>
    <cellStyle name="Title  - Style1" xfId="3133" xr:uid="{00000000-0005-0000-0000-00004E0C0000}"/>
    <cellStyle name="Title  - Style6" xfId="3134" xr:uid="{00000000-0005-0000-0000-00004F0C0000}"/>
    <cellStyle name="Title 2" xfId="3135" xr:uid="{00000000-0005-0000-0000-0000500C0000}"/>
    <cellStyle name="Title 2 2" xfId="3136" xr:uid="{00000000-0005-0000-0000-0000510C0000}"/>
    <cellStyle name="Title 2 3" xfId="3137" xr:uid="{00000000-0005-0000-0000-0000520C0000}"/>
    <cellStyle name="Title 3" xfId="3138" xr:uid="{00000000-0005-0000-0000-0000530C0000}"/>
    <cellStyle name="Title 4" xfId="3139" xr:uid="{00000000-0005-0000-0000-0000540C0000}"/>
    <cellStyle name="Title 4 2" xfId="3140" xr:uid="{00000000-0005-0000-0000-0000550C0000}"/>
    <cellStyle name="Title 4 3" xfId="3141" xr:uid="{00000000-0005-0000-0000-0000560C0000}"/>
    <cellStyle name="Title1" xfId="3142" xr:uid="{00000000-0005-0000-0000-0000570C0000}"/>
    <cellStyle name="Title2" xfId="3143" xr:uid="{00000000-0005-0000-0000-0000580C0000}"/>
    <cellStyle name="TitleII" xfId="3144" xr:uid="{00000000-0005-0000-0000-0000590C0000}"/>
    <cellStyle name="Titles" xfId="3145" xr:uid="{00000000-0005-0000-0000-00005A0C0000}"/>
    <cellStyle name="TitleSub" xfId="3146" xr:uid="{00000000-0005-0000-0000-00005B0C0000}"/>
    <cellStyle name="tn" xfId="3147" xr:uid="{00000000-0005-0000-0000-00005C0C0000}"/>
    <cellStyle name="TOC 1" xfId="3148" xr:uid="{00000000-0005-0000-0000-00005D0C0000}"/>
    <cellStyle name="TOC 2" xfId="3149" xr:uid="{00000000-0005-0000-0000-00005E0C0000}"/>
    <cellStyle name="TopCaption" xfId="3150" xr:uid="{00000000-0005-0000-0000-00005F0C0000}"/>
    <cellStyle name="Total 2" xfId="3151" xr:uid="{00000000-0005-0000-0000-0000600C0000}"/>
    <cellStyle name="Total 2 2" xfId="3152" xr:uid="{00000000-0005-0000-0000-0000610C0000}"/>
    <cellStyle name="Total 2 3" xfId="3153" xr:uid="{00000000-0005-0000-0000-0000620C0000}"/>
    <cellStyle name="Total 3" xfId="3154" xr:uid="{00000000-0005-0000-0000-0000630C0000}"/>
    <cellStyle name="Total 4" xfId="3155" xr:uid="{00000000-0005-0000-0000-0000640C0000}"/>
    <cellStyle name="Total 4 2" xfId="3156" xr:uid="{00000000-0005-0000-0000-0000650C0000}"/>
    <cellStyle name="Total 4 3" xfId="3157" xr:uid="{00000000-0005-0000-0000-0000660C0000}"/>
    <cellStyle name="Totals" xfId="3158" xr:uid="{00000000-0005-0000-0000-0000670C0000}"/>
    <cellStyle name="TotCol - Style5" xfId="3159" xr:uid="{00000000-0005-0000-0000-0000680C0000}"/>
    <cellStyle name="TotCol - Style7" xfId="3160" xr:uid="{00000000-0005-0000-0000-0000690C0000}"/>
    <cellStyle name="TotRow - Style4" xfId="3161" xr:uid="{00000000-0005-0000-0000-00006A0C0000}"/>
    <cellStyle name="TotRow - Style8" xfId="3162" xr:uid="{00000000-0005-0000-0000-00006B0C0000}"/>
    <cellStyle name="Tusental (0)_laroux" xfId="3163" xr:uid="{00000000-0005-0000-0000-00006C0C0000}"/>
    <cellStyle name="Tusental_laroux" xfId="3164" xr:uid="{00000000-0005-0000-0000-00006D0C0000}"/>
    <cellStyle name="TwoDecimal" xfId="3165" xr:uid="{00000000-0005-0000-0000-00006E0C0000}"/>
    <cellStyle name="twodecplace" xfId="3166" xr:uid="{00000000-0005-0000-0000-00006F0C0000}"/>
    <cellStyle name="twodig" xfId="3167" xr:uid="{00000000-0005-0000-0000-0000700C0000}"/>
    <cellStyle name="u" xfId="3168" xr:uid="{00000000-0005-0000-0000-0000710C0000}"/>
    <cellStyle name="u_IVRCL - results - 2Q09 - exhibits" xfId="3169" xr:uid="{00000000-0005-0000-0000-0000720C0000}"/>
    <cellStyle name="ubordinated Debt" xfId="3170" xr:uid="{00000000-0005-0000-0000-0000730C0000}"/>
    <cellStyle name="UKdate" xfId="3171" xr:uid="{00000000-0005-0000-0000-0000740C0000}"/>
    <cellStyle name="ul" xfId="3172" xr:uid="{00000000-0005-0000-0000-0000750C0000}"/>
    <cellStyle name="Underline" xfId="3173" xr:uid="{00000000-0005-0000-0000-0000760C0000}"/>
    <cellStyle name="Unit" xfId="3174" xr:uid="{00000000-0005-0000-0000-0000770C0000}"/>
    <cellStyle name="Units" xfId="3175" xr:uid="{00000000-0005-0000-0000-0000780C0000}"/>
    <cellStyle name="Unsure" xfId="3176" xr:uid="{00000000-0005-0000-0000-0000790C0000}"/>
    <cellStyle name="Use_1dp" xfId="3177" xr:uid="{00000000-0005-0000-0000-00007A0C0000}"/>
    <cellStyle name="UseB_1dp" xfId="3178" xr:uid="{00000000-0005-0000-0000-00007B0C0000}"/>
    <cellStyle name="v" xfId="3179" xr:uid="{00000000-0005-0000-0000-00007C0C0000}"/>
    <cellStyle name="Validation" xfId="3180" xr:uid="{00000000-0005-0000-0000-00007D0C0000}"/>
    <cellStyle name="Valuta (0)_laroux" xfId="3181" xr:uid="{00000000-0005-0000-0000-00007E0C0000}"/>
    <cellStyle name="Valuta_laroux" xfId="3182" xr:uid="{00000000-0005-0000-0000-00007F0C0000}"/>
    <cellStyle name="Währung [0]_35ERI8T2gbIEMixb4v26icuOo" xfId="3183" xr:uid="{00000000-0005-0000-0000-0000800C0000}"/>
    <cellStyle name="Währung_35ERI8T2gbIEMixb4v26icuOo" xfId="3184" xr:uid="{00000000-0005-0000-0000-0000810C0000}"/>
    <cellStyle name="Warning Text 2" xfId="3185" xr:uid="{00000000-0005-0000-0000-0000820C0000}"/>
    <cellStyle name="Warning Text 2 2" xfId="3186" xr:uid="{00000000-0005-0000-0000-0000830C0000}"/>
    <cellStyle name="Warning Text 2 3" xfId="3187" xr:uid="{00000000-0005-0000-0000-0000840C0000}"/>
    <cellStyle name="Warning Text 3" xfId="3188" xr:uid="{00000000-0005-0000-0000-0000850C0000}"/>
    <cellStyle name="Warning Text 4" xfId="3189" xr:uid="{00000000-0005-0000-0000-0000860C0000}"/>
    <cellStyle name="Warning Text 4 2" xfId="3190" xr:uid="{00000000-0005-0000-0000-0000870C0000}"/>
    <cellStyle name="Warning Text 4 3" xfId="3191" xr:uid="{00000000-0005-0000-0000-0000880C0000}"/>
    <cellStyle name="White" xfId="3192" xr:uid="{00000000-0005-0000-0000-0000890C0000}"/>
    <cellStyle name="WholeNumber" xfId="3193" xr:uid="{00000000-0005-0000-0000-00008A0C0000}"/>
    <cellStyle name="WingdingsBlack" xfId="3194" xr:uid="{00000000-0005-0000-0000-00008B0C0000}"/>
    <cellStyle name="WingdingsRed" xfId="3195" xr:uid="{00000000-0005-0000-0000-00008C0C0000}"/>
    <cellStyle name="WingdingsWhite" xfId="3196" xr:uid="{00000000-0005-0000-0000-00008D0C0000}"/>
    <cellStyle name="WrappedBold" xfId="3197" xr:uid="{00000000-0005-0000-0000-00008E0C0000}"/>
    <cellStyle name="Y/N" xfId="3198" xr:uid="{00000000-0005-0000-0000-00008F0C0000}"/>
    <cellStyle name="YE Num" xfId="3199" xr:uid="{00000000-0005-0000-0000-0000900C0000}"/>
    <cellStyle name="YE Num 2" xfId="3200" xr:uid="{00000000-0005-0000-0000-0000910C0000}"/>
    <cellStyle name="YE Num 3" xfId="3201" xr:uid="{00000000-0005-0000-0000-0000920C0000}"/>
    <cellStyle name="YE Num 4" xfId="3202" xr:uid="{00000000-0005-0000-0000-0000930C0000}"/>
    <cellStyle name="YE Num 5" xfId="3203" xr:uid="{00000000-0005-0000-0000-0000940C0000}"/>
    <cellStyle name="YE Num 6" xfId="3204" xr:uid="{00000000-0005-0000-0000-0000950C0000}"/>
    <cellStyle name="YE Num 7" xfId="3205" xr:uid="{00000000-0005-0000-0000-0000960C0000}"/>
    <cellStyle name="YE Num 8" xfId="3206" xr:uid="{00000000-0005-0000-0000-0000970C0000}"/>
    <cellStyle name="YE Num 9" xfId="3207" xr:uid="{00000000-0005-0000-0000-0000980C0000}"/>
    <cellStyle name="YE String" xfId="3208" xr:uid="{00000000-0005-0000-0000-0000990C0000}"/>
    <cellStyle name="Year" xfId="3209" xr:uid="{00000000-0005-0000-0000-00009A0C0000}"/>
    <cellStyle name="Year 2" xfId="3210" xr:uid="{00000000-0005-0000-0000-00009B0C0000}"/>
    <cellStyle name="Year 3" xfId="3211" xr:uid="{00000000-0005-0000-0000-00009C0C0000}"/>
    <cellStyle name="YearEnd" xfId="3212" xr:uid="{00000000-0005-0000-0000-00009D0C0000}"/>
    <cellStyle name="Yen" xfId="3213" xr:uid="{00000000-0005-0000-0000-00009E0C0000}"/>
    <cellStyle name="Yen 2" xfId="3214" xr:uid="{00000000-0005-0000-0000-00009F0C0000}"/>
    <cellStyle name="yyyy" xfId="3215" xr:uid="{00000000-0005-0000-0000-0000A00C0000}"/>
    <cellStyle name="ZZ_Balance" xfId="3216" xr:uid="{00000000-0005-0000-0000-0000A10C0000}"/>
    <cellStyle name="콤마 [0]_Book1" xfId="3217" xr:uid="{00000000-0005-0000-0000-0000A20C0000}"/>
    <cellStyle name="콤마_Book1" xfId="3218" xr:uid="{00000000-0005-0000-0000-0000A30C0000}"/>
    <cellStyle name="통화 [0]_9634매출 " xfId="3219" xr:uid="{00000000-0005-0000-0000-0000A40C0000}"/>
    <cellStyle name="통화_9634매출 " xfId="3220" xr:uid="{00000000-0005-0000-0000-0000A50C0000}"/>
    <cellStyle name="표준_0N-HANDLING " xfId="3221" xr:uid="{00000000-0005-0000-0000-0000A60C0000}"/>
    <cellStyle name="一般_00030701" xfId="3222" xr:uid="{00000000-0005-0000-0000-0000A70C0000}"/>
    <cellStyle name="千位分隔_charts1" xfId="3223" xr:uid="{00000000-0005-0000-0000-0000A80C0000}"/>
    <cellStyle name="千分位[0]_2303_invest" xfId="3224" xr:uid="{00000000-0005-0000-0000-0000A90C0000}"/>
    <cellStyle name="千分位_2306.TW" xfId="3225" xr:uid="{00000000-0005-0000-0000-0000AA0C0000}"/>
    <cellStyle name="標準_1951_0006" xfId="3226" xr:uid="{00000000-0005-0000-0000-0000AB0C0000}"/>
    <cellStyle name="貨幣 [0]_00030701" xfId="3227" xr:uid="{00000000-0005-0000-0000-0000AC0C0000}"/>
    <cellStyle name="貨幣[0]_2306.TW" xfId="3228" xr:uid="{00000000-0005-0000-0000-0000AD0C0000}"/>
    <cellStyle name="貨幣_00030701" xfId="3229" xr:uid="{00000000-0005-0000-0000-0000AE0C0000}"/>
    <cellStyle name="超連結_template-qtr" xfId="3230" xr:uid="{00000000-0005-0000-0000-0000AF0C0000}"/>
  </cellStyles>
  <dxfs count="0"/>
  <tableStyles count="0" defaultTableStyle="TableStyleMedium2" defaultPivotStyle="PivotStyleMedium9"/>
  <colors>
    <mruColors>
      <color rgb="FF7F7F7F"/>
      <color rgb="FF0000FF"/>
      <color rgb="FFFFC7CE"/>
      <color rgb="FFFFFFCC"/>
      <color rgb="FFFCD5B4"/>
      <color rgb="FF008000"/>
      <color rgb="FFF05A32"/>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ichStyles" Target="richData/rich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9AF5-42FA-A288-FAD9B8798D41}"/>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9AF5-42FA-A288-FAD9B8798D41}"/>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9AF5-42FA-A288-FAD9B8798D41}"/>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9AF5-42FA-A288-FAD9B8798D41}"/>
              </c:ext>
            </c:extLst>
          </c:dPt>
          <c:dPt>
            <c:idx val="4"/>
            <c:bubble3D val="0"/>
            <c:spPr>
              <a:solidFill>
                <a:schemeClr val="bg1">
                  <a:lumMod val="50000"/>
                </a:schemeClr>
              </a:solidFill>
              <a:ln w="19050">
                <a:noFill/>
              </a:ln>
              <a:effectLst/>
            </c:spPr>
            <c:extLst>
              <c:ext xmlns:c16="http://schemas.microsoft.com/office/drawing/2014/chart" uri="{C3380CC4-5D6E-409C-BE32-E72D297353CC}">
                <c16:uniqueId val="{00000009-9AF5-42FA-A288-FAD9B8798D41}"/>
              </c:ext>
            </c:extLst>
          </c:dPt>
          <c:dLbls>
            <c:dLbl>
              <c:idx val="0"/>
              <c:layout>
                <c:manualLayout>
                  <c:x val="6.6866641669773095E-5"/>
                  <c:y val="4.44444444444444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F5-42FA-A288-FAD9B8798D41}"/>
                </c:ext>
              </c:extLst>
            </c:dLbl>
            <c:dLbl>
              <c:idx val="1"/>
              <c:layout>
                <c:manualLayout>
                  <c:x val="-2.9452099737532808E-2"/>
                  <c:y val="-9.444444444444444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446412948381448"/>
                      <c:h val="0.19825021872265966"/>
                    </c:manualLayout>
                  </c15:layout>
                </c:ext>
                <c:ext xmlns:c16="http://schemas.microsoft.com/office/drawing/2014/chart" uri="{C3380CC4-5D6E-409C-BE32-E72D297353CC}">
                  <c16:uniqueId val="{00000003-9AF5-42FA-A288-FAD9B8798D41}"/>
                </c:ext>
              </c:extLst>
            </c:dLbl>
            <c:dLbl>
              <c:idx val="2"/>
              <c:layout>
                <c:manualLayout>
                  <c:x val="-5.430008748906387E-2"/>
                  <c:y val="0"/>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90486301571854"/>
                      <c:h val="0.1421111111111111"/>
                    </c:manualLayout>
                  </c15:layout>
                </c:ext>
                <c:ext xmlns:c16="http://schemas.microsoft.com/office/drawing/2014/chart" uri="{C3380CC4-5D6E-409C-BE32-E72D297353CC}">
                  <c16:uniqueId val="{00000005-9AF5-42FA-A288-FAD9B8798D41}"/>
                </c:ext>
              </c:extLst>
            </c:dLbl>
            <c:dLbl>
              <c:idx val="3"/>
              <c:layout>
                <c:manualLayout>
                  <c:x val="-9.1849456317961709E-3"/>
                  <c:y val="-1.111111111111111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200625202748532"/>
                      <c:h val="0.14152799650043746"/>
                    </c:manualLayout>
                  </c15:layout>
                </c:ext>
                <c:ext xmlns:c16="http://schemas.microsoft.com/office/drawing/2014/chart" uri="{C3380CC4-5D6E-409C-BE32-E72D297353CC}">
                  <c16:uniqueId val="{00000007-9AF5-42FA-A288-FAD9B8798D41}"/>
                </c:ext>
              </c:extLst>
            </c:dLbl>
            <c:dLbl>
              <c:idx val="4"/>
              <c:layout>
                <c:manualLayout>
                  <c:x val="-4.7780136129495457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AF5-42FA-A288-FAD9B8798D4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numRef>
              <c:f>'Encora Acquisition'!$C$52:$C$54</c:f>
              <c:numCache>
                <c:formatCode>General</c:formatCode>
                <c:ptCount val="3"/>
              </c:numCache>
            </c:numRef>
          </c:cat>
          <c:val>
            <c:numRef>
              <c:f>'Encora Acquisition'!$D$52:$D$54</c:f>
              <c:numCache>
                <c:formatCode>General</c:formatCode>
                <c:ptCount val="3"/>
              </c:numCache>
            </c:numRef>
          </c:val>
          <c:extLst>
            <c:ext xmlns:c16="http://schemas.microsoft.com/office/drawing/2014/chart" uri="{C3380CC4-5D6E-409C-BE32-E72D297353CC}">
              <c16:uniqueId val="{0000000A-9AF5-42FA-A288-FAD9B8798D41}"/>
            </c:ext>
          </c:extLst>
        </c:ser>
        <c:dLbls>
          <c:showLegendKey val="0"/>
          <c:showVal val="0"/>
          <c:showCatName val="0"/>
          <c:showSerName val="0"/>
          <c:showPercent val="0"/>
          <c:showBubbleSize val="0"/>
          <c:showLeaderLines val="0"/>
        </c:dLbls>
        <c:firstSliceAng val="180"/>
      </c:pieChart>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2221-4161-B995-7C8611141D65}"/>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2221-4161-B995-7C8611141D65}"/>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2221-4161-B995-7C8611141D65}"/>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2221-4161-B995-7C8611141D65}"/>
              </c:ext>
            </c:extLst>
          </c:dPt>
          <c:dPt>
            <c:idx val="4"/>
            <c:bubble3D val="0"/>
            <c:spPr>
              <a:solidFill>
                <a:schemeClr val="bg1">
                  <a:lumMod val="50000"/>
                </a:schemeClr>
              </a:solidFill>
              <a:ln w="19050">
                <a:noFill/>
              </a:ln>
              <a:effectLst/>
            </c:spPr>
            <c:extLst>
              <c:ext xmlns:c16="http://schemas.microsoft.com/office/drawing/2014/chart" uri="{C3380CC4-5D6E-409C-BE32-E72D297353CC}">
                <c16:uniqueId val="{00000009-2221-4161-B995-7C8611141D65}"/>
              </c:ext>
            </c:extLst>
          </c:dPt>
          <c:dLbls>
            <c:dLbl>
              <c:idx val="0"/>
              <c:layout>
                <c:manualLayout>
                  <c:x val="6.6866641669773095E-5"/>
                  <c:y val="4.44444444444444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21-4161-B995-7C8611141D65}"/>
                </c:ext>
              </c:extLst>
            </c:dLbl>
            <c:dLbl>
              <c:idx val="1"/>
              <c:layout>
                <c:manualLayout>
                  <c:x val="3.403996375453068E-2"/>
                  <c:y val="-6.666666666666666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446412948381448"/>
                      <c:h val="0.19825021872265966"/>
                    </c:manualLayout>
                  </c15:layout>
                </c:ext>
                <c:ext xmlns:c16="http://schemas.microsoft.com/office/drawing/2014/chart" uri="{C3380CC4-5D6E-409C-BE32-E72D297353CC}">
                  <c16:uniqueId val="{00000003-2221-4161-B995-7C8611141D65}"/>
                </c:ext>
              </c:extLst>
            </c:dLbl>
            <c:dLbl>
              <c:idx val="2"/>
              <c:layout>
                <c:manualLayout>
                  <c:x val="2.9033245844269466E-2"/>
                  <c:y val="3.918372703412073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90486301571854"/>
                      <c:h val="0.1421111111111111"/>
                    </c:manualLayout>
                  </c15:layout>
                </c:ext>
                <c:ext xmlns:c16="http://schemas.microsoft.com/office/drawing/2014/chart" uri="{C3380CC4-5D6E-409C-BE32-E72D297353CC}">
                  <c16:uniqueId val="{00000005-2221-4161-B995-7C8611141D65}"/>
                </c:ext>
              </c:extLst>
            </c:dLbl>
            <c:dLbl>
              <c:idx val="3"/>
              <c:layout>
                <c:manualLayout>
                  <c:x val="-9.1849456317961709E-3"/>
                  <c:y val="-1.111111111111111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200625202748532"/>
                      <c:h val="0.14152799650043746"/>
                    </c:manualLayout>
                  </c15:layout>
                </c:ext>
                <c:ext xmlns:c16="http://schemas.microsoft.com/office/drawing/2014/chart" uri="{C3380CC4-5D6E-409C-BE32-E72D297353CC}">
                  <c16:uniqueId val="{00000007-2221-4161-B995-7C8611141D65}"/>
                </c:ext>
              </c:extLst>
            </c:dLbl>
            <c:dLbl>
              <c:idx val="4"/>
              <c:layout>
                <c:manualLayout>
                  <c:x val="-4.7780136129495457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221-4161-B995-7C8611141D6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'Encora Acquisition'!$C$46:$C$49</c:f>
              <c:strCache>
                <c:ptCount val="4"/>
                <c:pt idx="0">
                  <c:v>NP @ 9%</c:v>
                </c:pt>
                <c:pt idx="1">
                  <c:v>NP (INR mn)</c:v>
                </c:pt>
                <c:pt idx="2">
                  <c:v>Consolidated NP</c:v>
                </c:pt>
                <c:pt idx="3">
                  <c:v>Consolidated Shares</c:v>
                </c:pt>
              </c:strCache>
            </c:strRef>
          </c:cat>
          <c:val>
            <c:numRef>
              <c:f>'Encora Acquisition'!$D$46:$D$49</c:f>
              <c:numCache>
                <c:formatCode>General</c:formatCode>
                <c:ptCount val="4"/>
              </c:numCache>
            </c:numRef>
          </c:val>
          <c:extLst>
            <c:ext xmlns:c16="http://schemas.microsoft.com/office/drawing/2014/chart" uri="{C3380CC4-5D6E-409C-BE32-E72D297353CC}">
              <c16:uniqueId val="{0000000A-2221-4161-B995-7C8611141D65}"/>
            </c:ext>
          </c:extLst>
        </c:ser>
        <c:dLbls>
          <c:showLegendKey val="0"/>
          <c:showVal val="0"/>
          <c:showCatName val="0"/>
          <c:showSerName val="0"/>
          <c:showPercent val="0"/>
          <c:showBubbleSize val="0"/>
          <c:showLeaderLines val="0"/>
        </c:dLbls>
        <c:firstSliceAng val="180"/>
      </c:pieChart>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7C63-485E-A9D7-54699EB94A50}"/>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7C63-485E-A9D7-54699EB94A50}"/>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7C63-485E-A9D7-54699EB94A50}"/>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7C63-485E-A9D7-54699EB94A50}"/>
              </c:ext>
            </c:extLst>
          </c:dPt>
          <c:dPt>
            <c:idx val="4"/>
            <c:bubble3D val="0"/>
            <c:spPr>
              <a:solidFill>
                <a:schemeClr val="bg1">
                  <a:lumMod val="50000"/>
                </a:schemeClr>
              </a:solidFill>
              <a:ln w="19050">
                <a:noFill/>
              </a:ln>
              <a:effectLst/>
            </c:spPr>
            <c:extLst>
              <c:ext xmlns:c16="http://schemas.microsoft.com/office/drawing/2014/chart" uri="{C3380CC4-5D6E-409C-BE32-E72D297353CC}">
                <c16:uniqueId val="{00000009-7C63-485E-A9D7-54699EB94A50}"/>
              </c:ext>
            </c:extLst>
          </c:dPt>
          <c:dLbls>
            <c:dLbl>
              <c:idx val="0"/>
              <c:layout>
                <c:manualLayout>
                  <c:x val="6.6866641669773095E-5"/>
                  <c:y val="4.44444444444444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63-485E-A9D7-54699EB94A50}"/>
                </c:ext>
              </c:extLst>
            </c:dLbl>
            <c:dLbl>
              <c:idx val="1"/>
              <c:layout>
                <c:manualLayout>
                  <c:x val="-2.9452099737532808E-2"/>
                  <c:y val="-9.444444444444444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446412948381448"/>
                      <c:h val="0.19825021872265966"/>
                    </c:manualLayout>
                  </c15:layout>
                </c:ext>
                <c:ext xmlns:c16="http://schemas.microsoft.com/office/drawing/2014/chart" uri="{C3380CC4-5D6E-409C-BE32-E72D297353CC}">
                  <c16:uniqueId val="{00000003-7C63-485E-A9D7-54699EB94A50}"/>
                </c:ext>
              </c:extLst>
            </c:dLbl>
            <c:dLbl>
              <c:idx val="2"/>
              <c:layout>
                <c:manualLayout>
                  <c:x val="-5.430008748906387E-2"/>
                  <c:y val="0"/>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90486301571854"/>
                      <c:h val="0.1421111111111111"/>
                    </c:manualLayout>
                  </c15:layout>
                </c:ext>
                <c:ext xmlns:c16="http://schemas.microsoft.com/office/drawing/2014/chart" uri="{C3380CC4-5D6E-409C-BE32-E72D297353CC}">
                  <c16:uniqueId val="{00000005-7C63-485E-A9D7-54699EB94A50}"/>
                </c:ext>
              </c:extLst>
            </c:dLbl>
            <c:dLbl>
              <c:idx val="3"/>
              <c:layout>
                <c:manualLayout>
                  <c:x val="-9.1849456317961709E-3"/>
                  <c:y val="-1.111111111111111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200625202748532"/>
                      <c:h val="0.14152799650043746"/>
                    </c:manualLayout>
                  </c15:layout>
                </c:ext>
                <c:ext xmlns:c16="http://schemas.microsoft.com/office/drawing/2014/chart" uri="{C3380CC4-5D6E-409C-BE32-E72D297353CC}">
                  <c16:uniqueId val="{00000007-7C63-485E-A9D7-54699EB94A50}"/>
                </c:ext>
              </c:extLst>
            </c:dLbl>
            <c:dLbl>
              <c:idx val="4"/>
              <c:layout>
                <c:manualLayout>
                  <c:x val="-4.7780136129495457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C63-485E-A9D7-54699EB94A5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numRef>
              <c:f>'Encora Acquisition'!$C$57:$C$58</c:f>
              <c:numCache>
                <c:formatCode>General</c:formatCode>
                <c:ptCount val="2"/>
              </c:numCache>
            </c:numRef>
          </c:cat>
          <c:val>
            <c:numRef>
              <c:f>'Encora Acquisition'!$D$57:$D$58</c:f>
              <c:numCache>
                <c:formatCode>General</c:formatCode>
                <c:ptCount val="2"/>
              </c:numCache>
            </c:numRef>
          </c:val>
          <c:extLst>
            <c:ext xmlns:c16="http://schemas.microsoft.com/office/drawing/2014/chart" uri="{C3380CC4-5D6E-409C-BE32-E72D297353CC}">
              <c16:uniqueId val="{0000000A-7C63-485E-A9D7-54699EB94A50}"/>
            </c:ext>
          </c:extLst>
        </c:ser>
        <c:dLbls>
          <c:showLegendKey val="0"/>
          <c:showVal val="0"/>
          <c:showCatName val="0"/>
          <c:showSerName val="0"/>
          <c:showPercent val="0"/>
          <c:showBubbleSize val="0"/>
          <c:showLeaderLines val="0"/>
        </c:dLbls>
        <c:firstSliceAng val="180"/>
      </c:pieChart>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CC4A-4D09-B075-C0658820A388}"/>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CC4A-4D09-B075-C0658820A388}"/>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CC4A-4D09-B075-C0658820A388}"/>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CC4A-4D09-B075-C0658820A388}"/>
              </c:ext>
            </c:extLst>
          </c:dPt>
          <c:dPt>
            <c:idx val="4"/>
            <c:bubble3D val="0"/>
            <c:spPr>
              <a:solidFill>
                <a:schemeClr val="bg1">
                  <a:lumMod val="50000"/>
                </a:schemeClr>
              </a:solidFill>
              <a:ln w="19050">
                <a:noFill/>
              </a:ln>
              <a:effectLst/>
            </c:spPr>
            <c:extLst>
              <c:ext xmlns:c16="http://schemas.microsoft.com/office/drawing/2014/chart" uri="{C3380CC4-5D6E-409C-BE32-E72D297353CC}">
                <c16:uniqueId val="{00000009-CC4A-4D09-B075-C0658820A388}"/>
              </c:ext>
            </c:extLst>
          </c:dPt>
          <c:dLbls>
            <c:dLbl>
              <c:idx val="0"/>
              <c:layout>
                <c:manualLayout>
                  <c:x val="-4.7458118180331313E-2"/>
                  <c:y val="-0.11666666666666667"/>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C4A-4D09-B075-C0658820A388}"/>
                </c:ext>
              </c:extLst>
            </c:dLbl>
            <c:dLbl>
              <c:idx val="1"/>
              <c:layout>
                <c:manualLayout>
                  <c:x val="3.5608464372220532E-2"/>
                  <c:y val="5.0000218722659667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5748000249968748"/>
                      <c:h val="0.2149168853893263"/>
                    </c:manualLayout>
                  </c15:layout>
                </c:ext>
                <c:ext xmlns:c16="http://schemas.microsoft.com/office/drawing/2014/chart" uri="{C3380CC4-5D6E-409C-BE32-E72D297353CC}">
                  <c16:uniqueId val="{00000003-CC4A-4D09-B075-C0658820A388}"/>
                </c:ext>
              </c:extLst>
            </c:dLbl>
            <c:dLbl>
              <c:idx val="2"/>
              <c:layout>
                <c:manualLayout>
                  <c:x val="-2.9170009164284447E-3"/>
                  <c:y val="-0.1944444444444444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9229810665358225"/>
                      <c:h val="0.15877777777777777"/>
                    </c:manualLayout>
                  </c15:layout>
                </c:ext>
                <c:ext xmlns:c16="http://schemas.microsoft.com/office/drawing/2014/chart" uri="{C3380CC4-5D6E-409C-BE32-E72D297353CC}">
                  <c16:uniqueId val="{00000005-CC4A-4D09-B075-C0658820A388}"/>
                </c:ext>
              </c:extLst>
            </c:dLbl>
            <c:dLbl>
              <c:idx val="3"/>
              <c:layout>
                <c:manualLayout>
                  <c:x val="-4.0100025270595537E-2"/>
                  <c:y val="7.8518485354761955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9062984337640285"/>
                      <c:h val="0.2581946631671041"/>
                    </c:manualLayout>
                  </c15:layout>
                </c:ext>
                <c:ext xmlns:c16="http://schemas.microsoft.com/office/drawing/2014/chart" uri="{C3380CC4-5D6E-409C-BE32-E72D297353CC}">
                  <c16:uniqueId val="{00000007-CC4A-4D09-B075-C0658820A388}"/>
                </c:ext>
              </c:extLst>
            </c:dLbl>
            <c:dLbl>
              <c:idx val="4"/>
              <c:layout>
                <c:manualLayout>
                  <c:x val="-4.3692015242422721E-2"/>
                  <c:y val="-7.0503355392320915E-4"/>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3929250683427178"/>
                      <c:h val="0.18456167979002625"/>
                    </c:manualLayout>
                  </c15:layout>
                </c:ext>
                <c:ext xmlns:c16="http://schemas.microsoft.com/office/drawing/2014/chart" uri="{C3380CC4-5D6E-409C-BE32-E72D297353CC}">
                  <c16:uniqueId val="{00000009-CC4A-4D09-B075-C0658820A388}"/>
                </c:ext>
              </c:extLst>
            </c:dLbl>
            <c:dLbl>
              <c:idx val="5"/>
              <c:layout>
                <c:manualLayout>
                  <c:x val="3.1775897356345423E-2"/>
                  <c:y val="-8.4444446414568594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A-CC4A-4D09-B075-C0658820A388}"/>
                </c:ext>
              </c:extLst>
            </c:dLbl>
            <c:dLbl>
              <c:idx val="6"/>
              <c:layout>
                <c:manualLayout>
                  <c:x val="-8.7383717729949906E-2"/>
                  <c:y val="-5.6296297609714531E-3"/>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9048605863778979"/>
                      <c:h val="0.13280296606131153"/>
                    </c:manualLayout>
                  </c15:layout>
                </c:ext>
                <c:ext xmlns:c16="http://schemas.microsoft.com/office/drawing/2014/chart" uri="{C3380CC4-5D6E-409C-BE32-E72D297353CC}">
                  <c16:uniqueId val="{0000000B-CC4A-4D09-B075-C0658820A38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extLst>
          </c:dLbls>
          <c:cat>
            <c:numRef>
              <c:f>'Encora Acquisition'!$C$61:$C$67</c:f>
              <c:numCache>
                <c:formatCode>General</c:formatCode>
                <c:ptCount val="7"/>
              </c:numCache>
            </c:numRef>
          </c:cat>
          <c:val>
            <c:numRef>
              <c:f>'Encora Acquisition'!$D$61:$D$67</c:f>
              <c:numCache>
                <c:formatCode>General</c:formatCode>
                <c:ptCount val="7"/>
              </c:numCache>
            </c:numRef>
          </c:val>
          <c:extLst>
            <c:ext xmlns:c16="http://schemas.microsoft.com/office/drawing/2014/chart" uri="{C3380CC4-5D6E-409C-BE32-E72D297353CC}">
              <c16:uniqueId val="{0000000C-CC4A-4D09-B075-C0658820A388}"/>
            </c:ext>
          </c:extLst>
        </c:ser>
        <c:dLbls>
          <c:showLegendKey val="0"/>
          <c:showVal val="0"/>
          <c:showCatName val="0"/>
          <c:showSerName val="0"/>
          <c:showPercent val="0"/>
          <c:showBubbleSize val="0"/>
          <c:showLeaderLines val="0"/>
        </c:dLbls>
        <c:firstSliceAng val="180"/>
      </c:pieChart>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18</xdr:row>
      <xdr:rowOff>12700</xdr:rowOff>
    </xdr:from>
    <xdr:to>
      <xdr:col>8</xdr:col>
      <xdr:colOff>489374</xdr:colOff>
      <xdr:row>22</xdr:row>
      <xdr:rowOff>158750</xdr:rowOff>
    </xdr:to>
    <xdr:pic>
      <xdr:nvPicPr>
        <xdr:cNvPr id="2" name="Picture 1">
          <a:extLst>
            <a:ext uri="{FF2B5EF4-FFF2-40B4-BE49-F238E27FC236}">
              <a16:creationId xmlns:a16="http://schemas.microsoft.com/office/drawing/2014/main" id="{E354078A-2200-36BC-35F8-7CF61E905E0F}"/>
            </a:ext>
          </a:extLst>
        </xdr:cNvPr>
        <xdr:cNvPicPr>
          <a:picLocks noChangeAspect="1"/>
        </xdr:cNvPicPr>
      </xdr:nvPicPr>
      <xdr:blipFill>
        <a:blip xmlns:r="http://schemas.openxmlformats.org/officeDocument/2006/relationships" r:embed="rId1"/>
        <a:stretch>
          <a:fillRect/>
        </a:stretch>
      </xdr:blipFill>
      <xdr:spPr>
        <a:xfrm>
          <a:off x="6350" y="3511550"/>
          <a:ext cx="8255424" cy="882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55</xdr:row>
      <xdr:rowOff>0</xdr:rowOff>
    </xdr:from>
    <xdr:to>
      <xdr:col>19</xdr:col>
      <xdr:colOff>352425</xdr:colOff>
      <xdr:row>67</xdr:row>
      <xdr:rowOff>0</xdr:rowOff>
    </xdr:to>
    <xdr:graphicFrame macro="">
      <xdr:nvGraphicFramePr>
        <xdr:cNvPr id="2" name="Chart 1">
          <a:extLst>
            <a:ext uri="{FF2B5EF4-FFF2-40B4-BE49-F238E27FC236}">
              <a16:creationId xmlns:a16="http://schemas.microsoft.com/office/drawing/2014/main" id="{70AC646E-0740-4EC9-9148-4DECD510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42</xdr:row>
      <xdr:rowOff>19050</xdr:rowOff>
    </xdr:from>
    <xdr:to>
      <xdr:col>19</xdr:col>
      <xdr:colOff>352425</xdr:colOff>
      <xdr:row>54</xdr:row>
      <xdr:rowOff>19050</xdr:rowOff>
    </xdr:to>
    <xdr:graphicFrame macro="">
      <xdr:nvGraphicFramePr>
        <xdr:cNvPr id="3" name="Chart 2">
          <a:extLst>
            <a:ext uri="{FF2B5EF4-FFF2-40B4-BE49-F238E27FC236}">
              <a16:creationId xmlns:a16="http://schemas.microsoft.com/office/drawing/2014/main" id="{0F0C0E95-81EA-436F-9FE0-BF9CE75C3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68</xdr:row>
      <xdr:rowOff>0</xdr:rowOff>
    </xdr:from>
    <xdr:to>
      <xdr:col>19</xdr:col>
      <xdr:colOff>352425</xdr:colOff>
      <xdr:row>80</xdr:row>
      <xdr:rowOff>0</xdr:rowOff>
    </xdr:to>
    <xdr:graphicFrame macro="">
      <xdr:nvGraphicFramePr>
        <xdr:cNvPr id="4" name="Chart 3">
          <a:extLst>
            <a:ext uri="{FF2B5EF4-FFF2-40B4-BE49-F238E27FC236}">
              <a16:creationId xmlns:a16="http://schemas.microsoft.com/office/drawing/2014/main" id="{551C0B16-BE49-4F4D-AF5F-7F7C5CF18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81</xdr:row>
      <xdr:rowOff>0</xdr:rowOff>
    </xdr:from>
    <xdr:to>
      <xdr:col>19</xdr:col>
      <xdr:colOff>352425</xdr:colOff>
      <xdr:row>93</xdr:row>
      <xdr:rowOff>0</xdr:rowOff>
    </xdr:to>
    <xdr:graphicFrame macro="">
      <xdr:nvGraphicFramePr>
        <xdr:cNvPr id="5" name="Chart 4">
          <a:extLst>
            <a:ext uri="{FF2B5EF4-FFF2-40B4-BE49-F238E27FC236}">
              <a16:creationId xmlns:a16="http://schemas.microsoft.com/office/drawing/2014/main" id="{19EB1AB6-B994-41E0-A51C-427EEFF60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3">
  <rv s="0">
    <v>https://www.bing.com/financeapi/forcetrigger?t=ahj75r&amp;q=XNSE%3aCOFORGE&amp;form=skydnc</v>
    <v>Learn more on Bing</v>
  </rv>
  <rv s="1">
    <v>en-IN</v>
    <v>ahj75r</v>
    <v>268435456</v>
    <v>1</v>
    <v>Powered by Refinitiv</v>
    <v>0</v>
    <v>COFORGE LIMITED (XNSE:COFORGE)</v>
    <v>2</v>
    <v>3</v>
    <v>Finance</v>
    <v>4</v>
    <v>1994</v>
    <v>1008.1</v>
    <v>0.89849999999999997</v>
    <v>-70.3</v>
    <v>-4.6365999999999997E-2</v>
    <v>INR</v>
    <v>Coforge Limited is an India-based artificial intelligence (AI)-native engineering services company. The Company is a digital services and solutions provider that leverages emerging technologies and domain expertise to deliver real-world business impact for its clients. The Company uses AI and hyperspecializes industry expertise to engineer autonomous enterprises. Its business process solutions is a disruptive AI-led business operations provider. Its AI-driven platforms include Quasar AI, Coforge Forge-X, EvolveOps.AI, and AIVA. It serves various industries, including banking &amp; financial services; travel, transportation and hospitality; insurance; healthcare and life sciences, and public sector. Its geographical segments include Americas, Europe, Middle East, and Africa, Asia Pacific, and India. Its salesforce ecosystem includes Salesforce, and Mulesoft. Its digital process automation includes Appian, Pega, Mendix, and OutSystems. EvolveOps.AI, its autonomous IT operations platform.</v>
    <v>17334</v>
    <v>National Stock Exchange of India</v>
    <v>XNSE</v>
    <v>XNSE</v>
    <v>SEZ Developer Unit, Plot No TZ 2 &amp; 2A, Sector Tech Zone, Greater Noida, Gautam Buddha Nagar, UTTAR PRADESH, 201308 IN</v>
    <v>1517</v>
    <v>Software &amp; IT Services</v>
    <v>Stock</v>
    <v>46211.424340277779</v>
    <v>0</v>
    <v>1433</v>
    <v>656023500000</v>
    <v>COFORGE LIMITED</v>
    <v>COFORGE LIMITED</v>
    <v>1517</v>
    <v>34.142699999999998</v>
    <v>1516.2</v>
    <v>1445.9</v>
    <v>442690800</v>
    <v>COFORGE</v>
    <v>COFORGE LIMITED (XNSE:COFORGE)</v>
    <v>2843197</v>
    <v>3882680</v>
    <v>1992</v>
  </rv>
  <rv s="2">
    <v>1</v>
  </rv>
  <rv s="0">
    <v>https://www.bing.com/financeapi/forcetrigger?t=ahkqww&amp;q=NIFTY+50&amp;form=skydnc</v>
    <v>Learn more on Bing</v>
  </rv>
  <rv s="3">
    <v>en-US</v>
    <v>ahkqww</v>
    <v>268435456</v>
    <v>1</v>
    <v>Powered by Refinitiv</v>
    <v>5</v>
    <v>NIFTY 50</v>
    <v>6</v>
    <v>7</v>
    <v>Finance</v>
    <v>8</v>
    <v>26373.200000000001</v>
    <v>22182.55</v>
    <v>-516.65</v>
    <v>-2.1175000000000003E-2</v>
    <v>IN</v>
    <v>24300</v>
    <v>Index</v>
    <v>3</v>
    <v>23805.200000000001</v>
    <v>NIFTY 50</v>
    <v>24259.55</v>
    <v>24398.7</v>
    <v>23882.05</v>
    <v>NIFTY</v>
    <v>NIFTY 50</v>
  </rv>
  <rv s="2">
    <v>4</v>
  </rv>
  <rv s="0">
    <v>https://www.bing.com/financeapi/forcetrigger?t=ahkucw&amp;q=S%26P+BSE+SENSEX+IDX&amp;form=skydnc</v>
    <v>Learn more on Bing</v>
  </rv>
  <rv s="3">
    <v>en-US</v>
    <v>ahkucw</v>
    <v>268435456</v>
    <v>1</v>
    <v>Powered by Refinitiv</v>
    <v>5</v>
    <v>BSE SENSEX INDEX</v>
    <v>6</v>
    <v>7</v>
    <v>Finance</v>
    <v>8</v>
    <v>86159.02</v>
    <v>71545.81</v>
    <v>-1677.12</v>
    <v>-2.1451999999999999E-2</v>
    <v>IN</v>
    <v>77851.179999999993</v>
    <v>Index</v>
    <v>6</v>
    <v>76259.03</v>
    <v>BSE SENSEX INDEX</v>
    <v>77816.45</v>
    <v>78180.72</v>
    <v>76503.600000000006</v>
    <v>SENSEX</v>
    <v>BSE SENSEX INDEX</v>
  </rv>
  <rv s="2">
    <v>7</v>
  </rv>
  <rv s="1">
    <v>en-US</v>
    <v>ahj75r</v>
    <v>268435456</v>
    <v>1</v>
    <v>Powered by Refinitiv</v>
    <v>0</v>
    <v>COFORGE LIMITED (XNSE:COFORGE)</v>
    <v>2</v>
    <v>3</v>
    <v>Finance</v>
    <v>4</v>
    <v>1994</v>
    <v>1008.1</v>
    <v>0.89849999999999997</v>
    <v>-70.3</v>
    <v>-4.6365999999999997E-2</v>
    <v>INR</v>
    <v>Coforge Limited is an India-based artificial intelligence (AI)-native engineering services company. The Company is a digital services and solutions provider that leverages emerging technologies and domain expertise to deliver real-world business impact for its clients. The Company uses AI and hyperspecializes industry expertise to engineer autonomous enterprises. Its business process solutions is a disruptive AI-led business operations provider. Its AI-driven platforms include Quasar AI, Coforge Forge-X, EvolveOps.AI, and AIVA. It serves various industries, including banking &amp; financial services; travel, transportation and hospitality; insurance; healthcare and life sciences, and public sector. Its geographical segments include Americas, Europe, Middle East, and Africa, Asia Pacific, and India. Its salesforce ecosystem includes Salesforce, and Mulesoft. Its digital process automation includes Appian, Pega, Mendix, and OutSystems. EvolveOps.AI, its autonomous IT operations platform.</v>
    <v>17334</v>
    <v>National Stock Exchange of India</v>
    <v>XNSE</v>
    <v>XNSE</v>
    <v>SEZ Developer Unit, Plot No TZ 2 &amp; 2A, Sector Tech Zone, Greater Noida, Gautam Buddha Nagar, UTTAR PRADESH, 201308 IN</v>
    <v>1517</v>
    <v>Software &amp; IT Services</v>
    <v>Stock</v>
    <v>46211.424340277779</v>
    <v>0</v>
    <v>1433</v>
    <v>656023500000</v>
    <v>COFORGE LIMITED</v>
    <v>COFORGE LIMITED</v>
    <v>1517</v>
    <v>34.142699999999998</v>
    <v>1516.2</v>
    <v>1445.9</v>
    <v>442690800</v>
    <v>COFORGE</v>
    <v>COFORGE LIMITED (XNSE:COFORGE)</v>
    <v>2843197</v>
    <v>3882680</v>
    <v>1992</v>
  </rv>
  <rv s="2">
    <v>9</v>
  </rv>
  <rv s="4">
    <v>en-US</v>
    <v>avyo8m</v>
    <v>268435456</v>
    <v>1</v>
    <v>Powered by Refinitiv</v>
    <v>9</v>
    <v>USD/INR</v>
    <v>10</v>
    <v>11</v>
    <v>Finance</v>
    <v>12</v>
    <v>96.96</v>
    <v>85.165000000000006</v>
    <v>0.59499999999999997</v>
    <v>6.2660000000000007E-3</v>
    <v>INR</v>
    <v>USD</v>
    <v>95.6</v>
    <v>Currency Pair</v>
    <v>46211.418252314812</v>
    <v>94.995000000000005</v>
    <v>US Dollar/Indian Rupee FX Spot Rate</v>
    <v>95.172499999999999</v>
    <v>94.96</v>
    <v>95.555000000000007</v>
    <v>USDINR</v>
    <v>USD/INR</v>
  </rv>
  <rv s="2">
    <v>11</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13">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1</v>
      <v>1</v>
    </spb>
    <spb s="6">
      <v>1</v>
      <v>1</v>
      <v>3</v>
      <v>1</v>
      <v>1</v>
      <v>1</v>
      <v>5</v>
      <v>1</v>
      <v>1</v>
      <v>1</v>
      <v>9</v>
    </spb>
    <spb s="7">
      <v>from previous close</v>
      <v>from previous close</v>
    </spb>
    <spb s="8">
      <v>2</v>
      <v>Name</v>
    </spb>
    <spb s="9">
      <v>1</v>
      <v>1</v>
    </spb>
    <spb s="10">
      <v>1</v>
      <v>1</v>
      <v>3</v>
      <v>1</v>
      <v>1</v>
      <v>1</v>
      <v>5</v>
      <v>1</v>
      <v>1</v>
      <v>1</v>
      <v>7</v>
      <v>9</v>
    </spb>
    <spb s="11">
      <v>GMT</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k n="LearnMoreOnLink" t="spb"/>
  </s>
  <s>
    <k n="Low" t="i"/>
    <k n="High" t="i"/>
    <k n="Name" t="i"/>
    <k n="Open" t="i"/>
    <k n="Price" t="i"/>
    <k n="Change" t="i"/>
    <k n="Change (%)" t="i"/>
    <k n="52 week low" t="i"/>
    <k n="52 week high" t="i"/>
    <k n="Previous close" t="i"/>
    <k n="`%EntityServiceId" t="i"/>
  </s>
  <s>
    <k n="Change" t="s"/>
    <k n="Change (%)"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[$₹-as-IN] * #,##0.00_ ;_ [$₹-as-IN] * -#,##0.00_ ;_ [$₹-as-IN] * "-"??_ ;_ @_ </rpv>
    </rSty>
    <rSty dxfid="5">
      <rpv i="0">#,##0.00</rpv>
    </rSty>
    <rSty>
      <rpv i="1">1</rpv>
    </rSty>
    <rSty dxfid="4">
      <rpv i="0">#,##0</rpv>
    </rSty>
    <rSty dxfid="3"/>
    <rSty dxfid="1">
      <rpv i="0" xml:space="preserve">_ [$₹-as-IN] * #,##0_ ;_ [$₹-as-IN] * -#,##0_ ;_ [$₹-as-IN] * "-"_ ;_ @_ </rpv>
    </rSty>
    <rSty dxfid="2"/>
    <rSty dxfid="6">
      <rpv i="0">0</rpv>
    </rSty>
    <rSty dxfid="0">
      <rpv i="0">0.00</rpv>
    </rSty>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FEF5C4-7BD8-40ED-BCDD-DBB6B3A18A7B}">
  <we:reference id="WA200009404" version="1.0.0.8" store="Omex" storeType="OMEX"/>
  <we:alternateReferences>
    <we:reference id="WA200009404" version="1.0.0.8" store="WA200009404" storeType="OMEX"/>
  </we:alternateReferences>
  <we:properties>
    <we:property name="claude.fileId" value="&quot;3f8b190e-62e1-40c2-aa28-f0d23aab667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hyperlink" Target="mailto:rhea.baid@miraeassetcm.com" TargetMode="External"/><Relationship Id="rId1" Type="http://schemas.openxmlformats.org/officeDocument/2006/relationships/hyperlink" Target="mailto:ashis.dash@miraeassetcm.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bseindia.com/xml-data/corpfiling/AttachLive/12288f75-6d11-4f73-a911-eae69aa6d3bd.pdf"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9751-8B5D-479C-BBED-84BC0B299445}">
  <dimension ref="A1:H10"/>
  <sheetViews>
    <sheetView showGridLines="0" workbookViewId="0">
      <selection activeCell="C7" sqref="C7"/>
    </sheetView>
  </sheetViews>
  <sheetFormatPr defaultRowHeight="14.45"/>
  <cols>
    <col min="1" max="1" width="18.42578125" bestFit="1" customWidth="1"/>
    <col min="2" max="2" width="33.140625" customWidth="1"/>
    <col min="3" max="3" width="29.5703125" customWidth="1"/>
    <col min="4" max="4" width="12.28515625" customWidth="1"/>
    <col min="5" max="5" width="17.85546875" customWidth="1"/>
  </cols>
  <sheetData>
    <row r="1" spans="1:8" ht="18.600000000000001">
      <c r="A1" s="1095" t="s">
        <v>0</v>
      </c>
      <c r="B1" s="1095"/>
      <c r="C1" s="1095"/>
      <c r="D1" s="1095"/>
      <c r="E1" s="1095"/>
      <c r="F1" s="1095"/>
      <c r="G1" s="1095"/>
      <c r="H1" s="1095"/>
    </row>
    <row r="2" spans="1:8" s="542" customFormat="1" ht="27" customHeight="1">
      <c r="A2" s="1096" t="s">
        <v>1</v>
      </c>
      <c r="B2" s="1096"/>
      <c r="C2" s="1096"/>
      <c r="D2" s="1096"/>
      <c r="E2" s="1096"/>
      <c r="F2" s="1096"/>
      <c r="G2" s="1096"/>
      <c r="H2" s="1096"/>
    </row>
    <row r="4" spans="1:8" ht="15" thickBot="1"/>
    <row r="5" spans="1:8" ht="15" thickBot="1">
      <c r="A5" s="543" t="s">
        <v>2</v>
      </c>
      <c r="B5" s="544" t="s">
        <v>3</v>
      </c>
      <c r="C5" s="545"/>
      <c r="F5" s="1097"/>
      <c r="G5" s="1097"/>
    </row>
    <row r="6" spans="1:8" ht="15" thickBot="1">
      <c r="F6" s="1098"/>
      <c r="G6" s="1098"/>
    </row>
    <row r="7" spans="1:8" ht="15" thickBot="1">
      <c r="A7" s="548" t="s">
        <v>4</v>
      </c>
      <c r="B7" s="549" t="s">
        <v>5</v>
      </c>
      <c r="C7" s="549" t="s">
        <v>6</v>
      </c>
      <c r="E7" s="546"/>
      <c r="F7" s="1099"/>
      <c r="G7" s="1098"/>
    </row>
    <row r="8" spans="1:8" ht="15" thickBot="1">
      <c r="A8" s="548" t="s">
        <v>7</v>
      </c>
      <c r="B8" s="1093" t="s">
        <v>8</v>
      </c>
      <c r="C8" s="1094"/>
      <c r="D8" s="547"/>
      <c r="E8" s="547"/>
      <c r="F8" s="550"/>
      <c r="G8" s="547"/>
    </row>
    <row r="9" spans="1:8" ht="15" thickBot="1">
      <c r="A9" s="548" t="s">
        <v>9</v>
      </c>
      <c r="B9" s="551" t="s">
        <v>10</v>
      </c>
      <c r="C9" s="551" t="s">
        <v>11</v>
      </c>
      <c r="E9" s="547"/>
      <c r="F9" s="552"/>
      <c r="G9" s="552"/>
    </row>
    <row r="10" spans="1:8">
      <c r="D10" s="552"/>
      <c r="E10" s="552"/>
      <c r="F10" s="553"/>
      <c r="G10" s="554"/>
    </row>
  </sheetData>
  <sheetProtection algorithmName="SHA-512" hashValue="Y0lJmJD8z+wEbTnBK4YJg2pqtRAA1PPhPgQ2AmfEiAC9weYWOKJU3hTgBJhgGafkOft+1/rdVqQov329w48NhQ==" saltValue="h6nnHHx/jtvqWhHcGXaJhg==" spinCount="100000" sheet="1" objects="1" scenarios="1"/>
  <mergeCells count="6">
    <mergeCell ref="B8:C8"/>
    <mergeCell ref="A1:H1"/>
    <mergeCell ref="A2:H2"/>
    <mergeCell ref="F5:G5"/>
    <mergeCell ref="F6:G6"/>
    <mergeCell ref="F7:G7"/>
  </mergeCells>
  <hyperlinks>
    <hyperlink ref="B9" r:id="rId1" xr:uid="{2F26545D-8C0A-4D1D-9273-96AB95B7EBC4}"/>
    <hyperlink ref="C9" r:id="rId2" xr:uid="{4F6235FB-8DA6-410B-A51E-E3E2431B16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47"/>
  <sheetViews>
    <sheetView showGridLines="0" topLeftCell="F6" zoomScale="85" zoomScaleNormal="100" workbookViewId="0">
      <selection activeCell="Q21" sqref="Q21"/>
    </sheetView>
  </sheetViews>
  <sheetFormatPr defaultColWidth="9.140625" defaultRowHeight="14.45"/>
  <cols>
    <col min="1" max="1" width="3.5703125" customWidth="1"/>
    <col min="2" max="2" width="25" customWidth="1"/>
    <col min="3" max="3" width="11.42578125" bestFit="1" customWidth="1"/>
    <col min="4" max="4" width="11.42578125" customWidth="1"/>
    <col min="5" max="5" width="10" bestFit="1" customWidth="1"/>
    <col min="6" max="6" width="18.7109375" customWidth="1"/>
    <col min="7" max="17" width="11.7109375" customWidth="1"/>
    <col min="21" max="21" width="10.42578125" bestFit="1" customWidth="1"/>
  </cols>
  <sheetData>
    <row r="1" spans="1:27">
      <c r="F1" s="201"/>
      <c r="G1" s="201"/>
      <c r="H1" s="201"/>
      <c r="I1" s="201"/>
    </row>
    <row r="2" spans="1:27">
      <c r="B2" s="202" t="s">
        <v>12</v>
      </c>
      <c r="C2" s="203"/>
      <c r="D2" s="493"/>
    </row>
    <row r="3" spans="1:27">
      <c r="A3" s="206"/>
      <c r="B3" t="s">
        <v>12</v>
      </c>
      <c r="C3" s="207">
        <f ca="1">C21</f>
        <v>1445.9</v>
      </c>
      <c r="D3" s="519">
        <f ca="1">TODAY()</f>
        <v>46216</v>
      </c>
      <c r="E3" s="516"/>
      <c r="F3" s="267"/>
      <c r="K3" s="309"/>
      <c r="S3" s="309"/>
    </row>
    <row r="4" spans="1:27">
      <c r="A4" s="206"/>
      <c r="B4" t="s">
        <v>13</v>
      </c>
      <c r="C4" s="1012">
        <f>442671546/10^6</f>
        <v>442.67154599999998</v>
      </c>
      <c r="D4" s="213"/>
      <c r="I4" s="517"/>
    </row>
    <row r="5" spans="1:27">
      <c r="A5" s="208"/>
      <c r="B5" s="214" t="s">
        <v>14</v>
      </c>
      <c r="C5" s="215">
        <f ca="1">C3*C4</f>
        <v>640058.78836140002</v>
      </c>
      <c r="D5" s="361"/>
      <c r="E5" s="209"/>
    </row>
    <row r="6" spans="1:27">
      <c r="A6" s="211"/>
      <c r="D6" s="267"/>
      <c r="S6" s="516"/>
    </row>
    <row r="7" spans="1:27">
      <c r="A7" s="211"/>
      <c r="E7" s="492"/>
    </row>
    <row r="8" spans="1:27">
      <c r="A8" s="212"/>
      <c r="B8" s="654"/>
      <c r="C8" s="654"/>
      <c r="D8" s="655">
        <v>46813</v>
      </c>
      <c r="F8" s="490" t="s">
        <v>15</v>
      </c>
      <c r="G8" s="204" t="s">
        <v>16</v>
      </c>
      <c r="H8" s="204" t="s">
        <v>17</v>
      </c>
      <c r="I8" s="204" t="s">
        <v>18</v>
      </c>
      <c r="J8" s="204" t="s">
        <v>19</v>
      </c>
      <c r="K8" s="204" t="s">
        <v>20</v>
      </c>
      <c r="L8" s="204" t="s">
        <v>21</v>
      </c>
      <c r="M8" s="204" t="s">
        <v>22</v>
      </c>
      <c r="N8" s="204" t="s">
        <v>23</v>
      </c>
      <c r="O8" s="204" t="s">
        <v>24</v>
      </c>
      <c r="P8" s="204" t="s">
        <v>25</v>
      </c>
      <c r="Q8" s="1032" t="s">
        <v>26</v>
      </c>
      <c r="R8" s="1034"/>
    </row>
    <row r="9" spans="1:27">
      <c r="A9" s="206"/>
      <c r="B9" s="656" t="s">
        <v>27</v>
      </c>
      <c r="C9" s="656"/>
      <c r="D9" s="930">
        <v>24</v>
      </c>
      <c r="F9" s="491" t="s">
        <v>28</v>
      </c>
      <c r="G9" s="268">
        <f>'P&amp;L consol'!BF5</f>
        <v>527</v>
      </c>
      <c r="H9" s="268">
        <f>'P&amp;L consol'!BG5</f>
        <v>592.16981132075477</v>
      </c>
      <c r="I9" s="268">
        <f>'P&amp;L consol'!BH5</f>
        <v>627.70000000000005</v>
      </c>
      <c r="J9" s="268">
        <f>'P&amp;L consol'!BI5</f>
        <v>866.5</v>
      </c>
      <c r="K9" s="268">
        <f>'P&amp;L consol'!BJ5</f>
        <v>1001.6999999999999</v>
      </c>
      <c r="L9" s="268">
        <f>'P&amp;L consol'!BK5</f>
        <v>1099.3</v>
      </c>
      <c r="M9" s="268">
        <f>'P&amp;L consol'!BL5</f>
        <v>1448</v>
      </c>
      <c r="N9" s="268">
        <f>'P&amp;L consol'!BM5</f>
        <v>2470</v>
      </c>
      <c r="O9" s="268">
        <f>'P&amp;L consol'!BN5</f>
        <v>2651.4423471521386</v>
      </c>
      <c r="P9" s="268">
        <f>'P&amp;L consol'!BO5</f>
        <v>3141.8802054244888</v>
      </c>
      <c r="Q9" s="1033">
        <f>'P&amp;L consol'!BP5</f>
        <v>3651.7096064843026</v>
      </c>
      <c r="R9" s="515"/>
      <c r="S9" s="515"/>
      <c r="T9" s="515"/>
      <c r="U9" s="515"/>
    </row>
    <row r="10" spans="1:27">
      <c r="A10" s="206"/>
      <c r="B10" s="270" t="s">
        <v>29</v>
      </c>
      <c r="C10" s="271"/>
      <c r="D10" s="271">
        <f>P16</f>
        <v>69.673781214771125</v>
      </c>
      <c r="H10" s="457">
        <f t="shared" ref="H10:I10" si="0">H9/G9-1</f>
        <v>0.12366188106405085</v>
      </c>
      <c r="I10" s="457">
        <f t="shared" si="0"/>
        <v>6.0000000000000053E-2</v>
      </c>
      <c r="J10" s="457">
        <f>J9/I9-1</f>
        <v>0.38043651425840364</v>
      </c>
      <c r="K10" s="457">
        <f t="shared" ref="K10:Q10" si="1">K9/J9-1</f>
        <v>0.15603000577034032</v>
      </c>
      <c r="L10" s="457">
        <f t="shared" si="1"/>
        <v>9.7434361585305052E-2</v>
      </c>
      <c r="M10" s="457">
        <f t="shared" si="1"/>
        <v>0.31720185572637138</v>
      </c>
      <c r="N10" s="457">
        <f t="shared" si="1"/>
        <v>0.70580110497237558</v>
      </c>
      <c r="O10" s="457">
        <f t="shared" si="1"/>
        <v>7.3458440142566195E-2</v>
      </c>
      <c r="P10" s="457">
        <f t="shared" si="1"/>
        <v>0.18497021396641711</v>
      </c>
      <c r="Q10" s="457">
        <f t="shared" si="1"/>
        <v>0.16226888605733225</v>
      </c>
    </row>
    <row r="11" spans="1:27">
      <c r="A11" s="206"/>
      <c r="B11" s="656" t="s">
        <v>30</v>
      </c>
      <c r="C11" s="657"/>
      <c r="D11" s="657">
        <f>D9*D10</f>
        <v>1672.1707491545071</v>
      </c>
      <c r="S11" s="515"/>
      <c r="T11" s="515"/>
    </row>
    <row r="12" spans="1:27">
      <c r="A12" s="206"/>
      <c r="B12" s="270" t="s">
        <v>31</v>
      </c>
      <c r="C12" s="272"/>
      <c r="D12" s="272"/>
      <c r="F12" s="455" t="s">
        <v>32</v>
      </c>
      <c r="G12" s="456"/>
      <c r="H12" s="456"/>
      <c r="I12" s="456"/>
      <c r="J12" s="456"/>
      <c r="K12" s="456"/>
      <c r="L12" s="456"/>
      <c r="M12" s="456"/>
      <c r="N12" s="541"/>
      <c r="O12" s="541"/>
      <c r="P12" s="541"/>
      <c r="Q12" s="541"/>
      <c r="S12" s="515"/>
      <c r="T12" s="1076"/>
      <c r="U12" s="1075"/>
      <c r="V12" s="1075"/>
      <c r="W12" s="1075"/>
      <c r="X12" s="1075"/>
      <c r="Y12" s="1075"/>
      <c r="Z12" s="1075"/>
      <c r="AA12" s="1075"/>
    </row>
    <row r="13" spans="1:27">
      <c r="A13" s="206"/>
      <c r="B13" s="656" t="s">
        <v>33</v>
      </c>
      <c r="C13" s="658"/>
      <c r="D13" s="658">
        <f>D11</f>
        <v>1672.1707491545071</v>
      </c>
      <c r="F13" s="524" t="s">
        <v>34</v>
      </c>
      <c r="G13" s="525" t="s">
        <v>16</v>
      </c>
      <c r="H13" s="525" t="s">
        <v>17</v>
      </c>
      <c r="I13" s="525" t="s">
        <v>18</v>
      </c>
      <c r="J13" s="525" t="s">
        <v>19</v>
      </c>
      <c r="K13" s="525" t="s">
        <v>20</v>
      </c>
      <c r="L13" s="525" t="s">
        <v>21</v>
      </c>
      <c r="M13" s="525" t="s">
        <v>22</v>
      </c>
      <c r="N13" s="525" t="s">
        <v>35</v>
      </c>
      <c r="O13" s="525" t="s">
        <v>24</v>
      </c>
      <c r="P13" s="525" t="s">
        <v>25</v>
      </c>
      <c r="Q13" s="525" t="s">
        <v>26</v>
      </c>
      <c r="S13" s="265"/>
      <c r="T13" s="1076"/>
      <c r="U13" s="1075"/>
      <c r="V13" s="1075"/>
      <c r="W13" s="1077"/>
      <c r="X13" s="1077"/>
      <c r="Y13" s="1077"/>
      <c r="Z13" s="1077"/>
      <c r="AA13" s="1075"/>
    </row>
    <row r="14" spans="1:27">
      <c r="A14" s="206"/>
      <c r="B14" s="270" t="s">
        <v>36</v>
      </c>
      <c r="C14" s="359"/>
      <c r="D14" s="359">
        <f ca="1">D13/C3-1</f>
        <v>0.1564912851196536</v>
      </c>
      <c r="F14" s="526" t="s">
        <v>37</v>
      </c>
      <c r="G14" s="527">
        <f>'P&amp;L consol'!BF12</f>
        <v>36762</v>
      </c>
      <c r="H14" s="527">
        <f>'P&amp;L consol'!BG12</f>
        <v>41839</v>
      </c>
      <c r="I14" s="527">
        <f>'P&amp;L consol'!BH12</f>
        <v>46628</v>
      </c>
      <c r="J14" s="527">
        <f>'P&amp;L consol'!BI12</f>
        <v>64320</v>
      </c>
      <c r="K14" s="527">
        <f>'P&amp;L consol'!BJ12</f>
        <v>80146</v>
      </c>
      <c r="L14" s="1026">
        <f>'P&amp;L consol'!BK12</f>
        <v>90089</v>
      </c>
      <c r="M14" s="1026">
        <f>'P&amp;L consol'!BL12</f>
        <v>120733</v>
      </c>
      <c r="N14" s="1026">
        <f>'P&amp;L consol'!BM12</f>
        <v>164027</v>
      </c>
      <c r="O14" s="527">
        <f>'P&amp;L consol'!BN12</f>
        <v>247909.85945872497</v>
      </c>
      <c r="P14" s="527">
        <f>'P&amp;L consol'!BO12</f>
        <v>300049.55961803871</v>
      </c>
      <c r="Q14" s="527">
        <f>'P&amp;L consol'!BP12</f>
        <v>354215.83182897733</v>
      </c>
      <c r="R14" s="515"/>
      <c r="S14" s="515"/>
      <c r="T14" s="1076"/>
      <c r="U14" s="1076"/>
      <c r="V14" s="1075"/>
      <c r="W14" s="1075"/>
      <c r="X14" s="1075"/>
      <c r="Y14" s="1075"/>
      <c r="Z14" s="1075"/>
      <c r="AA14" s="1075"/>
    </row>
    <row r="15" spans="1:27">
      <c r="A15" s="206"/>
      <c r="B15" s="656" t="s">
        <v>38</v>
      </c>
      <c r="C15" s="658"/>
      <c r="D15" s="659" t="s">
        <v>39</v>
      </c>
      <c r="F15" s="526" t="s">
        <v>40</v>
      </c>
      <c r="G15" s="527">
        <f>'P&amp;L consol'!BF66</f>
        <v>4090</v>
      </c>
      <c r="H15" s="527">
        <f>'P&amp;L consol'!BG66</f>
        <v>4511</v>
      </c>
      <c r="I15" s="527">
        <f>'P&amp;L consol'!BH66</f>
        <v>4735</v>
      </c>
      <c r="J15" s="527">
        <f>'P&amp;L consol'!BI66</f>
        <v>6617</v>
      </c>
      <c r="K15" s="527">
        <f>'P&amp;L consol'!BJ66</f>
        <v>8117</v>
      </c>
      <c r="L15" s="1026">
        <f>'P&amp;L consol'!BK66</f>
        <v>8486.2999999999993</v>
      </c>
      <c r="M15" s="1026">
        <f>'P&amp;L consol'!BL66</f>
        <v>8121</v>
      </c>
      <c r="N15" s="1026">
        <f>'P&amp;L consol'!BM66</f>
        <v>13746</v>
      </c>
      <c r="O15" s="527">
        <f>'P&amp;L consol'!BN66</f>
        <v>24981.541089296526</v>
      </c>
      <c r="P15" s="527">
        <f>'P&amp;L consol'!BO66</f>
        <v>31062.027725218399</v>
      </c>
      <c r="Q15" s="527">
        <f>'P&amp;L consol'!BP66</f>
        <v>36183.18815100161</v>
      </c>
      <c r="R15" s="515"/>
      <c r="S15" s="355"/>
      <c r="T15" s="1075"/>
      <c r="U15" s="1075"/>
      <c r="V15" s="1075"/>
      <c r="W15" s="1075"/>
      <c r="X15" s="1075"/>
      <c r="Y15" s="1075"/>
      <c r="Z15" s="1075"/>
      <c r="AA15" s="1075"/>
    </row>
    <row r="16" spans="1:27" ht="15" thickBot="1">
      <c r="A16" s="453"/>
      <c r="C16" s="265"/>
      <c r="D16" s="265"/>
      <c r="F16" s="1023" t="s">
        <v>41</v>
      </c>
      <c r="G16" s="528">
        <f>'P&amp;L consol'!BF73</f>
        <v>13.1</v>
      </c>
      <c r="H16" s="528">
        <f>'P&amp;L consol'!BG73</f>
        <v>14.280000000000001</v>
      </c>
      <c r="I16" s="528">
        <f>'P&amp;L consol'!BH73</f>
        <v>14.940000000000001</v>
      </c>
      <c r="J16" s="528">
        <f>'P&amp;L consol'!BI73</f>
        <v>21.8</v>
      </c>
      <c r="K16" s="528">
        <f>'P&amp;L consol'!BJ73</f>
        <v>26.619999999999997</v>
      </c>
      <c r="L16" s="1027">
        <f>'P&amp;L consol'!BK73</f>
        <v>26.344000000000001</v>
      </c>
      <c r="M16" s="1027">
        <f>'P&amp;L consol'!BL73</f>
        <v>24.41</v>
      </c>
      <c r="N16" s="1027">
        <f>'P&amp;L consol'!BM73</f>
        <v>40.551532321679069</v>
      </c>
      <c r="O16" s="528">
        <f>'P&amp;L consol'!BN73</f>
        <v>56.034926105302205</v>
      </c>
      <c r="P16" s="528">
        <f>'P&amp;L consol'!BO73</f>
        <v>69.673781214771125</v>
      </c>
      <c r="Q16" s="528">
        <f>'P&amp;L consol'!BP73</f>
        <v>81.160816582461521</v>
      </c>
      <c r="R16" s="213"/>
      <c r="S16" s="515"/>
      <c r="T16" s="1076"/>
      <c r="U16" s="1075"/>
      <c r="V16" s="1075"/>
      <c r="W16" s="1078"/>
      <c r="X16" s="1078"/>
      <c r="Y16" s="1078"/>
      <c r="Z16" s="1078"/>
      <c r="AA16" s="1075"/>
    </row>
    <row r="17" spans="1:34" ht="15" thickBot="1">
      <c r="A17" s="206"/>
      <c r="E17" s="216"/>
      <c r="F17" s="1023" t="s">
        <v>42</v>
      </c>
      <c r="G17" s="528">
        <f>Ratios!B72</f>
        <v>111.88549618320612</v>
      </c>
      <c r="H17" s="528">
        <f ca="1">Ratios!C72</f>
        <v>101.25350140056022</v>
      </c>
      <c r="I17" s="528">
        <f ca="1">Ratios!D72</f>
        <v>96.780455153949134</v>
      </c>
      <c r="J17" s="528">
        <f ca="1">Ratios!E72</f>
        <v>66.325688073394502</v>
      </c>
      <c r="K17" s="528">
        <f ca="1">Ratios!F72</f>
        <v>54.316303531179571</v>
      </c>
      <c r="L17" s="1027">
        <f ca="1">Ratios!G72</f>
        <v>54.885362890980872</v>
      </c>
      <c r="M17" s="1027">
        <f ca="1">Ratios!H72</f>
        <v>59.233920524375257</v>
      </c>
      <c r="N17" s="1027">
        <f ca="1">Ratios!I72</f>
        <v>35.655865936957802</v>
      </c>
      <c r="O17" s="528">
        <f ca="1">Ratios!J72</f>
        <v>25.803549687614996</v>
      </c>
      <c r="P17" s="528">
        <f ca="1">Ratios!K72</f>
        <v>20.752426160753043</v>
      </c>
      <c r="Q17" s="528">
        <f ca="1">Ratios!L72</f>
        <v>17.815247072223919</v>
      </c>
      <c r="R17" s="515"/>
      <c r="S17" s="515"/>
      <c r="T17" s="1076"/>
      <c r="U17" s="1076"/>
      <c r="V17" s="1075"/>
      <c r="W17" s="1075"/>
      <c r="X17" s="1075"/>
      <c r="Y17" s="1075"/>
      <c r="Z17" s="1075"/>
      <c r="AA17" s="1075"/>
    </row>
    <row r="18" spans="1:34">
      <c r="F18" s="526" t="s">
        <v>43</v>
      </c>
      <c r="G18" s="528">
        <f>Ratios!B77</f>
        <v>99.137427925015487</v>
      </c>
      <c r="H18" s="528">
        <f ca="1">Ratios!C77</f>
        <v>87.666498313380572</v>
      </c>
      <c r="I18" s="528">
        <f ca="1">Ratios!D77</f>
        <v>80.412485803840283</v>
      </c>
      <c r="J18" s="528">
        <f ca="1">Ratios!E77</f>
        <v>57.416154595786267</v>
      </c>
      <c r="K18" s="528">
        <f ca="1">Ratios!F77</f>
        <v>45.534319245812284</v>
      </c>
      <c r="L18" s="1027">
        <f ca="1">Ratios!G77</f>
        <v>42.455616321294833</v>
      </c>
      <c r="M18" s="1027">
        <f ca="1">Ratios!H77</f>
        <v>37.197920104623073</v>
      </c>
      <c r="N18" s="1027">
        <f ca="1">Ratios!I77</f>
        <v>20.888418735602681</v>
      </c>
      <c r="O18" s="528">
        <f ca="1">Ratios!J77</f>
        <v>12.342205332151796</v>
      </c>
      <c r="P18" s="528">
        <f ca="1">Ratios!K77</f>
        <v>10.148958794620764</v>
      </c>
      <c r="Q18" s="528">
        <f ca="1">Ratios!L77</f>
        <v>8.6565372863008392</v>
      </c>
      <c r="R18" s="515"/>
      <c r="S18" s="515"/>
      <c r="T18" s="1076"/>
      <c r="U18" s="1076"/>
      <c r="V18" s="1075"/>
      <c r="W18" s="1075"/>
      <c r="X18" s="1075"/>
      <c r="Y18" s="1075"/>
      <c r="Z18" s="1075"/>
      <c r="AA18" s="1075"/>
    </row>
    <row r="19" spans="1:34" ht="14.1" customHeight="1">
      <c r="F19" s="526" t="s">
        <v>44</v>
      </c>
      <c r="G19" s="528">
        <f>Ratios!B74</f>
        <v>31.309351202634751</v>
      </c>
      <c r="H19" s="528">
        <f ca="1">Ratios!C74</f>
        <v>26.708065443830588</v>
      </c>
      <c r="I19" s="528">
        <f ca="1">Ratios!D74</f>
        <v>25.954291730319127</v>
      </c>
      <c r="J19" s="528">
        <f ca="1">Ratios!E74</f>
        <v>23.418784104547949</v>
      </c>
      <c r="K19" s="528">
        <f ca="1">Ratios!F74</f>
        <v>20.764275372632603</v>
      </c>
      <c r="L19" s="1027">
        <f ca="1">Ratios!G74</f>
        <v>17.649004256366847</v>
      </c>
      <c r="M19" s="1027">
        <f ca="1">Ratios!H74</f>
        <v>10.033527532627915</v>
      </c>
      <c r="N19" s="1027">
        <f ca="1">Ratios!I74</f>
        <v>6.7108998947471061</v>
      </c>
      <c r="O19" s="528">
        <f ca="1">Ratios!J74</f>
        <v>2.250256427528166</v>
      </c>
      <c r="P19" s="528">
        <f ca="1">Ratios!K74</f>
        <v>2.0799046614129861</v>
      </c>
      <c r="Q19" s="528">
        <f ca="1">Ratios!L74</f>
        <v>1.9113531705148692</v>
      </c>
      <c r="R19" s="1034"/>
      <c r="T19" s="1075"/>
      <c r="U19" s="1075"/>
      <c r="V19" s="1075"/>
      <c r="W19" s="1075"/>
      <c r="X19" s="1075"/>
      <c r="Y19" s="1075"/>
      <c r="Z19" s="1075"/>
      <c r="AA19" s="1075"/>
    </row>
    <row r="20" spans="1:34">
      <c r="C20" s="574"/>
      <c r="D20" s="267"/>
      <c r="F20" s="526" t="s">
        <v>45</v>
      </c>
      <c r="G20" s="528">
        <f>Ratios!B76</f>
        <v>17.39934402296393</v>
      </c>
      <c r="H20" s="528">
        <f ca="1">Ratios!C76</f>
        <v>15.080087678037238</v>
      </c>
      <c r="I20" s="528">
        <f ca="1">Ratios!D76</f>
        <v>13.561889601985932</v>
      </c>
      <c r="J20" s="528">
        <f ca="1">Ratios!E76</f>
        <v>9.9567753165640553</v>
      </c>
      <c r="K20" s="528">
        <f ca="1">Ratios!F76</f>
        <v>7.9841013695181298</v>
      </c>
      <c r="L20" s="1027">
        <f ca="1">Ratios!G76</f>
        <v>7.1481178430374408</v>
      </c>
      <c r="M20" s="1027">
        <f ca="1">Ratios!H76</f>
        <v>5.3048776089503287</v>
      </c>
      <c r="N20" s="1027">
        <f ca="1">Ratios!I76</f>
        <v>3.879512448324971</v>
      </c>
      <c r="O20" s="528">
        <f ca="1">Ratios!J76</f>
        <v>2.5418269205335968</v>
      </c>
      <c r="P20" s="528">
        <f ca="1">Ratios!K76</f>
        <v>2.0602248473301401</v>
      </c>
      <c r="Q20" s="528">
        <f ca="1">Ratios!L76</f>
        <v>1.6991592934982489</v>
      </c>
      <c r="R20" s="515"/>
      <c r="T20" s="1075"/>
      <c r="U20" s="1075"/>
      <c r="V20" s="1075"/>
      <c r="W20" s="1075"/>
      <c r="X20" s="1075"/>
      <c r="Y20" s="1075"/>
      <c r="Z20" s="1075"/>
      <c r="AA20" s="1075"/>
      <c r="AH20">
        <v>4500000</v>
      </c>
    </row>
    <row r="21" spans="1:34">
      <c r="B21" t="e" vm="1">
        <v>#VALUE!</v>
      </c>
      <c r="C21" s="574" cm="1">
        <f t="array" aca="1" ref="C21" ca="1">_FV(B21,"Price")</f>
        <v>1445.9</v>
      </c>
      <c r="F21" s="526" t="s">
        <v>46</v>
      </c>
      <c r="G21" s="528">
        <f>Ratios!B29</f>
        <v>0.19736524634464123</v>
      </c>
      <c r="H21" s="528">
        <f>Ratios!C30</f>
        <v>0.21690628456027311</v>
      </c>
      <c r="I21" s="528">
        <f>Ratios!D29</f>
        <v>0.19475177888372475</v>
      </c>
      <c r="J21" s="528">
        <f>Ratios!E29</f>
        <v>0.25453915987074932</v>
      </c>
      <c r="K21" s="528">
        <f>Ratios!F29</f>
        <v>0.27914574592475411</v>
      </c>
      <c r="L21" s="1027">
        <f>Ratios!G29</f>
        <v>0.25297879000163953</v>
      </c>
      <c r="M21" s="1027">
        <f>Ratios!H29</f>
        <v>0.16232585100641628</v>
      </c>
      <c r="N21" s="1027">
        <f>Ratios!I29</f>
        <v>0.17272316043425814</v>
      </c>
      <c r="O21" s="528">
        <f>Ratios!J29</f>
        <v>0.13154612963575171</v>
      </c>
      <c r="P21" s="528">
        <f>Ratios!K29</f>
        <v>0.10490865512308867</v>
      </c>
      <c r="Q21" s="528">
        <f>Ratios!L29</f>
        <v>0.11261378275276077</v>
      </c>
      <c r="T21" s="1075"/>
      <c r="U21" s="1075"/>
      <c r="V21" s="1075"/>
      <c r="W21" s="1075"/>
      <c r="X21" s="1075"/>
      <c r="Y21" s="1075"/>
      <c r="Z21" s="1075"/>
      <c r="AA21" s="1075"/>
      <c r="AH21">
        <f>AH20/11</f>
        <v>409090.90909090912</v>
      </c>
    </row>
    <row r="22" spans="1:34">
      <c r="F22" s="526" t="s">
        <v>47</v>
      </c>
      <c r="G22" s="528">
        <f>Ratios!B31</f>
        <v>0</v>
      </c>
      <c r="H22" s="528">
        <f>Ratios!C31</f>
        <v>19.146613816063102</v>
      </c>
      <c r="I22" s="528">
        <f>Ratios!D31</f>
        <v>19.142167102928816</v>
      </c>
      <c r="J22" s="528">
        <f>Ratios!E31</f>
        <v>25.225096970422715</v>
      </c>
      <c r="K22" s="528">
        <f>Ratios!F31</f>
        <v>25.473015527926279</v>
      </c>
      <c r="L22" s="1027">
        <f>Ratios!G31</f>
        <v>23.646209636998559</v>
      </c>
      <c r="M22" s="1027">
        <f>Ratios!H31</f>
        <v>13.848167233835943</v>
      </c>
      <c r="N22" s="1027">
        <f>Ratios!I31</f>
        <v>20.639397151715361</v>
      </c>
      <c r="O22" s="528">
        <f>Ratios!J31</f>
        <v>12.729818179459437</v>
      </c>
      <c r="P22" s="528">
        <f>Ratios!K31</f>
        <v>9.754739409431803</v>
      </c>
      <c r="Q22" s="528">
        <f>Ratios!L31</f>
        <v>10.489049811051112</v>
      </c>
      <c r="T22" s="1075"/>
      <c r="U22" s="1075"/>
      <c r="V22" s="1075"/>
      <c r="W22" s="1075"/>
      <c r="X22" s="1075"/>
      <c r="Y22" s="1075"/>
      <c r="Z22" s="1075"/>
      <c r="AA22" s="1075"/>
    </row>
    <row r="23" spans="1:34">
      <c r="F23" s="526" t="s">
        <v>48</v>
      </c>
      <c r="G23" s="528">
        <f>Ratios!B41</f>
        <v>37.989959041915874</v>
      </c>
      <c r="H23" s="528">
        <f>Ratios!C41</f>
        <v>46.324236528528012</v>
      </c>
      <c r="I23" s="528">
        <f>Ratios!D41</f>
        <v>50.922940053804801</v>
      </c>
      <c r="J23" s="528">
        <f>Ratios!E41</f>
        <v>36.054057525261619</v>
      </c>
      <c r="K23" s="528">
        <f>Ratios!F41</f>
        <v>37.15609895241986</v>
      </c>
      <c r="L23" s="1027">
        <f>Ratios!G41</f>
        <v>33.346311772376147</v>
      </c>
      <c r="M23" s="1027">
        <f>Ratios!H41</f>
        <v>42.472942676373854</v>
      </c>
      <c r="N23" s="1027">
        <f>Ratios!I41</f>
        <v>39.278623995786212</v>
      </c>
      <c r="O23" s="528">
        <f>Ratios!J41</f>
        <v>39</v>
      </c>
      <c r="P23" s="528">
        <f>Ratios!K41</f>
        <v>39</v>
      </c>
      <c r="Q23" s="528">
        <f>Ratios!L41</f>
        <v>39</v>
      </c>
      <c r="T23" s="1075"/>
      <c r="U23" s="1075"/>
      <c r="V23" s="1075"/>
      <c r="W23" s="1075"/>
      <c r="X23" s="1075"/>
      <c r="Y23" s="1075"/>
      <c r="Z23" s="1075"/>
      <c r="AA23" s="1075"/>
    </row>
    <row r="24" spans="1:34">
      <c r="F24" s="526" t="s">
        <v>49</v>
      </c>
      <c r="G24" s="528">
        <f>Ratios!B54</f>
        <v>0</v>
      </c>
      <c r="H24" s="528">
        <f>Ratios!C54</f>
        <v>0</v>
      </c>
      <c r="I24" s="528">
        <f>Ratios!D54</f>
        <v>2.2342970682454076E-2</v>
      </c>
      <c r="J24" s="528">
        <f>Ratios!E54</f>
        <v>0.17913724342321904</v>
      </c>
      <c r="K24" s="528">
        <f>Ratios!F54</f>
        <v>0.18238442822384429</v>
      </c>
      <c r="L24" s="1027">
        <f>Ratios!G54</f>
        <v>0.20018750344675454</v>
      </c>
      <c r="M24" s="1027">
        <f>Ratios!H54</f>
        <v>0.16779533483822423</v>
      </c>
      <c r="N24" s="1027">
        <f>Ratios!I54</f>
        <v>7.6308505284348266E-2</v>
      </c>
      <c r="O24" s="528">
        <f>Ratios!J54</f>
        <v>0.2070291864706508</v>
      </c>
      <c r="P24" s="528">
        <f>Ratios!K54</f>
        <v>0.18964141656935235</v>
      </c>
      <c r="Q24" s="528">
        <f>Ratios!L54</f>
        <v>0.17271299452674882</v>
      </c>
      <c r="T24" s="1075"/>
      <c r="U24" s="1075"/>
      <c r="V24" s="1075"/>
      <c r="W24" s="1075"/>
      <c r="X24" s="1075"/>
      <c r="Y24" s="1075"/>
      <c r="Z24" s="1075"/>
      <c r="AA24" s="1075"/>
    </row>
    <row r="25" spans="1:34">
      <c r="F25" s="526" t="s">
        <v>50</v>
      </c>
      <c r="G25" s="527">
        <f>'P&amp;L consol'!BF29</f>
        <v>6452</v>
      </c>
      <c r="H25" s="527">
        <f>'P&amp;L consol'!BG29</f>
        <v>7197</v>
      </c>
      <c r="I25" s="527">
        <f>'P&amp;L consol'!BH29</f>
        <v>7864</v>
      </c>
      <c r="J25" s="527">
        <f>'P&amp;L consol'!BI29</f>
        <v>11154</v>
      </c>
      <c r="K25" s="527">
        <f>'P&amp;L consol'!BJ29</f>
        <v>14053</v>
      </c>
      <c r="L25" s="527">
        <f>'P&amp;L consol'!BK29</f>
        <v>15168</v>
      </c>
      <c r="M25" s="527">
        <f>'P&amp;L consol'!BL29</f>
        <v>17218</v>
      </c>
      <c r="N25" s="527">
        <f>'P&amp;L consol'!BM29</f>
        <v>30464</v>
      </c>
      <c r="O25" s="527">
        <f>'P&amp;L consol'!BN29</f>
        <v>51056.025862440059</v>
      </c>
      <c r="P25" s="527">
        <f>'P&amp;L consol'!BO29</f>
        <v>60909.652966883354</v>
      </c>
      <c r="Q25" s="527">
        <f>'P&amp;L consol'!BP29</f>
        <v>69527.699431144458</v>
      </c>
    </row>
    <row r="26" spans="1:34">
      <c r="F26" s="526" t="s">
        <v>51</v>
      </c>
      <c r="G26" s="528">
        <f>'P&amp;L consol'!BF30*100</f>
        <v>17.550731733855613</v>
      </c>
      <c r="H26" s="528">
        <f>'P&amp;L consol'!BG30*100</f>
        <v>17.201653959224647</v>
      </c>
      <c r="I26" s="528">
        <f>'P&amp;L consol'!BH30*100</f>
        <v>16.865402762288753</v>
      </c>
      <c r="J26" s="528">
        <f>'P&amp;L consol'!BI30*100</f>
        <v>17.341417910447763</v>
      </c>
      <c r="K26" s="528">
        <f>'P&amp;L consol'!BJ30*100</f>
        <v>17.534249993761385</v>
      </c>
      <c r="L26" s="528">
        <f>'P&amp;L consol'!BK30*100</f>
        <v>16.836683723873058</v>
      </c>
      <c r="M26" s="528">
        <f>'P&amp;L consol'!BL30*100</f>
        <v>14.261221041471678</v>
      </c>
      <c r="N26" s="528">
        <f>'P&amp;L consol'!BM30*100</f>
        <v>18.572552079840516</v>
      </c>
      <c r="O26" s="528">
        <f>'P&amp;L consol'!BN30*100</f>
        <v>20.594592717656912</v>
      </c>
      <c r="P26" s="528">
        <f>'P&amp;L consol'!BO30*100</f>
        <v>20.299864143917084</v>
      </c>
      <c r="Q26" s="528">
        <f>'P&amp;L consol'!BP30*100</f>
        <v>19.628625595908954</v>
      </c>
    </row>
    <row r="27" spans="1:34">
      <c r="F27" s="1024"/>
      <c r="G27" s="1025"/>
      <c r="H27" s="1025"/>
      <c r="I27" s="1025"/>
      <c r="J27" s="1025"/>
      <c r="K27" s="1025"/>
      <c r="L27" s="1025"/>
      <c r="M27" s="1025"/>
      <c r="N27" s="1025"/>
      <c r="O27" s="1025"/>
      <c r="P27" s="1025"/>
      <c r="Q27" s="1025"/>
    </row>
    <row r="28" spans="1:34">
      <c r="I28" s="1031"/>
      <c r="S28" s="515"/>
      <c r="Y28" s="205"/>
      <c r="AH28">
        <v>200000</v>
      </c>
    </row>
    <row r="29" spans="1:34" ht="15" thickBot="1">
      <c r="I29" s="1031"/>
      <c r="S29" s="515"/>
      <c r="T29" s="515"/>
      <c r="AH29">
        <f>AH28/11</f>
        <v>18181.81818181818</v>
      </c>
    </row>
    <row r="30" spans="1:34" ht="15" thickBot="1">
      <c r="B30" s="1014" t="s">
        <v>52</v>
      </c>
      <c r="C30" s="1015" t="s">
        <v>53</v>
      </c>
      <c r="D30" s="1022" t="str" cm="1">
        <f t="array" aca="1" ref="D30" ca="1">ROUND(_FV(F31,"Price"),0)&amp;"/ "&amp;ROUND(_FV(F30,"Price"),0)</f>
        <v>76504/ 23882</v>
      </c>
      <c r="F30" s="4" t="e" vm="2">
        <v>#VALUE!</v>
      </c>
      <c r="I30" s="1031"/>
      <c r="S30" s="515"/>
      <c r="T30" s="515"/>
    </row>
    <row r="31" spans="1:34" ht="15" thickBot="1">
      <c r="B31" s="1016" t="s">
        <v>54</v>
      </c>
      <c r="C31" s="1017" t="s">
        <v>55</v>
      </c>
      <c r="F31" s="4" t="e" vm="3">
        <v>#VALUE!</v>
      </c>
      <c r="G31" cm="1">
        <f t="array" aca="1" ref="G31" ca="1">_FV(F31,"Price")</f>
        <v>76503.600000000006</v>
      </c>
      <c r="I31" s="1031"/>
      <c r="O31" s="355"/>
      <c r="S31" s="515"/>
    </row>
    <row r="32" spans="1:34" ht="15" thickBot="1">
      <c r="B32" s="1018" t="s">
        <v>56</v>
      </c>
      <c r="C32" s="1019">
        <f>C4</f>
        <v>442.67154599999998</v>
      </c>
      <c r="F32" s="4" t="e" vm="4">
        <v>#VALUE!</v>
      </c>
      <c r="G32" cm="1">
        <f t="array" aca="1" ref="G32" ca="1">_FV(F32,"Price")</f>
        <v>1445.9</v>
      </c>
      <c r="I32" s="1031"/>
      <c r="S32" s="474"/>
      <c r="T32" s="1100" t="s">
        <v>57</v>
      </c>
      <c r="U32" s="1100"/>
      <c r="V32" s="1101"/>
      <c r="W32" s="1102" t="s">
        <v>58</v>
      </c>
      <c r="X32" s="1100"/>
      <c r="Y32" s="1101"/>
      <c r="Z32" s="1102" t="s">
        <v>59</v>
      </c>
      <c r="AA32" s="1100"/>
      <c r="AB32" s="1100"/>
    </row>
    <row r="33" spans="2:32" ht="15" thickBot="1">
      <c r="B33" s="1016" t="s">
        <v>60</v>
      </c>
      <c r="C33" s="1017" t="s">
        <v>61</v>
      </c>
      <c r="D33" s="1022" t="str" cm="1">
        <f t="array" aca="1" ref="D33" ca="1">"Rs "&amp;ROUND(_FV(F32,"52 week high",TRUE),0)&amp;"/ "&amp;ROUND(_FV(F32,"52 week low",TRUE),0)</f>
        <v>Rs 1994/ 1008</v>
      </c>
      <c r="F33" s="4" t="e" vm="5">
        <v>#VALUE!</v>
      </c>
      <c r="G33" cm="1">
        <f t="array" aca="1" ref="G33" ca="1">_FV(F33,"Price")</f>
        <v>95.555000000000007</v>
      </c>
      <c r="I33" s="1031"/>
      <c r="S33" s="475" t="s">
        <v>62</v>
      </c>
      <c r="T33" s="477" t="s">
        <v>24</v>
      </c>
      <c r="U33" s="478" t="s">
        <v>25</v>
      </c>
      <c r="V33" s="478" t="s">
        <v>26</v>
      </c>
      <c r="W33" s="476" t="str">
        <f>T33</f>
        <v>FY27E</v>
      </c>
      <c r="X33" s="476" t="str">
        <f t="shared" ref="X33:Y33" si="2">U33</f>
        <v>FY28E</v>
      </c>
      <c r="Y33" s="478" t="str">
        <f t="shared" si="2"/>
        <v>FY29E</v>
      </c>
      <c r="Z33" s="476" t="str">
        <f>W33</f>
        <v>FY27E</v>
      </c>
      <c r="AA33" s="476" t="str">
        <f t="shared" ref="AA33:AB33" si="3">X33</f>
        <v>FY28E</v>
      </c>
      <c r="AB33" s="476" t="str">
        <f t="shared" si="3"/>
        <v>FY29E</v>
      </c>
    </row>
    <row r="34" spans="2:32" ht="15" thickBot="1">
      <c r="B34" s="1018" t="s">
        <v>63</v>
      </c>
      <c r="C34" s="1020" t="s">
        <v>64</v>
      </c>
      <c r="I34" s="1031"/>
      <c r="S34" s="648" t="s">
        <v>65</v>
      </c>
      <c r="T34" s="484">
        <v>2153.7602694983152</v>
      </c>
      <c r="U34" s="484">
        <v>2455.0157339441362</v>
      </c>
      <c r="V34" s="877" t="s">
        <v>66</v>
      </c>
      <c r="W34" s="484">
        <f>O9</f>
        <v>2651.4423471521386</v>
      </c>
      <c r="X34" s="484">
        <f t="shared" ref="X34" si="4">P9</f>
        <v>3141.8802054244888</v>
      </c>
      <c r="Y34" s="877">
        <f>Q9</f>
        <v>3651.7096064843026</v>
      </c>
      <c r="Z34" s="486">
        <f t="shared" ref="Z34" si="5">(W34/T34-1)*100</f>
        <v>23.107589303323461</v>
      </c>
      <c r="AA34" s="486">
        <f t="shared" ref="AA34" si="6">(X34/U34-1)*100</f>
        <v>27.978006901685394</v>
      </c>
      <c r="AB34" s="486" t="e">
        <f t="shared" ref="AB34" si="7">(Y34/V34-1)*100</f>
        <v>#VALUE!</v>
      </c>
      <c r="AF34">
        <v>45</v>
      </c>
    </row>
    <row r="35" spans="2:32" ht="15" thickBot="1">
      <c r="B35" s="1016" t="s">
        <v>67</v>
      </c>
      <c r="C35" s="1021" t="s">
        <v>68</v>
      </c>
      <c r="D35" s="1022" t="str" cm="1">
        <f t="array" aca="1" ref="D35" ca="1">"Rs "&amp;ROUND(_FV(F32,"Market cap",TRUE)/1000000000,0)&amp;"bn/USD "&amp;ROUND((_FV(F32,"Market cap",TRUE)/1000000000)/_FV(F33,"Price"),1)&amp;"bn"</f>
        <v>Rs 656bn/USD 6.9bn</v>
      </c>
      <c r="I35" s="1031"/>
      <c r="S35" s="479" t="s">
        <v>69</v>
      </c>
      <c r="T35" s="480">
        <v>198145.944793845</v>
      </c>
      <c r="U35" s="480">
        <v>227088.95538983261</v>
      </c>
      <c r="V35" s="481" t="s">
        <v>66</v>
      </c>
      <c r="W35" s="480">
        <f>O14</f>
        <v>247909.85945872497</v>
      </c>
      <c r="X35" s="480">
        <f t="shared" ref="X35:Y35" si="8">P14</f>
        <v>300049.55961803871</v>
      </c>
      <c r="Y35" s="481">
        <f t="shared" si="8"/>
        <v>354215.83182897733</v>
      </c>
      <c r="Z35" s="482">
        <f>(W35/T35-1)*100</f>
        <v>25.114778259355909</v>
      </c>
      <c r="AA35" s="482">
        <f t="shared" ref="AA35:AB40" si="9">(X35/U35-1)*100</f>
        <v>32.128644963361673</v>
      </c>
      <c r="AB35" s="482" t="e">
        <f t="shared" si="9"/>
        <v>#VALUE!</v>
      </c>
      <c r="AF35">
        <f>AF34/12</f>
        <v>3.75</v>
      </c>
    </row>
    <row r="36" spans="2:32" ht="15" thickBot="1">
      <c r="B36" s="1018" t="s">
        <v>70</v>
      </c>
      <c r="C36" s="1020" t="s">
        <v>71</v>
      </c>
      <c r="I36" s="1031"/>
      <c r="S36" s="483" t="s">
        <v>72</v>
      </c>
      <c r="T36" s="484">
        <v>35276.969264576706</v>
      </c>
      <c r="U36" s="484">
        <v>40356.148308754578</v>
      </c>
      <c r="V36" s="485" t="s">
        <v>66</v>
      </c>
      <c r="W36" s="484">
        <f>O25</f>
        <v>51056.025862440059</v>
      </c>
      <c r="X36" s="484">
        <f>P25</f>
        <v>60909.652966883354</v>
      </c>
      <c r="Y36" s="485">
        <f>Q25</f>
        <v>69527.699431144458</v>
      </c>
      <c r="Z36" s="486">
        <f t="shared" ref="Z36:Z40" si="10">(W36/T36-1)*100</f>
        <v>44.729059572892105</v>
      </c>
      <c r="AA36" s="486">
        <f t="shared" si="9"/>
        <v>50.930293200627474</v>
      </c>
      <c r="AB36" s="486" t="e">
        <f t="shared" si="9"/>
        <v>#VALUE!</v>
      </c>
      <c r="AF36">
        <v>375000</v>
      </c>
    </row>
    <row r="37" spans="2:32">
      <c r="I37" s="1031"/>
      <c r="S37" s="483" t="s">
        <v>73</v>
      </c>
      <c r="T37" s="484">
        <v>27152.985528029061</v>
      </c>
      <c r="U37" s="484">
        <v>31272.590093161274</v>
      </c>
      <c r="V37" s="485" t="s">
        <v>66</v>
      </c>
      <c r="W37" s="484">
        <f>'P&amp;L consol'!BN39</f>
        <v>38192.786399546254</v>
      </c>
      <c r="X37" s="484">
        <f>'P&amp;L consol'!BO39</f>
        <v>46444.496913940922</v>
      </c>
      <c r="Y37" s="485">
        <f>'P&amp;L consol'!BP39</f>
        <v>53476.570101512647</v>
      </c>
      <c r="Z37" s="486">
        <f t="shared" ref="Z37:Z38" si="11">(W37/T37-1)*100</f>
        <v>40.657779087022305</v>
      </c>
      <c r="AA37" s="486">
        <f t="shared" ref="AA37:AA38" si="12">(X37/U37-1)*100</f>
        <v>48.515031136156075</v>
      </c>
      <c r="AB37" s="486" t="e">
        <f t="shared" ref="AB37:AB38" si="13">(Y37/V37-1)*100</f>
        <v>#VALUE!</v>
      </c>
      <c r="AF37">
        <f>AF36/11.5</f>
        <v>32608.695652173912</v>
      </c>
    </row>
    <row r="38" spans="2:32" ht="15" thickBot="1">
      <c r="I38" s="1031"/>
      <c r="S38" s="483" t="s">
        <v>74</v>
      </c>
      <c r="T38" s="484">
        <v>25512.265278029063</v>
      </c>
      <c r="U38" s="484">
        <v>29922.156218161275</v>
      </c>
      <c r="V38" s="485" t="s">
        <v>66</v>
      </c>
      <c r="W38" s="484">
        <f>'P&amp;L consol'!BN51</f>
        <v>33811.756399546255</v>
      </c>
      <c r="X38" s="484">
        <f>'P&amp;L consol'!BO51</f>
        <v>42067.493713940923</v>
      </c>
      <c r="Y38" s="485">
        <f>'P&amp;L consol'!BP51</f>
        <v>49109.132211912649</v>
      </c>
      <c r="Z38" s="486">
        <f t="shared" si="11"/>
        <v>32.531376696935801</v>
      </c>
      <c r="AA38" s="486">
        <f t="shared" si="12"/>
        <v>40.589780386241102</v>
      </c>
      <c r="AB38" s="486" t="e">
        <f t="shared" si="13"/>
        <v>#VALUE!</v>
      </c>
    </row>
    <row r="39" spans="2:32" ht="15" thickBot="1">
      <c r="B39" s="578" t="s">
        <v>75</v>
      </c>
      <c r="C39" s="1013" t="s">
        <v>76</v>
      </c>
      <c r="D39" s="1013" t="s">
        <v>77</v>
      </c>
      <c r="E39" s="1013" t="s">
        <v>78</v>
      </c>
      <c r="S39" s="479" t="s">
        <v>79</v>
      </c>
      <c r="T39" s="480">
        <v>19142.593654508793</v>
      </c>
      <c r="U39" s="480">
        <v>22490.20261988596</v>
      </c>
      <c r="V39" s="481" t="s">
        <v>66</v>
      </c>
      <c r="W39" s="480">
        <f t="shared" ref="W39:Y40" si="14">O15</f>
        <v>24981.541089296526</v>
      </c>
      <c r="X39" s="480">
        <f t="shared" si="14"/>
        <v>31062.027725218399</v>
      </c>
      <c r="Y39" s="481">
        <f t="shared" si="14"/>
        <v>36183.18815100161</v>
      </c>
      <c r="Z39" s="482">
        <f t="shared" si="10"/>
        <v>30.502384056052101</v>
      </c>
      <c r="AA39" s="482">
        <f t="shared" si="9"/>
        <v>38.113596618970355</v>
      </c>
      <c r="AB39" s="482" t="e">
        <f t="shared" si="9"/>
        <v>#VALUE!</v>
      </c>
    </row>
    <row r="40" spans="2:32" ht="15" thickBot="1">
      <c r="B40" s="579" t="s">
        <v>80</v>
      </c>
      <c r="C40" s="580" t="s">
        <v>66</v>
      </c>
      <c r="D40" s="580" t="s">
        <v>66</v>
      </c>
      <c r="E40" s="581" t="s">
        <v>66</v>
      </c>
      <c r="S40" s="487" t="s">
        <v>81</v>
      </c>
      <c r="T40" s="488">
        <v>54.410800851016575</v>
      </c>
      <c r="U40" s="488">
        <v>63.926025800657214</v>
      </c>
      <c r="V40" s="489" t="s">
        <v>66</v>
      </c>
      <c r="W40" s="488">
        <f t="shared" si="14"/>
        <v>56.034926105302205</v>
      </c>
      <c r="X40" s="488">
        <f t="shared" si="14"/>
        <v>69.673781214771125</v>
      </c>
      <c r="Y40" s="489">
        <f t="shared" si="14"/>
        <v>81.160816582461521</v>
      </c>
      <c r="Z40" s="488">
        <f t="shared" si="10"/>
        <v>2.9849317210615567</v>
      </c>
      <c r="AA40" s="488">
        <f t="shared" si="9"/>
        <v>8.991260354643881</v>
      </c>
      <c r="AB40" s="488" t="e">
        <f>(Y40/V40-1)*100</f>
        <v>#VALUE!</v>
      </c>
    </row>
    <row r="41" spans="2:32" ht="15" thickBot="1">
      <c r="B41" s="582" t="s">
        <v>82</v>
      </c>
      <c r="C41" s="580"/>
      <c r="D41" s="580"/>
      <c r="E41" s="581"/>
    </row>
    <row r="42" spans="2:32" ht="15" thickBot="1">
      <c r="B42" s="579" t="s">
        <v>83</v>
      </c>
      <c r="C42" s="1028">
        <v>23.32</v>
      </c>
      <c r="D42" s="1028">
        <v>34.53</v>
      </c>
      <c r="E42" s="1029">
        <v>34.090000000000003</v>
      </c>
    </row>
    <row r="43" spans="2:32" ht="15" thickBot="1">
      <c r="B43" s="579" t="s">
        <v>84</v>
      </c>
      <c r="C43" s="1028">
        <v>44.42</v>
      </c>
      <c r="D43" s="1028">
        <v>53.67</v>
      </c>
      <c r="E43" s="1029">
        <v>54.87</v>
      </c>
      <c r="T43" s="590">
        <f>T36/T35*100</f>
        <v>17.803528253520188</v>
      </c>
      <c r="U43" s="590">
        <f>U36/U35*100</f>
        <v>17.771074880976546</v>
      </c>
      <c r="V43" s="590" t="e">
        <f t="shared" ref="V43" si="15">V36/V35*100</f>
        <v>#VALUE!</v>
      </c>
      <c r="W43" s="267">
        <f t="shared" ref="W43:X43" si="16">W36/W35</f>
        <v>0.20594592717656912</v>
      </c>
      <c r="X43" s="267">
        <f t="shared" si="16"/>
        <v>0.20299864143917085</v>
      </c>
      <c r="Y43" s="267">
        <f>Y36/Y35</f>
        <v>0.19628625595908952</v>
      </c>
    </row>
    <row r="44" spans="2:32" ht="15" thickBot="1">
      <c r="B44" s="579" t="s">
        <v>85</v>
      </c>
      <c r="C44" s="1028">
        <f>100-C43-C42</f>
        <v>32.26</v>
      </c>
      <c r="D44" s="1028">
        <f t="shared" ref="D44:E44" si="17">100-D43-D42</f>
        <v>11.799999999999997</v>
      </c>
      <c r="E44" s="1029">
        <f t="shared" si="17"/>
        <v>11.04</v>
      </c>
      <c r="T44" s="267">
        <f>T37/T35</f>
        <v>0.13703528253520186</v>
      </c>
      <c r="U44" s="267">
        <f t="shared" ref="U44:Y44" si="18">U37/U35</f>
        <v>0.13771074880976547</v>
      </c>
      <c r="V44" s="267" t="e">
        <f t="shared" si="18"/>
        <v>#VALUE!</v>
      </c>
      <c r="W44" s="267">
        <f t="shared" si="18"/>
        <v>0.15405916683965146</v>
      </c>
      <c r="X44" s="267">
        <f t="shared" si="18"/>
        <v>0.154789418698246</v>
      </c>
      <c r="Y44" s="267">
        <f t="shared" si="18"/>
        <v>0.1509717107374586</v>
      </c>
      <c r="Z44" s="518">
        <f>(W44-T44)*10000</f>
        <v>170.23884304449592</v>
      </c>
      <c r="AA44" s="518">
        <f>(X44-U44)*10000</f>
        <v>170.7866988848053</v>
      </c>
      <c r="AB44" s="518" t="e">
        <f>(Y44-V44)*10000</f>
        <v>#VALUE!</v>
      </c>
    </row>
    <row r="45" spans="2:32">
      <c r="R45">
        <v>6277</v>
      </c>
      <c r="T45">
        <f>$S$45/T40</f>
        <v>0</v>
      </c>
      <c r="U45" s="353">
        <f>$R$45/U40</f>
        <v>98.191619475513633</v>
      </c>
      <c r="V45" s="353" t="e">
        <f>$R$45/V40</f>
        <v>#VALUE!</v>
      </c>
    </row>
    <row r="47" spans="2:32">
      <c r="T47" s="355">
        <f>W37/W35</f>
        <v>0.15405916683965146</v>
      </c>
      <c r="U47" s="355">
        <f t="shared" ref="U47:V47" si="19">X37/X35</f>
        <v>0.154789418698246</v>
      </c>
      <c r="V47" s="355">
        <f t="shared" si="19"/>
        <v>0.1509717107374586</v>
      </c>
      <c r="W47" s="355"/>
    </row>
  </sheetData>
  <mergeCells count="3">
    <mergeCell ref="T32:V32"/>
    <mergeCell ref="W32:Y32"/>
    <mergeCell ref="Z32:AB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8939A-B4C3-46B5-88B0-59AB54CCB66A}">
  <dimension ref="A1:J17"/>
  <sheetViews>
    <sheetView topLeftCell="A12" workbookViewId="0">
      <selection activeCell="I28" sqref="I28"/>
    </sheetView>
  </sheetViews>
  <sheetFormatPr defaultRowHeight="14.45"/>
  <cols>
    <col min="1" max="1" width="25.85546875" customWidth="1"/>
    <col min="2" max="3" width="11.42578125" bestFit="1" customWidth="1"/>
    <col min="5" max="5" width="21.85546875" customWidth="1"/>
    <col min="6" max="6" width="14.5703125" customWidth="1"/>
    <col min="10" max="10" width="15.5703125" customWidth="1"/>
  </cols>
  <sheetData>
    <row r="1" spans="1:10">
      <c r="A1" s="270" t="s">
        <v>86</v>
      </c>
      <c r="B1" s="1089">
        <v>0.125</v>
      </c>
    </row>
    <row r="2" spans="1:10">
      <c r="A2" s="270" t="s">
        <v>87</v>
      </c>
      <c r="B2" s="1090">
        <v>87.71</v>
      </c>
    </row>
    <row r="3" spans="1:10">
      <c r="A3" s="270" t="s">
        <v>12</v>
      </c>
      <c r="B3" s="1090">
        <v>1491</v>
      </c>
    </row>
    <row r="4" spans="1:10">
      <c r="A4" s="270" t="s">
        <v>88</v>
      </c>
      <c r="B4" s="494">
        <v>0.15</v>
      </c>
      <c r="D4" s="1103" t="s">
        <v>89</v>
      </c>
      <c r="E4" s="1103"/>
      <c r="F4" s="1103"/>
      <c r="G4" s="1103"/>
      <c r="H4" s="1103"/>
      <c r="I4" s="1103"/>
    </row>
    <row r="6" spans="1:10" ht="29.1">
      <c r="A6" s="1079" t="s">
        <v>90</v>
      </c>
      <c r="B6" s="1079" t="s">
        <v>91</v>
      </c>
      <c r="C6" s="1079" t="s">
        <v>92</v>
      </c>
      <c r="D6" s="1079" t="s">
        <v>36</v>
      </c>
      <c r="E6" s="1079" t="s">
        <v>93</v>
      </c>
      <c r="F6" s="1079" t="s">
        <v>94</v>
      </c>
    </row>
    <row r="7" spans="1:10">
      <c r="A7" s="1083">
        <f>A9/1.125</f>
        <v>18.962962962962962</v>
      </c>
      <c r="B7" s="1081">
        <f>A7/15</f>
        <v>1.2641975308641975</v>
      </c>
      <c r="C7" s="1082">
        <f>A7*$B$2</f>
        <v>1663.2414814814813</v>
      </c>
      <c r="D7" s="1084">
        <f>C7/$B$3-1</f>
        <v>0.11552077899495727</v>
      </c>
      <c r="E7" s="1081">
        <f>C7/(1+$B$1)</f>
        <v>1478.4368724279834</v>
      </c>
      <c r="F7" s="1084">
        <f>E7/$B$3-1</f>
        <v>-8.4259742267046578E-3</v>
      </c>
    </row>
    <row r="8" spans="1:10">
      <c r="A8" s="1080">
        <v>20</v>
      </c>
      <c r="B8" s="1081">
        <f t="shared" ref="B8:B11" si="0">A8/15</f>
        <v>1.3333333333333333</v>
      </c>
      <c r="C8" s="1082">
        <f t="shared" ref="C8:C11" si="1">A8*$B$2</f>
        <v>1754.1999999999998</v>
      </c>
      <c r="D8" s="1084">
        <f t="shared" ref="D8:D11" si="2">C8/$B$3-1</f>
        <v>0.17652582159624397</v>
      </c>
      <c r="E8" s="1081">
        <f t="shared" ref="E8:E11" si="3">C8/(1+$B$1)</f>
        <v>1559.2888888888888</v>
      </c>
      <c r="F8" s="1084">
        <f t="shared" ref="F8:F11" si="4">E8/$B$3-1</f>
        <v>4.5800730307772541E-2</v>
      </c>
    </row>
    <row r="9" spans="1:10">
      <c r="A9" s="1085">
        <f>A11/1.125</f>
        <v>21.333333333333332</v>
      </c>
      <c r="B9" s="1086">
        <f t="shared" si="0"/>
        <v>1.4222222222222221</v>
      </c>
      <c r="C9" s="1087">
        <f t="shared" si="1"/>
        <v>1871.1466666666665</v>
      </c>
      <c r="D9" s="1088">
        <f t="shared" si="2"/>
        <v>0.25496087636932696</v>
      </c>
      <c r="E9" s="1086">
        <f t="shared" si="3"/>
        <v>1663.2414814814813</v>
      </c>
      <c r="F9" s="1088">
        <f t="shared" si="4"/>
        <v>0.11552077899495727</v>
      </c>
      <c r="H9" s="1104" t="s">
        <v>95</v>
      </c>
      <c r="I9" s="1104"/>
      <c r="J9" s="1104"/>
    </row>
    <row r="10" spans="1:10">
      <c r="A10" s="1080">
        <v>22</v>
      </c>
      <c r="B10" s="1081">
        <f t="shared" si="0"/>
        <v>1.4666666666666666</v>
      </c>
      <c r="C10" s="1082">
        <f t="shared" si="1"/>
        <v>1929.62</v>
      </c>
      <c r="D10" s="1084">
        <f t="shared" si="2"/>
        <v>0.29417840375586857</v>
      </c>
      <c r="E10" s="1081">
        <f t="shared" si="3"/>
        <v>1715.2177777777777</v>
      </c>
      <c r="F10" s="1084">
        <f t="shared" si="4"/>
        <v>0.15038080333854964</v>
      </c>
    </row>
    <row r="11" spans="1:10">
      <c r="A11" s="1080">
        <v>24</v>
      </c>
      <c r="B11" s="1081">
        <f t="shared" si="0"/>
        <v>1.6</v>
      </c>
      <c r="C11" s="1082">
        <f t="shared" si="1"/>
        <v>2105.04</v>
      </c>
      <c r="D11" s="1084">
        <f t="shared" si="2"/>
        <v>0.41183098591549294</v>
      </c>
      <c r="E11" s="1081">
        <f t="shared" si="3"/>
        <v>1871.1466666666665</v>
      </c>
      <c r="F11" s="1084">
        <f t="shared" si="4"/>
        <v>0.25496087636932696</v>
      </c>
    </row>
    <row r="14" spans="1:10">
      <c r="A14" s="270" t="s">
        <v>96</v>
      </c>
      <c r="B14" s="1090">
        <f>Valuation!Q16</f>
        <v>81.160816582461521</v>
      </c>
    </row>
    <row r="15" spans="1:10">
      <c r="A15" s="270" t="s">
        <v>97</v>
      </c>
      <c r="B15" s="270">
        <f>24</f>
        <v>24</v>
      </c>
    </row>
    <row r="16" spans="1:10">
      <c r="A16" s="270" t="s">
        <v>98</v>
      </c>
      <c r="B16" s="1091">
        <f>B15/1.125</f>
        <v>21.333333333333332</v>
      </c>
    </row>
    <row r="17" spans="1:2">
      <c r="A17" s="270" t="s">
        <v>99</v>
      </c>
      <c r="B17" s="1090">
        <f>B14*B16</f>
        <v>1731.430753759179</v>
      </c>
    </row>
  </sheetData>
  <mergeCells count="2">
    <mergeCell ref="D4:I4"/>
    <mergeCell ref="H9:J9"/>
  </mergeCells>
  <pageMargins left="0.7" right="0.7" top="0.75" bottom="0.75" header="0.3" footer="0.3"/>
  <ignoredErrors>
    <ignoredError sqref="E7:E11" 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T245"/>
  <sheetViews>
    <sheetView showGridLines="0" tabSelected="1" zoomScale="83" zoomScaleNormal="100" workbookViewId="0">
      <pane xSplit="2" ySplit="2" topLeftCell="BG3" activePane="bottomRight" state="frozen"/>
      <selection pane="bottomRight" activeCell="BL82" sqref="BL82"/>
      <selection pane="bottomLeft" activeCell="J24" sqref="J24"/>
      <selection pane="topRight" activeCell="J24" sqref="J24"/>
    </sheetView>
  </sheetViews>
  <sheetFormatPr defaultColWidth="8.7109375" defaultRowHeight="14.45" outlineLevelCol="1"/>
  <cols>
    <col min="1" max="1" width="5" style="4" customWidth="1"/>
    <col min="2" max="2" width="28.5703125" style="4" customWidth="1"/>
    <col min="3" max="7" width="9.5703125" style="4" hidden="1" customWidth="1" outlineLevel="1"/>
    <col min="8" max="8" width="9.5703125" style="243" hidden="1" customWidth="1" outlineLevel="1"/>
    <col min="9" max="9" width="9.5703125" style="243" customWidth="1" collapsed="1"/>
    <col min="10" max="12" width="9.5703125" style="243" hidden="1" customWidth="1" outlineLevel="1"/>
    <col min="13" max="13" width="9.5703125" style="243" customWidth="1" collapsed="1"/>
    <col min="14" max="16" width="9.5703125" style="243" hidden="1" customWidth="1" outlineLevel="1"/>
    <col min="17" max="17" width="9.5703125" style="243" customWidth="1" collapsed="1"/>
    <col min="18" max="20" width="9.5703125" style="243" hidden="1" customWidth="1" outlineLevel="1"/>
    <col min="21" max="21" width="9.5703125" style="243" customWidth="1" collapsed="1"/>
    <col min="22" max="24" width="9.5703125" style="243" hidden="1" customWidth="1" outlineLevel="1"/>
    <col min="25" max="25" width="9.5703125" style="243" customWidth="1" collapsed="1"/>
    <col min="26" max="28" width="9.5703125" style="243" hidden="1" customWidth="1" outlineLevel="1"/>
    <col min="29" max="29" width="9.5703125" style="243" customWidth="1" collapsed="1"/>
    <col min="30" max="32" width="9.5703125" style="243" hidden="1" customWidth="1" outlineLevel="1"/>
    <col min="33" max="33" width="9.5703125" style="243" customWidth="1" collapsed="1"/>
    <col min="34" max="37" width="9.5703125" style="243" customWidth="1" outlineLevel="1"/>
    <col min="38" max="38" width="9.5703125" style="680" customWidth="1" outlineLevel="1"/>
    <col min="39" max="41" width="9.5703125" style="679" customWidth="1" outlineLevel="1"/>
    <col min="42" max="44" width="9.5703125" style="243" customWidth="1" outlineLevel="1"/>
    <col min="45" max="45" width="9.5703125" style="243" customWidth="1"/>
    <col min="46" max="48" width="9.5703125" style="243" hidden="1" customWidth="1" outlineLevel="1"/>
    <col min="49" max="49" width="9.5703125" style="243" customWidth="1" collapsed="1"/>
    <col min="50" max="52" width="9.5703125" style="243" hidden="1" customWidth="1" outlineLevel="1"/>
    <col min="53" max="53" width="9.5703125" style="243" customWidth="1" collapsed="1"/>
    <col min="54" max="57" width="9.5703125" style="243" hidden="1" customWidth="1" outlineLevel="1"/>
    <col min="58" max="59" width="9.140625" style="243" customWidth="1" collapsed="1"/>
    <col min="60" max="61" width="11.42578125" style="243" customWidth="1" collapsed="1"/>
    <col min="62" max="62" width="9.140625" style="243" customWidth="1" collapsed="1"/>
    <col min="63" max="63" width="11" style="243" customWidth="1" collapsed="1"/>
    <col min="64" max="64" width="11.85546875" style="243" customWidth="1" collapsed="1"/>
    <col min="65" max="65" width="11" style="243" customWidth="1" collapsed="1"/>
    <col min="66" max="66" width="10.85546875" style="243" customWidth="1" outlineLevel="1"/>
    <col min="67" max="67" width="12.7109375" style="243" customWidth="1" outlineLevel="1"/>
    <col min="68" max="68" width="13.7109375" style="243" customWidth="1" outlineLevel="1"/>
    <col min="69" max="69" width="10.42578125" style="266" bestFit="1" customWidth="1"/>
    <col min="70" max="70" width="9.42578125" style="266" bestFit="1" customWidth="1"/>
    <col min="71" max="71" width="8.85546875" style="266" bestFit="1" customWidth="1"/>
    <col min="72" max="72" width="9.42578125" style="266" bestFit="1" customWidth="1"/>
    <col min="73" max="16384" width="8.7109375" style="266"/>
  </cols>
  <sheetData>
    <row r="1" spans="1:72" customFormat="1">
      <c r="A1" s="4"/>
      <c r="B1" s="1"/>
      <c r="C1" s="1110"/>
      <c r="D1" s="1"/>
      <c r="E1" s="1"/>
      <c r="F1" s="1110"/>
      <c r="G1" s="1"/>
      <c r="H1" s="1"/>
      <c r="I1" s="1111"/>
      <c r="J1" s="556"/>
      <c r="K1" s="2"/>
      <c r="L1" s="2"/>
      <c r="M1" s="2"/>
      <c r="N1" s="556"/>
      <c r="O1" s="2"/>
      <c r="P1" s="2"/>
      <c r="Q1" s="2"/>
      <c r="R1" s="556"/>
      <c r="S1" s="2"/>
      <c r="T1" s="2"/>
      <c r="U1" s="2"/>
      <c r="V1" s="556"/>
      <c r="W1" s="2"/>
      <c r="X1" s="2"/>
      <c r="Y1" s="2"/>
      <c r="Z1" s="556"/>
      <c r="AA1" s="2"/>
      <c r="AB1" s="2"/>
      <c r="AC1" s="1112"/>
      <c r="AD1" s="556"/>
      <c r="AE1" s="2"/>
      <c r="AF1" s="2"/>
      <c r="AG1" s="1112"/>
      <c r="AH1" s="556"/>
      <c r="AI1" s="2"/>
      <c r="AJ1" s="2"/>
      <c r="AK1" s="2"/>
      <c r="AL1" s="556"/>
      <c r="AM1" s="2"/>
      <c r="AN1" s="2"/>
      <c r="AO1" s="2"/>
      <c r="AP1" s="556" t="s">
        <v>100</v>
      </c>
      <c r="AQ1" s="2" t="s">
        <v>100</v>
      </c>
      <c r="AR1" s="2" t="s">
        <v>100</v>
      </c>
      <c r="AS1" s="1112" t="s">
        <v>100</v>
      </c>
      <c r="AT1" s="556" t="s">
        <v>100</v>
      </c>
      <c r="AU1" s="2" t="s">
        <v>100</v>
      </c>
      <c r="AV1" s="2" t="s">
        <v>100</v>
      </c>
      <c r="AW1" s="1112" t="s">
        <v>100</v>
      </c>
      <c r="AX1" s="556" t="s">
        <v>100</v>
      </c>
      <c r="AY1" s="2" t="s">
        <v>100</v>
      </c>
      <c r="AZ1" s="2" t="s">
        <v>100</v>
      </c>
      <c r="BA1" s="1112" t="s">
        <v>100</v>
      </c>
      <c r="BB1" s="2"/>
      <c r="BC1" s="2"/>
      <c r="BD1" s="2"/>
      <c r="BE1" s="2" t="s">
        <v>101</v>
      </c>
      <c r="BF1" s="2" t="s">
        <v>101</v>
      </c>
      <c r="BG1" s="2" t="s">
        <v>101</v>
      </c>
      <c r="BH1" s="2" t="s">
        <v>101</v>
      </c>
      <c r="BI1" s="2" t="s">
        <v>101</v>
      </c>
      <c r="BJ1" s="2" t="s">
        <v>101</v>
      </c>
      <c r="BK1" s="2" t="s">
        <v>101</v>
      </c>
      <c r="BL1" s="2" t="s">
        <v>101</v>
      </c>
      <c r="BM1" s="2" t="s">
        <v>101</v>
      </c>
      <c r="BN1" s="2" t="s">
        <v>100</v>
      </c>
      <c r="BO1" s="2" t="s">
        <v>100</v>
      </c>
      <c r="BP1" s="2" t="s">
        <v>100</v>
      </c>
    </row>
    <row r="2" spans="1:72" customFormat="1">
      <c r="A2" s="24">
        <f>ROWS($A$2:A2)</f>
        <v>1</v>
      </c>
      <c r="B2" s="3" t="s">
        <v>102</v>
      </c>
      <c r="C2" s="556" t="s">
        <v>103</v>
      </c>
      <c r="D2" s="2" t="s">
        <v>104</v>
      </c>
      <c r="E2" s="2" t="s">
        <v>105</v>
      </c>
      <c r="F2" s="556" t="s">
        <v>106</v>
      </c>
      <c r="G2" s="2" t="s">
        <v>107</v>
      </c>
      <c r="H2" s="2" t="s">
        <v>108</v>
      </c>
      <c r="I2" s="1112" t="s">
        <v>109</v>
      </c>
      <c r="J2" s="556" t="s">
        <v>110</v>
      </c>
      <c r="K2" s="2" t="s">
        <v>111</v>
      </c>
      <c r="L2" s="2" t="s">
        <v>112</v>
      </c>
      <c r="M2" s="2" t="s">
        <v>113</v>
      </c>
      <c r="N2" s="556" t="s">
        <v>114</v>
      </c>
      <c r="O2" s="2" t="s">
        <v>115</v>
      </c>
      <c r="P2" s="2" t="s">
        <v>116</v>
      </c>
      <c r="Q2" s="2" t="s">
        <v>117</v>
      </c>
      <c r="R2" s="556" t="s">
        <v>118</v>
      </c>
      <c r="S2" s="2" t="s">
        <v>119</v>
      </c>
      <c r="T2" s="2" t="s">
        <v>120</v>
      </c>
      <c r="U2" s="2" t="s">
        <v>121</v>
      </c>
      <c r="V2" s="556" t="s">
        <v>122</v>
      </c>
      <c r="W2" s="2" t="s">
        <v>123</v>
      </c>
      <c r="X2" s="2" t="s">
        <v>124</v>
      </c>
      <c r="Y2" s="2" t="s">
        <v>125</v>
      </c>
      <c r="Z2" s="556" t="s">
        <v>126</v>
      </c>
      <c r="AA2" s="2" t="s">
        <v>127</v>
      </c>
      <c r="AB2" s="2" t="s">
        <v>128</v>
      </c>
      <c r="AC2" s="1112" t="s">
        <v>129</v>
      </c>
      <c r="AD2" s="556" t="s">
        <v>130</v>
      </c>
      <c r="AE2" s="2" t="s">
        <v>131</v>
      </c>
      <c r="AF2" s="2" t="s">
        <v>132</v>
      </c>
      <c r="AG2" s="1112" t="s">
        <v>133</v>
      </c>
      <c r="AH2" s="556" t="s">
        <v>134</v>
      </c>
      <c r="AI2" s="2" t="s">
        <v>135</v>
      </c>
      <c r="AJ2" s="2" t="s">
        <v>136</v>
      </c>
      <c r="AK2" s="2" t="s">
        <v>137</v>
      </c>
      <c r="AL2" s="556" t="s">
        <v>138</v>
      </c>
      <c r="AM2" s="2" t="s">
        <v>139</v>
      </c>
      <c r="AN2" s="2" t="s">
        <v>140</v>
      </c>
      <c r="AO2" s="2" t="s">
        <v>141</v>
      </c>
      <c r="AP2" s="1113" t="s">
        <v>142</v>
      </c>
      <c r="AQ2" s="108" t="s">
        <v>143</v>
      </c>
      <c r="AR2" s="108" t="s">
        <v>144</v>
      </c>
      <c r="AS2" s="1114" t="s">
        <v>145</v>
      </c>
      <c r="AT2" s="1113" t="s">
        <v>146</v>
      </c>
      <c r="AU2" s="108" t="s">
        <v>147</v>
      </c>
      <c r="AV2" s="108" t="s">
        <v>148</v>
      </c>
      <c r="AW2" s="1114" t="s">
        <v>149</v>
      </c>
      <c r="AX2" s="1113" t="s">
        <v>150</v>
      </c>
      <c r="AY2" s="108" t="s">
        <v>151</v>
      </c>
      <c r="AZ2" s="108" t="s">
        <v>152</v>
      </c>
      <c r="BA2" s="1114" t="s">
        <v>153</v>
      </c>
      <c r="BB2" s="2"/>
      <c r="BC2" s="2"/>
      <c r="BD2" s="2"/>
      <c r="BE2" s="2" t="s">
        <v>154</v>
      </c>
      <c r="BF2" s="2" t="s">
        <v>16</v>
      </c>
      <c r="BG2" s="2" t="s">
        <v>17</v>
      </c>
      <c r="BH2" s="2" t="s">
        <v>18</v>
      </c>
      <c r="BI2" s="2" t="s">
        <v>19</v>
      </c>
      <c r="BJ2" s="2" t="s">
        <v>20</v>
      </c>
      <c r="BK2" s="2" t="s">
        <v>21</v>
      </c>
      <c r="BL2" s="2" t="s">
        <v>22</v>
      </c>
      <c r="BM2" s="2" t="s">
        <v>35</v>
      </c>
      <c r="BN2" s="2" t="s">
        <v>155</v>
      </c>
      <c r="BO2" s="2" t="s">
        <v>156</v>
      </c>
      <c r="BP2" s="2" t="s">
        <v>157</v>
      </c>
    </row>
    <row r="3" spans="1:72" customFormat="1">
      <c r="A3" s="24">
        <f>ROWS($A$2:A3)</f>
        <v>2</v>
      </c>
      <c r="B3" s="4"/>
      <c r="C3" s="281"/>
      <c r="D3" s="4"/>
      <c r="E3" s="25"/>
      <c r="F3" s="281"/>
      <c r="G3" s="4"/>
      <c r="H3" s="25"/>
      <c r="I3" s="1115"/>
      <c r="J3" s="1116">
        <v>-2.5355659410936937</v>
      </c>
      <c r="K3" s="371">
        <f>K5-J5</f>
        <v>5.1554840629643905</v>
      </c>
      <c r="L3" s="371"/>
      <c r="M3" s="371"/>
      <c r="N3" s="1116"/>
      <c r="O3" s="371"/>
      <c r="P3" s="371"/>
      <c r="Q3" s="371"/>
      <c r="R3" s="26"/>
      <c r="S3" s="26"/>
      <c r="T3" s="26"/>
      <c r="U3" s="1117"/>
      <c r="V3" s="26"/>
      <c r="W3" s="26"/>
      <c r="X3" s="26">
        <f>X5+W5+V5+U5</f>
        <v>806.19999999999993</v>
      </c>
      <c r="Y3" s="26"/>
      <c r="Z3" s="374"/>
      <c r="AA3" s="26"/>
      <c r="AB3" s="26">
        <f>AB5+AA5+Z5+Y5</f>
        <v>969.69999999999993</v>
      </c>
      <c r="AC3" s="26"/>
      <c r="AD3" s="374"/>
      <c r="AE3" s="26"/>
      <c r="AF3" s="26">
        <f>AF5+AE5+AD5+AC5</f>
        <v>1096.3000000000002</v>
      </c>
      <c r="AG3" s="26"/>
      <c r="AH3" s="374"/>
      <c r="AI3" s="26"/>
      <c r="AJ3" s="26">
        <f t="shared" ref="AJ3:AO3" si="0">AJ5+AI5+AH5+AG5</f>
        <v>1322.9</v>
      </c>
      <c r="AK3" s="26">
        <f t="shared" si="0"/>
        <v>1445.5</v>
      </c>
      <c r="AL3" s="374">
        <f t="shared" si="0"/>
        <v>1601.5</v>
      </c>
      <c r="AM3" s="26">
        <f t="shared" si="0"/>
        <v>1698.5</v>
      </c>
      <c r="AN3" s="26">
        <f t="shared" si="0"/>
        <v>1788.9</v>
      </c>
      <c r="AO3" s="26">
        <f t="shared" si="0"/>
        <v>1874.5</v>
      </c>
      <c r="AP3" s="281"/>
      <c r="AQ3" s="4"/>
      <c r="AR3" s="4"/>
      <c r="AS3" s="1118">
        <f>AS5*4</f>
        <v>2861.5915776939</v>
      </c>
      <c r="AT3" s="281"/>
      <c r="AU3" s="4"/>
      <c r="AV3" s="4"/>
      <c r="AW3" s="1115">
        <f>AW5*4</f>
        <v>3276.4190949380577</v>
      </c>
      <c r="AX3" s="281"/>
      <c r="AY3" s="4"/>
      <c r="AZ3" s="4"/>
      <c r="BA3" s="1115">
        <f>BA5*4</f>
        <v>3837.228576943352</v>
      </c>
      <c r="BB3" s="26"/>
      <c r="BC3" s="26"/>
      <c r="BD3" s="26"/>
      <c r="BE3" s="4"/>
      <c r="BF3" s="4"/>
      <c r="BG3" s="19"/>
      <c r="BH3" s="19"/>
      <c r="BI3" s="19"/>
      <c r="BJ3" s="19"/>
      <c r="BK3" s="19"/>
      <c r="BL3" s="19"/>
      <c r="BM3" s="19"/>
      <c r="BN3" s="4"/>
      <c r="BO3" s="4"/>
      <c r="BP3" s="4"/>
    </row>
    <row r="4" spans="1:72" s="766" customFormat="1">
      <c r="A4" s="770">
        <f>ROWS($A$2:A4)</f>
        <v>3</v>
      </c>
      <c r="B4" s="65" t="s">
        <v>158</v>
      </c>
      <c r="C4" s="771"/>
      <c r="D4" s="772"/>
      <c r="E4" s="772"/>
      <c r="F4" s="771">
        <v>64.41</v>
      </c>
      <c r="G4" s="772" t="e">
        <f>'Operating Metrics'!#REF!</f>
        <v>#REF!</v>
      </c>
      <c r="H4" s="772" t="e">
        <f>'Operating Metrics'!#REF!</f>
        <v>#REF!</v>
      </c>
      <c r="I4" s="772" t="e">
        <f>'Operating Metrics'!#REF!</f>
        <v>#REF!</v>
      </c>
      <c r="J4" s="771">
        <v>67.52</v>
      </c>
      <c r="K4" s="772">
        <f>'Operating Metrics'!C270</f>
        <v>70.510000000000005</v>
      </c>
      <c r="L4" s="772">
        <f>'Operating Metrics'!D270</f>
        <v>71.66</v>
      </c>
      <c r="M4" s="772">
        <f>'Operating Metrics'!E270</f>
        <v>69.28</v>
      </c>
      <c r="N4" s="771">
        <f>'Operating Metrics'!F270</f>
        <v>68.5</v>
      </c>
      <c r="O4" s="772">
        <f>'Operating Metrics'!G270</f>
        <v>70.66</v>
      </c>
      <c r="P4" s="772">
        <f>'Operating Metrics'!H270</f>
        <v>70.97</v>
      </c>
      <c r="Q4" s="773">
        <f>'Operating Metrics'!I270</f>
        <v>71.66</v>
      </c>
      <c r="R4" s="771">
        <f t="shared" ref="R4:AH4" si="1">R12/R5</f>
        <v>75.553967119370981</v>
      </c>
      <c r="S4" s="772">
        <f t="shared" si="1"/>
        <v>74.480309877340218</v>
      </c>
      <c r="T4" s="772">
        <f t="shared" si="1"/>
        <v>74.042288557213922</v>
      </c>
      <c r="U4" s="773">
        <f t="shared" si="1"/>
        <v>73.300406740267292</v>
      </c>
      <c r="V4" s="772">
        <f t="shared" si="1"/>
        <v>73.189784677015524</v>
      </c>
      <c r="W4" s="772">
        <f t="shared" si="1"/>
        <v>73.75</v>
      </c>
      <c r="X4" s="772">
        <f t="shared" si="1"/>
        <v>74.824007220216615</v>
      </c>
      <c r="Y4" s="772">
        <v>75.3</v>
      </c>
      <c r="Z4" s="771">
        <f t="shared" si="1"/>
        <v>76.640134059488901</v>
      </c>
      <c r="AA4" s="772">
        <f t="shared" si="1"/>
        <v>79.3600648035642</v>
      </c>
      <c r="AB4" s="772">
        <f t="shared" si="1"/>
        <v>81.676599125943582</v>
      </c>
      <c r="AC4" s="772">
        <f t="shared" si="1"/>
        <v>82.072617246596067</v>
      </c>
      <c r="AD4" s="771">
        <f t="shared" si="1"/>
        <v>81.714495952906546</v>
      </c>
      <c r="AE4" s="772">
        <f t="shared" si="1"/>
        <v>81.848256023013292</v>
      </c>
      <c r="AF4" s="772">
        <f t="shared" si="1"/>
        <v>82.386524822695037</v>
      </c>
      <c r="AG4" s="772">
        <f t="shared" si="1"/>
        <v>82.534709861160565</v>
      </c>
      <c r="AH4" s="771">
        <f t="shared" si="1"/>
        <v>82.300977653631293</v>
      </c>
      <c r="AI4" s="772">
        <f t="shared" ref="AI4:AJ4" si="2">AI12/AI5</f>
        <v>82.87044645302656</v>
      </c>
      <c r="AJ4" s="772">
        <f t="shared" si="2"/>
        <v>83.434058898847624</v>
      </c>
      <c r="AK4" s="772">
        <f t="shared" ref="AK4:AL4" si="3">AK12/AK5</f>
        <v>84.81288723667906</v>
      </c>
      <c r="AL4" s="771">
        <f t="shared" si="3"/>
        <v>83.377034358047027</v>
      </c>
      <c r="AM4" s="772">
        <f>AM12/AM5</f>
        <v>86.251893529539061</v>
      </c>
      <c r="AN4" s="772">
        <f>AN12/AN5</f>
        <v>87.991266375545862</v>
      </c>
      <c r="AO4" s="772">
        <f>AO12/AO5</f>
        <v>90.991617256184824</v>
      </c>
      <c r="AP4" s="776">
        <v>93.5</v>
      </c>
      <c r="AQ4" s="774">
        <v>93.5</v>
      </c>
      <c r="AR4" s="774">
        <v>93.5</v>
      </c>
      <c r="AS4" s="775">
        <v>93.5</v>
      </c>
      <c r="AT4" s="776">
        <v>95.5</v>
      </c>
      <c r="AU4" s="774">
        <v>95.5</v>
      </c>
      <c r="AV4" s="774">
        <v>95.5</v>
      </c>
      <c r="AW4" s="775">
        <v>95.5</v>
      </c>
      <c r="AX4" s="776">
        <v>97</v>
      </c>
      <c r="AY4" s="774">
        <v>97</v>
      </c>
      <c r="AZ4" s="774">
        <v>97</v>
      </c>
      <c r="BA4" s="775">
        <v>97</v>
      </c>
      <c r="BB4" s="772"/>
      <c r="BC4" s="772"/>
      <c r="BD4" s="772"/>
      <c r="BE4" s="777">
        <v>64.632500000000007</v>
      </c>
      <c r="BF4" s="777">
        <f>AVERAGE(J4:M4)</f>
        <v>69.742500000000007</v>
      </c>
      <c r="BG4" s="777">
        <f>AVERAGE(N4:Q4)</f>
        <v>70.447499999999991</v>
      </c>
      <c r="BH4" s="777">
        <f>AVERAGE(R4:U4)</f>
        <v>74.3442430735481</v>
      </c>
      <c r="BI4" s="777">
        <f>AVERAGE(V4:Y4)</f>
        <v>74.265947974308034</v>
      </c>
      <c r="BJ4" s="777">
        <f>AVERAGE(Z4:AC4)</f>
        <v>79.93735380889818</v>
      </c>
      <c r="BK4" s="777">
        <f>AVERAGE(AD4:AG4)</f>
        <v>82.12099666494386</v>
      </c>
      <c r="BL4" s="777">
        <f>AVERAGE(AH4:AK4)</f>
        <v>83.354592560546138</v>
      </c>
      <c r="BM4" s="777">
        <f>AVERAGE(AL4:AO4)</f>
        <v>87.152952879829201</v>
      </c>
      <c r="BN4" s="778">
        <f>AVERAGE(AP4:AS4)</f>
        <v>93.5</v>
      </c>
      <c r="BO4" s="778">
        <f>AVERAGE(AT4:AW4)</f>
        <v>95.5</v>
      </c>
      <c r="BP4" s="778">
        <f>AVERAGE(AX4:BA4)</f>
        <v>97</v>
      </c>
      <c r="BR4" s="779"/>
      <c r="BT4" s="938"/>
    </row>
    <row r="5" spans="1:72" s="768" customFormat="1">
      <c r="A5" s="780">
        <f>ROWS($A$2:A5)</f>
        <v>4</v>
      </c>
      <c r="B5" s="28" t="s">
        <v>159</v>
      </c>
      <c r="C5" s="29"/>
      <c r="D5" s="30"/>
      <c r="E5" s="30"/>
      <c r="F5" s="336">
        <v>110.06054960409875</v>
      </c>
      <c r="G5" s="337" t="e">
        <f t="shared" ref="G5:P5" si="4">G12/G4</f>
        <v>#REF!</v>
      </c>
      <c r="H5" s="664" t="e">
        <f t="shared" si="4"/>
        <v>#REF!</v>
      </c>
      <c r="I5" s="665" t="e">
        <f t="shared" si="4"/>
        <v>#REF!</v>
      </c>
      <c r="J5" s="666">
        <v>118.55746445497631</v>
      </c>
      <c r="K5" s="664">
        <f t="shared" si="4"/>
        <v>123.7129485179407</v>
      </c>
      <c r="L5" s="664">
        <f t="shared" si="4"/>
        <v>129.06782026234998</v>
      </c>
      <c r="M5" s="664">
        <f t="shared" si="4"/>
        <v>134.5121247113164</v>
      </c>
      <c r="N5" s="666">
        <f t="shared" si="4"/>
        <v>140.10218978102191</v>
      </c>
      <c r="O5" s="664">
        <f t="shared" si="4"/>
        <v>146.97141239739599</v>
      </c>
      <c r="P5" s="664">
        <f t="shared" si="4"/>
        <v>151.2470057770889</v>
      </c>
      <c r="Q5" s="665">
        <f>Q12/Q4</f>
        <v>154.80044655316775</v>
      </c>
      <c r="R5" s="667">
        <v>139.9</v>
      </c>
      <c r="S5" s="668">
        <v>154.9</v>
      </c>
      <c r="T5" s="668">
        <v>160.80000000000001</v>
      </c>
      <c r="U5" s="669">
        <v>172.1</v>
      </c>
      <c r="V5" s="667">
        <v>199.7</v>
      </c>
      <c r="W5" s="668">
        <v>212.8</v>
      </c>
      <c r="X5" s="668">
        <v>221.6</v>
      </c>
      <c r="Y5" s="669">
        <v>232.4</v>
      </c>
      <c r="Z5" s="667">
        <v>238.7</v>
      </c>
      <c r="AA5" s="668">
        <v>246.9</v>
      </c>
      <c r="AB5" s="668">
        <v>251.7</v>
      </c>
      <c r="AC5" s="668">
        <v>264.39999999999998</v>
      </c>
      <c r="AD5" s="667">
        <v>271.8</v>
      </c>
      <c r="AE5" s="668">
        <v>278.10000000000002</v>
      </c>
      <c r="AF5" s="668">
        <v>282</v>
      </c>
      <c r="AG5" s="670">
        <v>280.89999999999998</v>
      </c>
      <c r="AH5" s="667">
        <v>286.39999999999998</v>
      </c>
      <c r="AI5" s="668">
        <v>365.1</v>
      </c>
      <c r="AJ5" s="670">
        <v>390.5</v>
      </c>
      <c r="AK5" s="670">
        <v>403.5</v>
      </c>
      <c r="AL5" s="671">
        <v>442.4</v>
      </c>
      <c r="AM5" s="670">
        <v>462.1</v>
      </c>
      <c r="AN5" s="670">
        <v>480.9</v>
      </c>
      <c r="AO5" s="670">
        <v>489.1</v>
      </c>
      <c r="AP5" s="674">
        <f>'Revenue and Cost model'!AH56</f>
        <v>587.79847726959997</v>
      </c>
      <c r="AQ5" s="672">
        <f>'Revenue and Cost model'!AI56</f>
        <v>661.15922072576643</v>
      </c>
      <c r="AR5" s="672">
        <f>'Revenue and Cost model'!AJ56</f>
        <v>687.08675473329708</v>
      </c>
      <c r="AS5" s="673">
        <f>'Revenue and Cost model'!AK56</f>
        <v>715.39789442347501</v>
      </c>
      <c r="AT5" s="674">
        <f>'Revenue and Cost model'!AL56</f>
        <v>751.81100500410946</v>
      </c>
      <c r="AU5" s="672">
        <f>'Revenue and Cost model'!AM56</f>
        <v>773.8473514097625</v>
      </c>
      <c r="AV5" s="672">
        <f>'Revenue and Cost model'!AN56</f>
        <v>797.11707527610292</v>
      </c>
      <c r="AW5" s="673">
        <f>'Revenue and Cost model'!AO56</f>
        <v>819.10477373451442</v>
      </c>
      <c r="AX5" s="674">
        <f>'Revenue and Cost model'!AP56</f>
        <v>869.12452403178838</v>
      </c>
      <c r="AY5" s="672">
        <f>'Revenue and Cost model'!AQ56</f>
        <v>895.16418868865685</v>
      </c>
      <c r="AZ5" s="672">
        <f>'Revenue and Cost model'!AR56</f>
        <v>928.11374952801896</v>
      </c>
      <c r="BA5" s="673">
        <f>'Revenue and Cost model'!AS56</f>
        <v>959.307144235838</v>
      </c>
      <c r="BB5" s="668"/>
      <c r="BC5" s="668"/>
      <c r="BD5" s="668"/>
      <c r="BE5" s="664">
        <v>455</v>
      </c>
      <c r="BF5" s="664">
        <v>527</v>
      </c>
      <c r="BG5" s="664">
        <f>BH5/(1+6%)</f>
        <v>592.16981132075477</v>
      </c>
      <c r="BH5" s="664">
        <f>SUM(R5:U5)</f>
        <v>627.70000000000005</v>
      </c>
      <c r="BI5" s="664">
        <f>SUM(V5:Y5)</f>
        <v>866.5</v>
      </c>
      <c r="BJ5" s="664">
        <f>SUM(Z5:AC5)</f>
        <v>1001.6999999999999</v>
      </c>
      <c r="BK5" s="675">
        <v>1099.3</v>
      </c>
      <c r="BL5" s="675">
        <v>1448</v>
      </c>
      <c r="BM5" s="675">
        <f>1870+600</f>
        <v>2470</v>
      </c>
      <c r="BN5" s="676">
        <f>SUM(AP5:AS5)</f>
        <v>2651.4423471521386</v>
      </c>
      <c r="BO5" s="676">
        <f>SUM(AT5:AW5)</f>
        <v>3141.8802054244888</v>
      </c>
      <c r="BP5" s="676">
        <f>SUM(AX5:BA5)</f>
        <v>3651.7096064843026</v>
      </c>
      <c r="BQ5" s="768" t="s">
        <v>160</v>
      </c>
      <c r="BS5" s="937"/>
    </row>
    <row r="6" spans="1:72">
      <c r="A6" s="24">
        <f>ROWS($A$2:A6)</f>
        <v>5</v>
      </c>
      <c r="B6" s="4" t="s">
        <v>161</v>
      </c>
      <c r="C6" s="281"/>
      <c r="D6" s="34"/>
      <c r="E6" s="34"/>
      <c r="F6" s="838">
        <v>-4.1422418783155002E-2</v>
      </c>
      <c r="G6" s="837" t="e">
        <f t="shared" ref="G6" si="5">G5/F5-1</f>
        <v>#REF!</v>
      </c>
      <c r="H6" s="839" t="e">
        <f t="shared" ref="H6" si="6">H5/G5-1</f>
        <v>#REF!</v>
      </c>
      <c r="I6" s="1119" t="e">
        <f t="shared" ref="I6" si="7">I5/H5-1</f>
        <v>#REF!</v>
      </c>
      <c r="J6" s="840">
        <v>-2.0938991557155617E-2</v>
      </c>
      <c r="K6" s="839">
        <f t="shared" ref="K6:L6" si="8">K5/J5-1</f>
        <v>4.3485107299357395E-2</v>
      </c>
      <c r="L6" s="839">
        <f t="shared" si="8"/>
        <v>4.3284650544342274E-2</v>
      </c>
      <c r="M6" s="839">
        <f t="shared" ref="M6:AO6" si="9">M5/L5-1</f>
        <v>4.2181733896954565E-2</v>
      </c>
      <c r="N6" s="840">
        <f t="shared" si="9"/>
        <v>4.1558075762334612E-2</v>
      </c>
      <c r="O6" s="839">
        <f t="shared" si="9"/>
        <v>4.9030087446246151E-2</v>
      </c>
      <c r="P6" s="839">
        <f t="shared" si="9"/>
        <v>2.9091326741367496E-2</v>
      </c>
      <c r="Q6" s="1119">
        <f t="shared" si="9"/>
        <v>2.3494288417953646E-2</v>
      </c>
      <c r="R6" s="840">
        <f t="shared" si="9"/>
        <v>-9.6255837014333379E-2</v>
      </c>
      <c r="S6" s="839">
        <f t="shared" si="9"/>
        <v>0.10721944245889925</v>
      </c>
      <c r="T6" s="839">
        <f t="shared" si="9"/>
        <v>3.808908973531322E-2</v>
      </c>
      <c r="U6" s="1119">
        <f t="shared" si="9"/>
        <v>7.0273631840795936E-2</v>
      </c>
      <c r="V6" s="840">
        <f t="shared" si="9"/>
        <v>0.16037187681580467</v>
      </c>
      <c r="W6" s="839">
        <f t="shared" si="9"/>
        <v>6.5598397596394742E-2</v>
      </c>
      <c r="X6" s="839">
        <f t="shared" si="9"/>
        <v>4.1353383458646586E-2</v>
      </c>
      <c r="Y6" s="1119">
        <f t="shared" si="9"/>
        <v>4.8736462093862842E-2</v>
      </c>
      <c r="Z6" s="840">
        <f t="shared" si="9"/>
        <v>2.7108433734939652E-2</v>
      </c>
      <c r="AA6" s="839">
        <f t="shared" si="9"/>
        <v>3.4352744030163418E-2</v>
      </c>
      <c r="AB6" s="839">
        <f t="shared" si="9"/>
        <v>1.9441069258809174E-2</v>
      </c>
      <c r="AC6" s="1119">
        <f t="shared" si="9"/>
        <v>5.0456893126738178E-2</v>
      </c>
      <c r="AD6" s="840">
        <f t="shared" si="9"/>
        <v>2.7987897125567374E-2</v>
      </c>
      <c r="AE6" s="839">
        <f t="shared" si="9"/>
        <v>2.3178807947019875E-2</v>
      </c>
      <c r="AF6" s="839">
        <f t="shared" si="9"/>
        <v>1.4023732470334282E-2</v>
      </c>
      <c r="AG6" s="1119">
        <f t="shared" si="9"/>
        <v>-3.9007092198581894E-3</v>
      </c>
      <c r="AH6" s="840">
        <f t="shared" si="9"/>
        <v>1.9579921680313195E-2</v>
      </c>
      <c r="AI6" s="839">
        <f t="shared" si="9"/>
        <v>0.2747905027932962</v>
      </c>
      <c r="AJ6" s="839">
        <f t="shared" si="9"/>
        <v>6.9569980827170586E-2</v>
      </c>
      <c r="AK6" s="839">
        <f t="shared" si="9"/>
        <v>3.3290653008962945E-2</v>
      </c>
      <c r="AL6" s="840">
        <f t="shared" si="9"/>
        <v>9.6406443618339388E-2</v>
      </c>
      <c r="AM6" s="839">
        <f t="shared" si="9"/>
        <v>4.4529837251356286E-2</v>
      </c>
      <c r="AN6" s="839">
        <f t="shared" si="9"/>
        <v>4.0683834667820662E-2</v>
      </c>
      <c r="AO6" s="839">
        <f t="shared" si="9"/>
        <v>1.7051362029528061E-2</v>
      </c>
      <c r="AP6" s="840">
        <f t="shared" ref="AP6" si="10">AP5/AO5-1</f>
        <v>0.20179610973134321</v>
      </c>
      <c r="AQ6" s="839">
        <f t="shared" ref="AQ6" si="11">AQ5/AP5-1</f>
        <v>0.12480594335142992</v>
      </c>
      <c r="AR6" s="839">
        <f t="shared" ref="AR6" si="12">AR5/AQ5-1</f>
        <v>3.9215264938859296E-2</v>
      </c>
      <c r="AS6" s="1119">
        <f t="shared" ref="AS6" si="13">AS5/AR5-1</f>
        <v>4.1204606980332903E-2</v>
      </c>
      <c r="AT6" s="840">
        <f t="shared" ref="AT6" si="14">AT5/AS5-1</f>
        <v>5.0899102254108541E-2</v>
      </c>
      <c r="AU6" s="839">
        <f t="shared" ref="AU6" si="15">AU5/AT5-1</f>
        <v>2.9311018672216083E-2</v>
      </c>
      <c r="AV6" s="839">
        <f t="shared" ref="AV6" si="16">AV5/AU5-1</f>
        <v>3.0070173172976E-2</v>
      </c>
      <c r="AW6" s="1119">
        <f t="shared" ref="AW6" si="17">AW5/AV5-1</f>
        <v>2.7584026412676543E-2</v>
      </c>
      <c r="AX6" s="840">
        <f t="shared" ref="AX6" si="18">AX5/AW5-1</f>
        <v>6.1066364036948206E-2</v>
      </c>
      <c r="AY6" s="839">
        <f t="shared" ref="AY6" si="19">AY5/AX5-1</f>
        <v>2.9960798409039091E-2</v>
      </c>
      <c r="AZ6" s="839">
        <f t="shared" ref="AZ6" si="20">AZ5/AY5-1</f>
        <v>3.6808399236379907E-2</v>
      </c>
      <c r="BA6" s="1119">
        <f t="shared" ref="BA6" si="21">BA5/AZ5-1</f>
        <v>3.3609452207428392E-2</v>
      </c>
      <c r="BB6" s="839"/>
      <c r="BC6" s="677"/>
      <c r="BD6" s="677"/>
      <c r="BE6" s="844">
        <v>0.1070559610705597</v>
      </c>
      <c r="BF6" s="844">
        <f t="shared" ref="BF6:BJ6" si="22">BF5/BE5-1</f>
        <v>0.15824175824175835</v>
      </c>
      <c r="BG6" s="844">
        <f t="shared" si="22"/>
        <v>0.12366188106405085</v>
      </c>
      <c r="BH6" s="854">
        <v>0.06</v>
      </c>
      <c r="BI6" s="854">
        <f t="shared" si="22"/>
        <v>0.38043651425840364</v>
      </c>
      <c r="BJ6" s="854">
        <f t="shared" si="22"/>
        <v>0.15603000577034032</v>
      </c>
      <c r="BK6" s="854">
        <f>BK5/BJ5-1</f>
        <v>9.7434361585305052E-2</v>
      </c>
      <c r="BL6" s="854">
        <f>BL5/BK5-1</f>
        <v>0.31720185572637138</v>
      </c>
      <c r="BM6" s="854">
        <f>BM5/BL5-1</f>
        <v>0.70580110497237558</v>
      </c>
      <c r="BN6" s="855">
        <f t="shared" ref="BN6:BP6" si="23">BN5/BM5-1</f>
        <v>7.3458440142566195E-2</v>
      </c>
      <c r="BO6" s="855">
        <f t="shared" si="23"/>
        <v>0.18497021396641711</v>
      </c>
      <c r="BP6" s="855">
        <f t="shared" si="23"/>
        <v>0.16226888605733225</v>
      </c>
    </row>
    <row r="7" spans="1:72" s="781" customFormat="1">
      <c r="A7" s="784">
        <f>ROWS($A$2:A7)</f>
        <v>6</v>
      </c>
      <c r="B7" s="785"/>
      <c r="C7" s="832"/>
      <c r="D7" s="787"/>
      <c r="E7" s="787"/>
      <c r="F7" s="878">
        <v>0.10076959407230435</v>
      </c>
      <c r="G7" s="879"/>
      <c r="H7" s="853"/>
      <c r="I7" s="851"/>
      <c r="J7" s="851">
        <v>7.7202184447033861E-2</v>
      </c>
      <c r="K7" s="851" t="e">
        <f t="shared" ref="K7" si="24">K5/G5-1</f>
        <v>#REF!</v>
      </c>
      <c r="L7" s="851" t="e">
        <f t="shared" ref="L7" si="25">L5/H5-1</f>
        <v>#REF!</v>
      </c>
      <c r="M7" s="851" t="e">
        <f t="shared" ref="M7" si="26">M5/I5-1</f>
        <v>#REF!</v>
      </c>
      <c r="N7" s="851">
        <f t="shared" ref="N7" si="27">N5/J5-1</f>
        <v>0.1817239043116301</v>
      </c>
      <c r="O7" s="851">
        <f t="shared" ref="O7" si="28">O5/K5-1</f>
        <v>0.18800347221602576</v>
      </c>
      <c r="P7" s="851">
        <f t="shared" ref="P7" si="29">P5/L5-1</f>
        <v>0.17184132706089206</v>
      </c>
      <c r="Q7" s="851">
        <f t="shared" ref="Q7:S7" si="30">Q5/M5-1</f>
        <v>0.15082894486570031</v>
      </c>
      <c r="R7" s="852">
        <f>R5/N5-1</f>
        <v>-1.4431593206210014E-3</v>
      </c>
      <c r="S7" s="853">
        <f t="shared" si="30"/>
        <v>5.3946461242176058E-2</v>
      </c>
      <c r="T7" s="853">
        <f t="shared" ref="T7:AO7" si="31">T5/P5-1</f>
        <v>6.3161542761319245E-2</v>
      </c>
      <c r="U7" s="851">
        <f t="shared" si="31"/>
        <v>0.11175389885513387</v>
      </c>
      <c r="V7" s="852">
        <f t="shared" si="31"/>
        <v>0.42744817726947804</v>
      </c>
      <c r="W7" s="853">
        <f t="shared" si="31"/>
        <v>0.37378954163976763</v>
      </c>
      <c r="X7" s="853">
        <f t="shared" si="31"/>
        <v>0.37810945273631824</v>
      </c>
      <c r="Y7" s="851">
        <f t="shared" si="31"/>
        <v>0.3503776873910518</v>
      </c>
      <c r="Z7" s="852">
        <f t="shared" si="31"/>
        <v>0.19529293940911363</v>
      </c>
      <c r="AA7" s="853">
        <f t="shared" si="31"/>
        <v>0.16024436090225569</v>
      </c>
      <c r="AB7" s="853">
        <f t="shared" si="31"/>
        <v>0.13583032490974722</v>
      </c>
      <c r="AC7" s="851">
        <f t="shared" si="31"/>
        <v>0.13769363166953519</v>
      </c>
      <c r="AD7" s="852">
        <f t="shared" si="31"/>
        <v>0.13866778382907419</v>
      </c>
      <c r="AE7" s="853">
        <f t="shared" si="31"/>
        <v>0.12636695018226018</v>
      </c>
      <c r="AF7" s="853">
        <f t="shared" si="31"/>
        <v>0.12038140643623363</v>
      </c>
      <c r="AG7" s="851">
        <f t="shared" si="31"/>
        <v>6.2405446293494649E-2</v>
      </c>
      <c r="AH7" s="852">
        <f t="shared" si="31"/>
        <v>5.371596762325237E-2</v>
      </c>
      <c r="AI7" s="853">
        <f t="shared" si="31"/>
        <v>0.31283710895361372</v>
      </c>
      <c r="AJ7" s="853">
        <f t="shared" si="31"/>
        <v>0.38475177304964547</v>
      </c>
      <c r="AK7" s="853">
        <f t="shared" si="31"/>
        <v>0.43645425418298345</v>
      </c>
      <c r="AL7" s="852">
        <f t="shared" si="31"/>
        <v>0.54469273743016755</v>
      </c>
      <c r="AM7" s="853">
        <f t="shared" si="31"/>
        <v>0.26568063544234444</v>
      </c>
      <c r="AN7" s="853">
        <f t="shared" si="31"/>
        <v>0.23149807938540334</v>
      </c>
      <c r="AO7" s="853">
        <f t="shared" si="31"/>
        <v>0.21214374225526655</v>
      </c>
      <c r="AP7" s="852">
        <f t="shared" ref="AP7" si="32">AP5/AL5-1</f>
        <v>0.32865840250813738</v>
      </c>
      <c r="AQ7" s="853">
        <f t="shared" ref="AQ7" si="33">AQ5/AM5-1</f>
        <v>0.43077087367618794</v>
      </c>
      <c r="AR7" s="853">
        <f t="shared" ref="AR7" si="34">AR5/AN5-1</f>
        <v>0.42875182934767553</v>
      </c>
      <c r="AS7" s="851">
        <f t="shared" ref="AS7" si="35">AS5/AO5-1</f>
        <v>0.46268226216208341</v>
      </c>
      <c r="AT7" s="852">
        <f t="shared" ref="AT7" si="36">AT5/AP5-1</f>
        <v>0.27902850054387507</v>
      </c>
      <c r="AU7" s="853">
        <f t="shared" ref="AU7" si="37">AU5/AQ5-1</f>
        <v>0.17044023156826915</v>
      </c>
      <c r="AV7" s="853">
        <f t="shared" ref="AV7" si="38">AV5/AR5-1</f>
        <v>0.1601403604200109</v>
      </c>
      <c r="AW7" s="851">
        <f t="shared" ref="AW7" si="39">AW5/AS5-1</f>
        <v>0.14496391465425651</v>
      </c>
      <c r="AX7" s="852">
        <f t="shared" ref="AX7" si="40">AX5/AT5-1</f>
        <v>0.15604123675608839</v>
      </c>
      <c r="AY7" s="853">
        <f t="shared" ref="AY7" si="41">AY5/AU5-1</f>
        <v>0.15677101828659668</v>
      </c>
      <c r="AZ7" s="853">
        <f t="shared" ref="AZ7" si="42">AZ5/AV5-1</f>
        <v>0.16433806063750644</v>
      </c>
      <c r="BA7" s="851">
        <f t="shared" ref="BA7" si="43">BA5/AW5-1</f>
        <v>0.17116536857928932</v>
      </c>
      <c r="BB7" s="853"/>
      <c r="BC7" s="788"/>
      <c r="BD7" s="788"/>
      <c r="BE7" s="856">
        <v>0.1070559610705597</v>
      </c>
      <c r="BF7" s="856">
        <f t="shared" ref="BF7:BG7" si="44">BF5/BE5-1</f>
        <v>0.15824175824175835</v>
      </c>
      <c r="BG7" s="856">
        <f t="shared" si="44"/>
        <v>0.12366188106405085</v>
      </c>
      <c r="BH7" s="857">
        <v>0.06</v>
      </c>
      <c r="BI7" s="857"/>
      <c r="BJ7" s="857">
        <v>0.224</v>
      </c>
      <c r="BK7" s="857"/>
      <c r="BL7" s="857"/>
      <c r="BM7" s="857"/>
      <c r="BN7" s="858"/>
      <c r="BO7" s="858"/>
      <c r="BP7" s="858"/>
    </row>
    <row r="8" spans="1:72">
      <c r="A8" s="24">
        <f>ROWS($A$2:A8)</f>
        <v>7</v>
      </c>
      <c r="B8" s="4" t="s">
        <v>162</v>
      </c>
      <c r="C8" s="281"/>
      <c r="F8" s="281"/>
      <c r="I8" s="1120"/>
      <c r="J8" s="680"/>
      <c r="K8" s="679"/>
      <c r="L8" s="679"/>
      <c r="M8" s="679"/>
      <c r="N8" s="680"/>
      <c r="O8" s="679"/>
      <c r="P8" s="679"/>
      <c r="Q8" s="679"/>
      <c r="R8" s="680"/>
      <c r="S8" s="679"/>
      <c r="T8" s="679"/>
      <c r="U8" s="679"/>
      <c r="V8" s="680"/>
      <c r="W8" s="679"/>
      <c r="X8" s="679"/>
      <c r="Y8" s="679"/>
      <c r="Z8" s="680"/>
      <c r="AA8" s="679" t="s">
        <v>160</v>
      </c>
      <c r="AB8" s="679"/>
      <c r="AC8" s="1120"/>
      <c r="AD8" s="680"/>
      <c r="AE8" s="679"/>
      <c r="AF8" s="679"/>
      <c r="AG8" s="1120"/>
      <c r="AH8" s="680"/>
      <c r="AI8" s="679"/>
      <c r="AJ8" s="679"/>
      <c r="AK8" s="679"/>
      <c r="AP8" s="680"/>
      <c r="AQ8" s="679"/>
      <c r="AR8" s="679"/>
      <c r="AS8" s="1120"/>
      <c r="AT8" s="680"/>
      <c r="AU8" s="679"/>
      <c r="AV8" s="679"/>
      <c r="AW8" s="1120"/>
      <c r="AX8" s="680"/>
      <c r="AY8" s="679"/>
      <c r="AZ8" s="679"/>
      <c r="BA8" s="1120"/>
      <c r="BB8" s="679"/>
      <c r="BC8" s="679"/>
      <c r="BD8" s="679"/>
      <c r="BG8" s="682"/>
      <c r="BH8" s="682"/>
      <c r="BI8" s="682"/>
      <c r="BJ8" s="682"/>
      <c r="BK8" s="682">
        <v>0.13300000000000001</v>
      </c>
      <c r="BL8" s="682">
        <v>0.13300000000000001</v>
      </c>
      <c r="BM8" s="682"/>
      <c r="BN8" s="681"/>
      <c r="BO8" s="681"/>
      <c r="BP8" s="681"/>
    </row>
    <row r="9" spans="1:72" s="781" customFormat="1">
      <c r="A9" s="784">
        <f>ROWS($A$2:A9)</f>
        <v>8</v>
      </c>
      <c r="B9" s="792" t="s">
        <v>163</v>
      </c>
      <c r="C9" s="786"/>
      <c r="D9" s="785"/>
      <c r="E9" s="785"/>
      <c r="F9" s="786"/>
      <c r="G9" s="785"/>
      <c r="H9" s="788"/>
      <c r="I9" s="788"/>
      <c r="J9" s="788"/>
      <c r="K9" s="788"/>
      <c r="L9" s="788"/>
      <c r="M9" s="788"/>
      <c r="N9" s="788"/>
      <c r="O9" s="788"/>
      <c r="P9" s="788"/>
      <c r="Q9" s="793"/>
      <c r="R9" s="794"/>
      <c r="S9" s="793"/>
      <c r="T9" s="793"/>
      <c r="U9" s="793"/>
      <c r="V9" s="794"/>
      <c r="W9" s="793"/>
      <c r="X9" s="793"/>
      <c r="Y9" s="793"/>
      <c r="Z9" s="794"/>
      <c r="AA9" s="793"/>
      <c r="AB9" s="793"/>
      <c r="AC9" s="789"/>
      <c r="AD9" s="794"/>
      <c r="AE9" s="793"/>
      <c r="AF9" s="793"/>
      <c r="AG9" s="789"/>
      <c r="AH9" s="794"/>
      <c r="AI9" s="793"/>
      <c r="AJ9" s="793"/>
      <c r="AK9" s="793"/>
      <c r="AL9" s="794"/>
      <c r="AM9" s="793"/>
      <c r="AN9" s="793"/>
      <c r="AO9" s="793"/>
      <c r="AP9" s="790"/>
      <c r="AQ9" s="788"/>
      <c r="AR9" s="788"/>
      <c r="AS9" s="789"/>
      <c r="AT9" s="790"/>
      <c r="AU9" s="788"/>
      <c r="AV9" s="788"/>
      <c r="AW9" s="789"/>
      <c r="AX9" s="790"/>
      <c r="AY9" s="788"/>
      <c r="AZ9" s="788"/>
      <c r="BA9" s="789"/>
      <c r="BB9" s="793"/>
      <c r="BC9" s="793"/>
      <c r="BD9" s="793"/>
      <c r="BE9" s="788"/>
      <c r="BF9" s="788"/>
      <c r="BG9" s="788"/>
      <c r="BH9" s="788"/>
      <c r="BI9" s="788"/>
      <c r="BJ9" s="788"/>
      <c r="BK9" s="788"/>
      <c r="BL9" s="788"/>
      <c r="BM9" s="788"/>
      <c r="BN9" s="791"/>
      <c r="BO9" s="791"/>
      <c r="BP9" s="791"/>
    </row>
    <row r="10" spans="1:72" s="663" customFormat="1">
      <c r="A10" s="795">
        <f>ROWS($A$2:A10)</f>
        <v>9</v>
      </c>
      <c r="B10" s="4" t="s">
        <v>164</v>
      </c>
      <c r="C10" s="281"/>
      <c r="D10" s="4"/>
      <c r="E10" s="4"/>
      <c r="F10" s="281"/>
      <c r="G10" s="4"/>
      <c r="H10" s="679"/>
      <c r="I10" s="1120">
        <v>261</v>
      </c>
      <c r="J10" s="686"/>
      <c r="K10" s="685"/>
      <c r="L10" s="685"/>
      <c r="M10" s="685"/>
      <c r="N10" s="686"/>
      <c r="O10" s="685"/>
      <c r="P10" s="685"/>
      <c r="Q10" s="685"/>
      <c r="R10" s="686"/>
      <c r="S10" s="685"/>
      <c r="T10" s="685"/>
      <c r="U10" s="685"/>
      <c r="V10" s="686"/>
      <c r="W10" s="685"/>
      <c r="X10" s="685"/>
      <c r="Y10" s="685"/>
      <c r="Z10" s="686"/>
      <c r="AA10" s="685"/>
      <c r="AB10" s="685"/>
      <c r="AC10" s="1120"/>
      <c r="AD10" s="686"/>
      <c r="AE10" s="685"/>
      <c r="AF10" s="685"/>
      <c r="AG10" s="1120"/>
      <c r="AH10" s="686"/>
      <c r="AI10" s="685"/>
      <c r="AJ10" s="685">
        <v>-46</v>
      </c>
      <c r="AK10" s="685">
        <v>-123</v>
      </c>
      <c r="AL10" s="686"/>
      <c r="AM10" s="685">
        <v>-307</v>
      </c>
      <c r="AN10" s="685">
        <v>-434</v>
      </c>
      <c r="AO10" s="685">
        <v>-743</v>
      </c>
      <c r="AP10" s="680"/>
      <c r="AQ10" s="679"/>
      <c r="AR10" s="679"/>
      <c r="AS10" s="1120"/>
      <c r="AT10" s="680"/>
      <c r="AU10" s="679"/>
      <c r="AV10" s="679"/>
      <c r="AW10" s="1120"/>
      <c r="AX10" s="680"/>
      <c r="AY10" s="679"/>
      <c r="AZ10" s="679"/>
      <c r="BA10" s="1120"/>
      <c r="BB10" s="685"/>
      <c r="BC10" s="685"/>
      <c r="BD10" s="685"/>
      <c r="BE10" s="679"/>
      <c r="BF10" s="679"/>
      <c r="BG10" s="679"/>
      <c r="BH10" s="679"/>
      <c r="BI10" s="679"/>
      <c r="BJ10" s="679"/>
      <c r="BK10" s="679"/>
      <c r="BL10" s="685">
        <v>-227</v>
      </c>
      <c r="BM10" s="685">
        <v>-1639</v>
      </c>
      <c r="BN10" s="796"/>
      <c r="BO10" s="796"/>
      <c r="BP10" s="796"/>
    </row>
    <row r="11" spans="1:72" s="663" customFormat="1">
      <c r="A11" s="795">
        <f>ROWS($A$2:A11)</f>
        <v>10</v>
      </c>
      <c r="B11" s="4"/>
      <c r="C11" s="281"/>
      <c r="D11" s="4"/>
      <c r="E11" s="4"/>
      <c r="F11" s="281"/>
      <c r="G11" s="4"/>
      <c r="H11" s="679"/>
      <c r="I11" s="679"/>
      <c r="J11" s="679"/>
      <c r="K11" s="679"/>
      <c r="L11" s="679"/>
      <c r="M11" s="679"/>
      <c r="N11" s="679"/>
      <c r="O11" s="679"/>
      <c r="P11" s="679"/>
      <c r="Q11" s="679"/>
      <c r="R11" s="680"/>
      <c r="S11" s="679"/>
      <c r="T11" s="679"/>
      <c r="U11" s="679"/>
      <c r="V11" s="680"/>
      <c r="W11" s="679"/>
      <c r="X11" s="679"/>
      <c r="Y11" s="679"/>
      <c r="Z11" s="680"/>
      <c r="AA11" s="679"/>
      <c r="AB11" s="679"/>
      <c r="AC11" s="1120"/>
      <c r="AD11" s="680"/>
      <c r="AE11" s="679"/>
      <c r="AF11" s="679"/>
      <c r="AG11" s="1120"/>
      <c r="AH11" s="680"/>
      <c r="AI11" s="679"/>
      <c r="AJ11" s="679"/>
      <c r="AK11" s="679"/>
      <c r="AL11" s="680"/>
      <c r="AM11" s="679"/>
      <c r="AN11" s="679"/>
      <c r="AO11" s="679"/>
      <c r="AP11" s="680"/>
      <c r="AQ11" s="679"/>
      <c r="AR11" s="679"/>
      <c r="AS11" s="1120"/>
      <c r="AT11" s="680"/>
      <c r="AU11" s="679"/>
      <c r="AV11" s="679"/>
      <c r="AW11" s="1120"/>
      <c r="AX11" s="680"/>
      <c r="AY11" s="679"/>
      <c r="AZ11" s="679"/>
      <c r="BA11" s="1120"/>
      <c r="BB11" s="679"/>
      <c r="BC11" s="679"/>
      <c r="BD11" s="679"/>
      <c r="BE11" s="679"/>
      <c r="BF11" s="679"/>
      <c r="BG11" s="679"/>
      <c r="BH11" s="679"/>
      <c r="BI11" s="679"/>
      <c r="BJ11" s="679"/>
      <c r="BK11" s="679"/>
      <c r="BL11" s="679"/>
      <c r="BM11" s="679"/>
      <c r="BN11" s="796"/>
      <c r="BO11" s="796"/>
      <c r="BP11" s="796"/>
    </row>
    <row r="12" spans="1:72" s="663" customFormat="1">
      <c r="A12" s="795">
        <f>ROWS($A$2:A12)</f>
        <v>11</v>
      </c>
      <c r="B12" s="6" t="s">
        <v>165</v>
      </c>
      <c r="C12" s="557"/>
      <c r="D12" s="41"/>
      <c r="E12" s="41"/>
      <c r="F12" s="557">
        <v>7089</v>
      </c>
      <c r="G12" s="41">
        <v>7372</v>
      </c>
      <c r="H12" s="683">
        <v>7565</v>
      </c>
      <c r="I12" s="1121">
        <v>7888</v>
      </c>
      <c r="J12" s="684">
        <v>8005</v>
      </c>
      <c r="K12" s="683">
        <v>8723</v>
      </c>
      <c r="L12" s="683">
        <v>9249</v>
      </c>
      <c r="M12" s="683">
        <v>9319</v>
      </c>
      <c r="N12" s="684">
        <v>9597</v>
      </c>
      <c r="O12" s="683">
        <v>10385</v>
      </c>
      <c r="P12" s="683">
        <v>10734</v>
      </c>
      <c r="Q12" s="683">
        <v>11093</v>
      </c>
      <c r="R12" s="684">
        <v>10570</v>
      </c>
      <c r="S12" s="683">
        <v>11537</v>
      </c>
      <c r="T12" s="683">
        <v>11906</v>
      </c>
      <c r="U12" s="683">
        <v>12615</v>
      </c>
      <c r="V12" s="684">
        <v>14616</v>
      </c>
      <c r="W12" s="683">
        <v>15694</v>
      </c>
      <c r="X12" s="683">
        <v>16581</v>
      </c>
      <c r="Y12" s="683">
        <v>17429</v>
      </c>
      <c r="Z12" s="684">
        <v>18294</v>
      </c>
      <c r="AA12" s="683">
        <v>19594</v>
      </c>
      <c r="AB12" s="683">
        <v>20558</v>
      </c>
      <c r="AC12" s="683">
        <v>21700</v>
      </c>
      <c r="AD12" s="684">
        <v>22210</v>
      </c>
      <c r="AE12" s="683">
        <v>22762</v>
      </c>
      <c r="AF12" s="683">
        <v>23233</v>
      </c>
      <c r="AG12" s="687">
        <v>23184</v>
      </c>
      <c r="AH12" s="684">
        <v>23571</v>
      </c>
      <c r="AI12" s="683">
        <v>30256</v>
      </c>
      <c r="AJ12" s="687">
        <v>32581</v>
      </c>
      <c r="AK12" s="687">
        <v>34222</v>
      </c>
      <c r="AL12" s="688">
        <v>36886</v>
      </c>
      <c r="AM12" s="687">
        <v>39857</v>
      </c>
      <c r="AN12" s="687">
        <v>42315</v>
      </c>
      <c r="AO12" s="687">
        <v>44504</v>
      </c>
      <c r="AP12" s="742">
        <f t="shared" ref="AP12:AS12" si="45">AP5*AP4</f>
        <v>54959.157624707601</v>
      </c>
      <c r="AQ12" s="689">
        <f t="shared" si="45"/>
        <v>61818.387137859165</v>
      </c>
      <c r="AR12" s="689">
        <f t="shared" si="45"/>
        <v>64242.611567563275</v>
      </c>
      <c r="AS12" s="1122">
        <f t="shared" si="45"/>
        <v>66889.70312859492</v>
      </c>
      <c r="AT12" s="742">
        <f t="shared" ref="AT12:AW12" si="46">AT5*AT4</f>
        <v>71797.950977892455</v>
      </c>
      <c r="AU12" s="689">
        <f t="shared" si="46"/>
        <v>73902.422059632314</v>
      </c>
      <c r="AV12" s="689">
        <f t="shared" si="46"/>
        <v>76124.680688867826</v>
      </c>
      <c r="AW12" s="1122">
        <f t="shared" si="46"/>
        <v>78224.505891646128</v>
      </c>
      <c r="AX12" s="742">
        <f t="shared" ref="AX12:BA12" si="47">AX5*AX4</f>
        <v>84305.078831083476</v>
      </c>
      <c r="AY12" s="689">
        <f t="shared" si="47"/>
        <v>86830.926302799708</v>
      </c>
      <c r="AZ12" s="689">
        <f t="shared" si="47"/>
        <v>90027.033704217843</v>
      </c>
      <c r="BA12" s="1122">
        <f t="shared" si="47"/>
        <v>93052.792990876289</v>
      </c>
      <c r="BB12" s="683"/>
      <c r="BC12" s="683"/>
      <c r="BD12" s="683"/>
      <c r="BE12" s="797">
        <v>29914</v>
      </c>
      <c r="BF12" s="797">
        <v>36762</v>
      </c>
      <c r="BG12" s="797">
        <v>41839</v>
      </c>
      <c r="BH12" s="797">
        <v>46628</v>
      </c>
      <c r="BI12" s="797">
        <f>SUM(V12:Y12)</f>
        <v>64320</v>
      </c>
      <c r="BJ12" s="797">
        <f>SUM(Z12:AC12)</f>
        <v>80146</v>
      </c>
      <c r="BK12" s="798">
        <v>90089</v>
      </c>
      <c r="BL12" s="798">
        <v>120733</v>
      </c>
      <c r="BM12" s="798">
        <v>164027</v>
      </c>
      <c r="BN12" s="799">
        <f>SUM(AP12:AS12)</f>
        <v>247909.85945872497</v>
      </c>
      <c r="BO12" s="799">
        <f>SUM(AT12:AW12)</f>
        <v>300049.55961803871</v>
      </c>
      <c r="BP12" s="799">
        <f>SUM(AX12:BA12)</f>
        <v>354215.83182897733</v>
      </c>
    </row>
    <row r="13" spans="1:72" s="663" customFormat="1">
      <c r="A13" s="795">
        <f>ROWS($A$2:A13)</f>
        <v>12</v>
      </c>
      <c r="B13" s="4"/>
      <c r="C13" s="281"/>
      <c r="D13" s="4"/>
      <c r="E13" s="4"/>
      <c r="F13" s="281"/>
      <c r="G13" s="4"/>
      <c r="H13" s="679"/>
      <c r="I13" s="679"/>
      <c r="J13" s="679"/>
      <c r="K13" s="679"/>
      <c r="L13" s="679"/>
      <c r="M13" s="679"/>
      <c r="N13" s="679"/>
      <c r="O13" s="679"/>
      <c r="P13" s="679"/>
      <c r="Q13" s="679"/>
      <c r="R13" s="680"/>
      <c r="S13" s="679"/>
      <c r="T13" s="679"/>
      <c r="U13" s="679"/>
      <c r="V13" s="680"/>
      <c r="W13" s="679"/>
      <c r="X13" s="679"/>
      <c r="Y13" s="679"/>
      <c r="Z13" s="680"/>
      <c r="AA13" s="679"/>
      <c r="AB13" s="679"/>
      <c r="AC13" s="1120"/>
      <c r="AD13" s="680"/>
      <c r="AE13" s="679"/>
      <c r="AF13" s="679"/>
      <c r="AG13" s="1120"/>
      <c r="AH13" s="680"/>
      <c r="AI13" s="679"/>
      <c r="AJ13" s="679"/>
      <c r="AK13" s="679"/>
      <c r="AL13" s="680"/>
      <c r="AM13" s="679"/>
      <c r="AN13" s="679"/>
      <c r="AO13" s="679"/>
      <c r="AP13" s="680"/>
      <c r="AQ13" s="679"/>
      <c r="AR13" s="679"/>
      <c r="AS13" s="1120"/>
      <c r="AT13" s="680"/>
      <c r="AU13" s="679"/>
      <c r="AV13" s="679"/>
      <c r="AW13" s="1120"/>
      <c r="AX13" s="680"/>
      <c r="AY13" s="679"/>
      <c r="AZ13" s="679"/>
      <c r="BA13" s="1120"/>
      <c r="BB13" s="679"/>
      <c r="BC13" s="679"/>
      <c r="BD13" s="679"/>
      <c r="BE13" s="835">
        <v>6.7556475500517577E-2</v>
      </c>
      <c r="BF13" s="835">
        <f t="shared" ref="BF13:BL13" si="48">BF12/BE12-1</f>
        <v>0.22892291234873308</v>
      </c>
      <c r="BG13" s="835">
        <f t="shared" si="48"/>
        <v>0.13810456449594688</v>
      </c>
      <c r="BH13" s="835">
        <f t="shared" si="48"/>
        <v>0.11446258275771415</v>
      </c>
      <c r="BI13" s="835">
        <f t="shared" si="48"/>
        <v>0.37942866946898857</v>
      </c>
      <c r="BJ13" s="835">
        <f t="shared" si="48"/>
        <v>0.24605099502487571</v>
      </c>
      <c r="BK13" s="835">
        <f t="shared" si="48"/>
        <v>0.12406108851346298</v>
      </c>
      <c r="BL13" s="835">
        <f t="shared" si="48"/>
        <v>0.34015251584544171</v>
      </c>
      <c r="BM13" s="835">
        <f>BM12/BL12-1</f>
        <v>0.35859292819693045</v>
      </c>
      <c r="BN13" s="859">
        <f t="shared" ref="BN13:BP13" si="49">BN12/BM12-1</f>
        <v>0.51139665700601111</v>
      </c>
      <c r="BO13" s="859">
        <f t="shared" si="49"/>
        <v>0.21031717041489673</v>
      </c>
      <c r="BP13" s="859">
        <f t="shared" si="49"/>
        <v>0.18052441829907018</v>
      </c>
    </row>
    <row r="14" spans="1:72" s="663" customFormat="1">
      <c r="A14" s="795">
        <f>ROWS($A$2:A14)</f>
        <v>13</v>
      </c>
      <c r="B14" s="4" t="s">
        <v>166</v>
      </c>
      <c r="C14" s="281"/>
      <c r="D14" s="4"/>
      <c r="E14" s="4"/>
      <c r="F14" s="281"/>
      <c r="G14" s="4"/>
      <c r="H14" s="679"/>
      <c r="I14" s="1120"/>
      <c r="J14" s="680"/>
      <c r="K14" s="679"/>
      <c r="L14" s="679"/>
      <c r="M14" s="679"/>
      <c r="N14" s="680"/>
      <c r="O14" s="679"/>
      <c r="P14" s="679"/>
      <c r="Q14" s="679"/>
      <c r="R14" s="680"/>
      <c r="S14" s="679"/>
      <c r="T14" s="679"/>
      <c r="U14" s="679"/>
      <c r="V14" s="680"/>
      <c r="W14" s="679"/>
      <c r="X14" s="679"/>
      <c r="Y14" s="679"/>
      <c r="Z14" s="680"/>
      <c r="AA14" s="679"/>
      <c r="AB14" s="679"/>
      <c r="AC14" s="1120"/>
      <c r="AD14" s="680"/>
      <c r="AE14" s="679"/>
      <c r="AF14" s="679"/>
      <c r="AG14" s="1120"/>
      <c r="AH14" s="680"/>
      <c r="AI14" s="679"/>
      <c r="AJ14" s="679"/>
      <c r="AK14" s="679"/>
      <c r="AL14" s="680"/>
      <c r="AM14" s="679"/>
      <c r="AN14" s="679"/>
      <c r="AO14" s="679"/>
      <c r="AP14" s="680"/>
      <c r="AQ14" s="679"/>
      <c r="AR14" s="679"/>
      <c r="AS14" s="1120"/>
      <c r="AT14" s="680"/>
      <c r="AU14" s="679"/>
      <c r="AV14" s="679"/>
      <c r="AW14" s="1120"/>
      <c r="AX14" s="680"/>
      <c r="AY14" s="679"/>
      <c r="AZ14" s="679"/>
      <c r="BA14" s="1120"/>
      <c r="BB14" s="679"/>
      <c r="BC14" s="679"/>
      <c r="BD14" s="679"/>
      <c r="BE14" s="679"/>
      <c r="BF14" s="679"/>
      <c r="BG14" s="679"/>
      <c r="BH14" s="679"/>
      <c r="BI14" s="679"/>
      <c r="BJ14" s="679"/>
      <c r="BK14" s="679"/>
      <c r="BL14" s="679"/>
      <c r="BM14" s="679"/>
      <c r="BN14" s="796"/>
      <c r="BO14" s="796"/>
      <c r="BP14" s="796"/>
      <c r="BR14" s="663" t="s">
        <v>160</v>
      </c>
    </row>
    <row r="15" spans="1:72" s="781" customFormat="1">
      <c r="A15" s="784">
        <f>ROWS($A$2:A15)</f>
        <v>14</v>
      </c>
      <c r="B15" s="785" t="s">
        <v>167</v>
      </c>
      <c r="C15" s="811"/>
      <c r="D15" s="812"/>
      <c r="E15" s="812"/>
      <c r="F15" s="811">
        <v>4577</v>
      </c>
      <c r="G15" s="812">
        <v>4791</v>
      </c>
      <c r="H15" s="813">
        <v>4811</v>
      </c>
      <c r="I15" s="814">
        <v>5000</v>
      </c>
      <c r="J15" s="815">
        <v>5301</v>
      </c>
      <c r="K15" s="813">
        <v>5720</v>
      </c>
      <c r="L15" s="813">
        <v>6032</v>
      </c>
      <c r="M15" s="813">
        <v>6110</v>
      </c>
      <c r="N15" s="815">
        <v>6348</v>
      </c>
      <c r="O15" s="813">
        <v>6796</v>
      </c>
      <c r="P15" s="813">
        <v>7069</v>
      </c>
      <c r="Q15" s="813">
        <v>7289</v>
      </c>
      <c r="R15" s="815">
        <v>7241</v>
      </c>
      <c r="S15" s="813">
        <v>7776</v>
      </c>
      <c r="T15" s="813">
        <v>8096</v>
      </c>
      <c r="U15" s="813">
        <v>8580</v>
      </c>
      <c r="V15" s="815">
        <v>10250</v>
      </c>
      <c r="W15" s="813">
        <v>10656</v>
      </c>
      <c r="X15" s="813">
        <v>11210</v>
      </c>
      <c r="Y15" s="813">
        <v>11620</v>
      </c>
      <c r="Z15" s="815">
        <v>12739</v>
      </c>
      <c r="AA15" s="813">
        <v>13316</v>
      </c>
      <c r="AB15" s="813">
        <v>13698</v>
      </c>
      <c r="AC15" s="813">
        <v>14306</v>
      </c>
      <c r="AD15" s="815">
        <v>15401</v>
      </c>
      <c r="AE15" s="813">
        <v>15374</v>
      </c>
      <c r="AF15" s="813">
        <f>AF12-AF20-4170</f>
        <v>15555</v>
      </c>
      <c r="AG15" s="816">
        <f>AG12-(AG12*34.7%)</f>
        <v>15139.151999999998</v>
      </c>
      <c r="AH15" s="815">
        <v>15975</v>
      </c>
      <c r="AI15" s="813">
        <v>20827</v>
      </c>
      <c r="AJ15" s="816">
        <f>AJ12-(AJ12*33.4%)</f>
        <v>21698.946000000004</v>
      </c>
      <c r="AK15" s="816">
        <v>22483</v>
      </c>
      <c r="AL15" s="817">
        <v>24455</v>
      </c>
      <c r="AM15" s="816">
        <v>26299</v>
      </c>
      <c r="AN15" s="816">
        <v>28112</v>
      </c>
      <c r="AO15" s="816">
        <v>29204</v>
      </c>
      <c r="AP15" s="820">
        <f>'Revenue and Cost model'!AH154</f>
        <v>37068.319219691657</v>
      </c>
      <c r="AQ15" s="818">
        <f>'Revenue and Cost model'!AI154</f>
        <v>39431.275913811325</v>
      </c>
      <c r="AR15" s="818">
        <f>'Revenue and Cost model'!AJ154</f>
        <v>41821.904718902137</v>
      </c>
      <c r="AS15" s="819">
        <f>'Revenue and Cost model'!AK154</f>
        <v>43523.216071584378</v>
      </c>
      <c r="AT15" s="820">
        <f>'Revenue and Cost model'!AL154</f>
        <v>45645.917306102012</v>
      </c>
      <c r="AU15" s="818">
        <f>'Revenue and Cost model'!AM154</f>
        <v>47723.984213188844</v>
      </c>
      <c r="AV15" s="818">
        <f>'Revenue and Cost model'!AN154</f>
        <v>50388.066449074395</v>
      </c>
      <c r="AW15" s="819">
        <f>'Revenue and Cost model'!AO154</f>
        <v>51274.653418938433</v>
      </c>
      <c r="AX15" s="820">
        <f>'Revenue and Cost model'!AP154</f>
        <v>54214.758105232722</v>
      </c>
      <c r="AY15" s="818">
        <f>'Revenue and Cost model'!AQ154</f>
        <v>57360.642954161689</v>
      </c>
      <c r="AZ15" s="818">
        <f>'Revenue and Cost model'!AR154</f>
        <v>59611.114967735797</v>
      </c>
      <c r="BA15" s="819">
        <f>'Revenue and Cost model'!AS154</f>
        <v>62796.571653265753</v>
      </c>
      <c r="BB15" s="815"/>
      <c r="BC15" s="815"/>
      <c r="BD15" s="815"/>
      <c r="BE15" s="821">
        <v>19179</v>
      </c>
      <c r="BF15" s="821">
        <v>23908</v>
      </c>
      <c r="BG15" s="821">
        <v>27528</v>
      </c>
      <c r="BH15" s="821">
        <v>31693</v>
      </c>
      <c r="BI15" s="821">
        <v>43737</v>
      </c>
      <c r="BJ15" s="821">
        <f>SUM(Z15:AC15)</f>
        <v>54059</v>
      </c>
      <c r="BK15" s="821">
        <f>BK12-(BK12*33.2%)</f>
        <v>60179.451999999997</v>
      </c>
      <c r="BL15" s="821">
        <v>79999</v>
      </c>
      <c r="BM15" s="821">
        <v>108527</v>
      </c>
      <c r="BN15" s="822">
        <f>SUM(AP15:AS15)</f>
        <v>161844.71592398948</v>
      </c>
      <c r="BO15" s="822">
        <f>SUM(AT15:AW15)</f>
        <v>195032.62138730366</v>
      </c>
      <c r="BP15" s="822">
        <f>SUM(AX15:BA15)</f>
        <v>233983.08768039598</v>
      </c>
    </row>
    <row r="16" spans="1:72">
      <c r="A16" s="24" t="s">
        <v>168</v>
      </c>
      <c r="C16" s="558"/>
      <c r="D16" s="48"/>
      <c r="E16" s="48"/>
      <c r="F16" s="558"/>
      <c r="G16" s="48"/>
      <c r="H16" s="685"/>
      <c r="I16" s="685"/>
      <c r="J16" s="686"/>
      <c r="K16" s="685"/>
      <c r="L16" s="685"/>
      <c r="M16" s="685"/>
      <c r="N16" s="686"/>
      <c r="O16" s="685"/>
      <c r="P16" s="685"/>
      <c r="Q16" s="685"/>
      <c r="R16" s="686"/>
      <c r="S16" s="685"/>
      <c r="T16" s="685"/>
      <c r="U16" s="685"/>
      <c r="V16" s="686"/>
      <c r="W16" s="685"/>
      <c r="X16" s="685"/>
      <c r="Y16" s="685"/>
      <c r="Z16" s="686"/>
      <c r="AA16" s="685"/>
      <c r="AB16" s="685"/>
      <c r="AC16" s="685"/>
      <c r="AD16" s="686"/>
      <c r="AE16" s="685"/>
      <c r="AF16" s="685"/>
      <c r="AG16" s="691"/>
      <c r="AH16" s="686"/>
      <c r="AI16" s="685"/>
      <c r="AJ16" s="691"/>
      <c r="AK16" s="691"/>
      <c r="AL16" s="692"/>
      <c r="AM16" s="691"/>
      <c r="AN16" s="691"/>
      <c r="AO16" s="983"/>
      <c r="AP16" s="762"/>
      <c r="AQ16" s="693"/>
      <c r="AR16" s="693"/>
      <c r="AS16" s="1123"/>
      <c r="AT16" s="762"/>
      <c r="AU16" s="693"/>
      <c r="AV16" s="693"/>
      <c r="AW16" s="1123"/>
      <c r="AX16" s="762"/>
      <c r="AY16" s="693"/>
      <c r="AZ16" s="693"/>
      <c r="BA16" s="1123"/>
      <c r="BB16" s="685"/>
      <c r="BC16" s="685"/>
      <c r="BD16" s="685"/>
      <c r="BE16" s="694"/>
      <c r="BF16" s="694"/>
      <c r="BG16" s="694"/>
      <c r="BH16" s="694"/>
      <c r="BI16" s="694"/>
      <c r="BJ16" s="694"/>
      <c r="BK16" s="694"/>
      <c r="BL16" s="694"/>
      <c r="BM16" s="694"/>
      <c r="BN16" s="695"/>
      <c r="BO16" s="695"/>
      <c r="BP16" s="695"/>
    </row>
    <row r="17" spans="1:68">
      <c r="A17" s="24" t="s">
        <v>169</v>
      </c>
      <c r="C17" s="558"/>
      <c r="D17" s="48"/>
      <c r="E17" s="48"/>
      <c r="F17" s="558"/>
      <c r="G17" s="48"/>
      <c r="H17" s="685"/>
      <c r="I17" s="685"/>
      <c r="J17" s="686"/>
      <c r="K17" s="685"/>
      <c r="L17" s="685"/>
      <c r="M17" s="685"/>
      <c r="N17" s="686"/>
      <c r="O17" s="685"/>
      <c r="P17" s="685"/>
      <c r="Q17" s="685"/>
      <c r="R17" s="686"/>
      <c r="S17" s="685"/>
      <c r="T17" s="685"/>
      <c r="U17" s="685"/>
      <c r="V17" s="686"/>
      <c r="W17" s="685"/>
      <c r="X17" s="685"/>
      <c r="Y17" s="685"/>
      <c r="Z17" s="686"/>
      <c r="AA17" s="685"/>
      <c r="AB17" s="685"/>
      <c r="AC17" s="685"/>
      <c r="AD17" s="686"/>
      <c r="AE17" s="685"/>
      <c r="AF17" s="685"/>
      <c r="AG17" s="691"/>
      <c r="AH17" s="686"/>
      <c r="AI17" s="685"/>
      <c r="AJ17" s="691"/>
      <c r="AK17" s="691"/>
      <c r="AL17" s="692"/>
      <c r="AM17" s="691"/>
      <c r="AN17" s="691"/>
      <c r="AO17" s="691"/>
      <c r="AP17" s="762"/>
      <c r="AQ17" s="693"/>
      <c r="AR17" s="693"/>
      <c r="AS17" s="1123"/>
      <c r="AT17" s="762"/>
      <c r="AU17" s="693"/>
      <c r="AV17" s="693"/>
      <c r="AW17" s="1123"/>
      <c r="AX17" s="762"/>
      <c r="AY17" s="693"/>
      <c r="AZ17" s="693"/>
      <c r="BA17" s="1123"/>
      <c r="BB17" s="685"/>
      <c r="BC17" s="685"/>
      <c r="BD17" s="685"/>
      <c r="BE17" s="694"/>
      <c r="BF17" s="694"/>
      <c r="BG17" s="694"/>
      <c r="BH17" s="694"/>
      <c r="BI17" s="694"/>
      <c r="BJ17" s="694"/>
      <c r="BK17" s="694"/>
      <c r="BL17" s="694"/>
      <c r="BM17" s="694"/>
      <c r="BN17" s="695"/>
      <c r="BO17" s="695"/>
      <c r="BP17" s="695"/>
    </row>
    <row r="18" spans="1:68">
      <c r="A18" s="24">
        <f>ROWS($A$2:A18)</f>
        <v>17</v>
      </c>
      <c r="B18" s="52" t="s">
        <v>170</v>
      </c>
      <c r="C18" s="536"/>
      <c r="D18" s="53"/>
      <c r="E18" s="53"/>
      <c r="F18" s="536">
        <v>0.64564818733248697</v>
      </c>
      <c r="G18" s="53">
        <f t="shared" ref="G18:AC18" si="50">G15/G12</f>
        <v>0.64989148128052088</v>
      </c>
      <c r="H18" s="696"/>
      <c r="I18" s="849">
        <f t="shared" si="50"/>
        <v>0.6338742393509128</v>
      </c>
      <c r="J18" s="850">
        <v>0.66221111805121802</v>
      </c>
      <c r="K18" s="849">
        <f t="shared" si="50"/>
        <v>0.65573770491803274</v>
      </c>
      <c r="L18" s="849">
        <f t="shared" si="50"/>
        <v>0.65217861390420584</v>
      </c>
      <c r="M18" s="849">
        <f t="shared" si="50"/>
        <v>0.65564974782702001</v>
      </c>
      <c r="N18" s="850">
        <f t="shared" si="50"/>
        <v>0.66145670522038136</v>
      </c>
      <c r="O18" s="849">
        <f t="shared" si="50"/>
        <v>0.65440539239287432</v>
      </c>
      <c r="P18" s="849">
        <f t="shared" si="50"/>
        <v>0.65856158002608534</v>
      </c>
      <c r="Q18" s="849">
        <f t="shared" si="50"/>
        <v>0.65708104209862073</v>
      </c>
      <c r="R18" s="850">
        <f t="shared" si="50"/>
        <v>0.68505203405865656</v>
      </c>
      <c r="S18" s="849">
        <f t="shared" si="50"/>
        <v>0.67400537401404181</v>
      </c>
      <c r="T18" s="849">
        <f t="shared" si="50"/>
        <v>0.67999328069880738</v>
      </c>
      <c r="U18" s="849">
        <f t="shared" si="50"/>
        <v>0.68014268727705118</v>
      </c>
      <c r="V18" s="850">
        <f t="shared" si="50"/>
        <v>0.7012862616310892</v>
      </c>
      <c r="W18" s="849">
        <f t="shared" si="50"/>
        <v>0.67898559959220084</v>
      </c>
      <c r="X18" s="849">
        <f t="shared" si="50"/>
        <v>0.67607502563174715</v>
      </c>
      <c r="Y18" s="849">
        <f t="shared" si="50"/>
        <v>0.6667049170922027</v>
      </c>
      <c r="Z18" s="850">
        <f t="shared" si="50"/>
        <v>0.69634852957253746</v>
      </c>
      <c r="AA18" s="849">
        <f t="shared" si="50"/>
        <v>0.6795957946310095</v>
      </c>
      <c r="AB18" s="849">
        <f t="shared" si="50"/>
        <v>0.66630995232999324</v>
      </c>
      <c r="AC18" s="1124">
        <f t="shared" si="50"/>
        <v>0.65926267281105988</v>
      </c>
      <c r="AD18" s="850">
        <f t="shared" ref="AD18:AW18" si="51">AD15/AD12</f>
        <v>0.69342638451148131</v>
      </c>
      <c r="AE18" s="849">
        <f t="shared" si="51"/>
        <v>0.67542395220103679</v>
      </c>
      <c r="AF18" s="849">
        <f t="shared" si="51"/>
        <v>0.66952180088666979</v>
      </c>
      <c r="AG18" s="1124">
        <f t="shared" si="51"/>
        <v>0.65299999999999991</v>
      </c>
      <c r="AH18" s="850">
        <f t="shared" si="51"/>
        <v>0.67773959526536842</v>
      </c>
      <c r="AI18" s="849">
        <f t="shared" si="51"/>
        <v>0.68835933368588054</v>
      </c>
      <c r="AJ18" s="849">
        <f t="shared" si="51"/>
        <v>0.66600000000000015</v>
      </c>
      <c r="AK18" s="849">
        <f t="shared" si="51"/>
        <v>0.65697504529250195</v>
      </c>
      <c r="AL18" s="850">
        <f t="shared" si="51"/>
        <v>0.66298866778723631</v>
      </c>
      <c r="AM18" s="849">
        <f t="shared" ref="AM18:AN18" si="52">AM15/AM12</f>
        <v>0.6598339062147176</v>
      </c>
      <c r="AN18" s="849">
        <f t="shared" si="52"/>
        <v>0.66435070306038047</v>
      </c>
      <c r="AO18" s="849">
        <f t="shared" ref="AO18" si="53">AO15/AO12</f>
        <v>0.6562106776918929</v>
      </c>
      <c r="AP18" s="850">
        <f t="shared" si="51"/>
        <v>0.67447029433775585</v>
      </c>
      <c r="AQ18" s="849">
        <f t="shared" si="51"/>
        <v>0.63785675653227458</v>
      </c>
      <c r="AR18" s="849">
        <f t="shared" si="51"/>
        <v>0.6509994487835925</v>
      </c>
      <c r="AS18" s="1124">
        <f t="shared" si="51"/>
        <v>0.65067138940520253</v>
      </c>
      <c r="AT18" s="850">
        <f t="shared" si="51"/>
        <v>0.63575515295912832</v>
      </c>
      <c r="AU18" s="849">
        <f t="shared" si="51"/>
        <v>0.64577023165330183</v>
      </c>
      <c r="AV18" s="849">
        <f t="shared" si="51"/>
        <v>0.66191497938779464</v>
      </c>
      <c r="AW18" s="1124">
        <f t="shared" si="51"/>
        <v>0.65548069411857079</v>
      </c>
      <c r="AX18" s="850">
        <f t="shared" ref="AX18:BA18" si="54">AX15/AX12</f>
        <v>0.64307819714941794</v>
      </c>
      <c r="AY18" s="849">
        <f t="shared" si="54"/>
        <v>0.66060153215608619</v>
      </c>
      <c r="AZ18" s="849">
        <f t="shared" si="54"/>
        <v>0.66214682984654383</v>
      </c>
      <c r="BA18" s="1124">
        <f t="shared" si="54"/>
        <v>0.6748488641219279</v>
      </c>
      <c r="BB18" s="849"/>
      <c r="BC18" s="696"/>
      <c r="BD18" s="696"/>
      <c r="BE18" s="860">
        <v>0.6411379287290232</v>
      </c>
      <c r="BF18" s="860">
        <f t="shared" ref="BF18:BO18" si="55">BF15/BF12</f>
        <v>0.65034546542625538</v>
      </c>
      <c r="BG18" s="860">
        <f t="shared" si="55"/>
        <v>0.65795071583928866</v>
      </c>
      <c r="BH18" s="860">
        <f t="shared" si="55"/>
        <v>0.6796988933687913</v>
      </c>
      <c r="BI18" s="860">
        <f t="shared" si="55"/>
        <v>0.67999067164179106</v>
      </c>
      <c r="BJ18" s="860">
        <f t="shared" si="55"/>
        <v>0.67450652559079682</v>
      </c>
      <c r="BK18" s="860">
        <f t="shared" si="55"/>
        <v>0.66799999999999993</v>
      </c>
      <c r="BL18" s="860">
        <f t="shared" si="55"/>
        <v>0.66261088517638089</v>
      </c>
      <c r="BM18" s="860">
        <f t="shared" ref="BM18" si="56">BM15/BM12</f>
        <v>0.66164107128704419</v>
      </c>
      <c r="BN18" s="861">
        <f t="shared" si="55"/>
        <v>0.65283694757987365</v>
      </c>
      <c r="BO18" s="861">
        <f t="shared" si="55"/>
        <v>0.65000135856082919</v>
      </c>
      <c r="BP18" s="861">
        <f t="shared" ref="BP18" si="57">BP15/BP12</f>
        <v>0.66056643056363396</v>
      </c>
    </row>
    <row r="19" spans="1:68" s="764" customFormat="1">
      <c r="A19" s="770">
        <f>ROWS($A$2:A19)</f>
        <v>18</v>
      </c>
      <c r="B19" s="823"/>
      <c r="C19" s="824"/>
      <c r="D19" s="825"/>
      <c r="E19" s="825"/>
      <c r="F19" s="824"/>
      <c r="G19" s="825"/>
      <c r="H19" s="826"/>
      <c r="I19" s="826"/>
      <c r="J19" s="827"/>
      <c r="K19" s="826"/>
      <c r="L19" s="826"/>
      <c r="M19" s="826"/>
      <c r="N19" s="827"/>
      <c r="O19" s="826"/>
      <c r="P19" s="826"/>
      <c r="Q19" s="826"/>
      <c r="R19" s="827"/>
      <c r="S19" s="826"/>
      <c r="T19" s="826"/>
      <c r="U19" s="826"/>
      <c r="V19" s="827"/>
      <c r="W19" s="826"/>
      <c r="X19" s="826"/>
      <c r="Y19" s="826"/>
      <c r="Z19" s="827"/>
      <c r="AA19" s="826"/>
      <c r="AB19" s="826"/>
      <c r="AC19" s="826"/>
      <c r="AD19" s="827"/>
      <c r="AE19" s="826"/>
      <c r="AF19" s="826"/>
      <c r="AG19" s="826"/>
      <c r="AH19" s="827"/>
      <c r="AI19" s="826"/>
      <c r="AJ19" s="826"/>
      <c r="AK19" s="826"/>
      <c r="AL19" s="827"/>
      <c r="AM19" s="826"/>
      <c r="AN19" s="826"/>
      <c r="AO19" s="826"/>
      <c r="AP19" s="827"/>
      <c r="AQ19" s="826"/>
      <c r="AR19" s="826"/>
      <c r="AS19" s="828"/>
      <c r="AT19" s="827"/>
      <c r="AU19" s="826"/>
      <c r="AV19" s="826"/>
      <c r="AW19" s="828"/>
      <c r="AX19" s="827"/>
      <c r="AY19" s="826"/>
      <c r="AZ19" s="826"/>
      <c r="BA19" s="828"/>
      <c r="BB19" s="826"/>
      <c r="BC19" s="826"/>
      <c r="BD19" s="826"/>
      <c r="BE19" s="826"/>
      <c r="BF19" s="826"/>
      <c r="BG19" s="826"/>
      <c r="BH19" s="826"/>
      <c r="BI19" s="826"/>
      <c r="BJ19" s="826"/>
      <c r="BK19" s="826"/>
      <c r="BL19" s="826"/>
      <c r="BM19" s="826"/>
      <c r="BN19" s="829"/>
      <c r="BO19" s="829"/>
      <c r="BP19" s="829"/>
    </row>
    <row r="20" spans="1:68" s="768" customFormat="1">
      <c r="A20" s="780">
        <f>ROWS($A$2:A20)</f>
        <v>19</v>
      </c>
      <c r="B20" s="28" t="s">
        <v>171</v>
      </c>
      <c r="C20" s="800"/>
      <c r="D20" s="801"/>
      <c r="E20" s="801"/>
      <c r="F20" s="800">
        <v>1404</v>
      </c>
      <c r="G20" s="801">
        <v>1391</v>
      </c>
      <c r="H20" s="802">
        <v>1458</v>
      </c>
      <c r="I20" s="803">
        <v>1470</v>
      </c>
      <c r="J20" s="804">
        <v>1417</v>
      </c>
      <c r="K20" s="802">
        <v>1450</v>
      </c>
      <c r="L20" s="802">
        <v>1540</v>
      </c>
      <c r="M20" s="802">
        <v>1624</v>
      </c>
      <c r="N20" s="804">
        <v>1843</v>
      </c>
      <c r="O20" s="802">
        <v>1691</v>
      </c>
      <c r="P20" s="802">
        <v>1725</v>
      </c>
      <c r="Q20" s="802">
        <v>1816</v>
      </c>
      <c r="R20" s="804">
        <v>1523</v>
      </c>
      <c r="S20" s="802">
        <v>1589</v>
      </c>
      <c r="T20" s="802">
        <v>1665</v>
      </c>
      <c r="U20" s="802">
        <v>1767</v>
      </c>
      <c r="V20" s="804">
        <v>2007</v>
      </c>
      <c r="W20" s="802">
        <v>2115</v>
      </c>
      <c r="X20" s="802">
        <v>2145</v>
      </c>
      <c r="Y20" s="802">
        <v>2260</v>
      </c>
      <c r="Z20" s="804">
        <v>2543</v>
      </c>
      <c r="AA20" s="802">
        <v>2682</v>
      </c>
      <c r="AB20" s="802">
        <v>3063</v>
      </c>
      <c r="AC20" s="802">
        <v>3150</v>
      </c>
      <c r="AD20" s="804">
        <v>3264</v>
      </c>
      <c r="AE20" s="802">
        <v>3392</v>
      </c>
      <c r="AF20" s="802">
        <f>3508</f>
        <v>3508</v>
      </c>
      <c r="AG20" s="830">
        <f>AG27-AG15-AG22</f>
        <v>3590.8480000000018</v>
      </c>
      <c r="AH20" s="804">
        <f>3361-AH22</f>
        <v>3162</v>
      </c>
      <c r="AI20" s="805">
        <f>4503-AI22</f>
        <v>4283</v>
      </c>
      <c r="AJ20" s="805">
        <f>6276-AJ22</f>
        <v>5581</v>
      </c>
      <c r="AK20" s="805">
        <f>5868-AK22</f>
        <v>5252</v>
      </c>
      <c r="AL20" s="805">
        <f>6118-AL22</f>
        <v>5525</v>
      </c>
      <c r="AM20" s="805">
        <f>6276-AM22</f>
        <v>5715</v>
      </c>
      <c r="AN20" s="805">
        <f>6468-AN22</f>
        <v>6024</v>
      </c>
      <c r="AO20" s="805">
        <f>6132-AO22</f>
        <v>5751</v>
      </c>
      <c r="AP20" s="808">
        <f>'Revenue and Cost model'!AH165</f>
        <v>6595.0989149649122</v>
      </c>
      <c r="AQ20" s="806">
        <f>'Revenue and Cost model'!AI165</f>
        <v>8654.574199300283</v>
      </c>
      <c r="AR20" s="806">
        <f>'Revenue and Cost model'!AJ165</f>
        <v>8993.9656194588588</v>
      </c>
      <c r="AS20" s="807">
        <f>'Revenue and Cost model'!AK165</f>
        <v>9030.1099223603142</v>
      </c>
      <c r="AT20" s="808">
        <f>'Revenue and Cost model'!AL165</f>
        <v>10051.713136904944</v>
      </c>
      <c r="AU20" s="806">
        <f>'Revenue and Cost model'!AM165</f>
        <v>10346.339088348524</v>
      </c>
      <c r="AV20" s="806">
        <f>'Revenue and Cost model'!AN165</f>
        <v>10657.455296441496</v>
      </c>
      <c r="AW20" s="807">
        <f>'Revenue and Cost model'!AO165</f>
        <v>10951.430824830459</v>
      </c>
      <c r="AX20" s="808">
        <f>'Revenue and Cost model'!AP165</f>
        <v>11802.711036351688</v>
      </c>
      <c r="AY20" s="806">
        <f>'Revenue and Cost model'!AQ165</f>
        <v>11722.175050877961</v>
      </c>
      <c r="AZ20" s="806">
        <f>'Revenue and Cost model'!AR165</f>
        <v>12603.784718590499</v>
      </c>
      <c r="BA20" s="807">
        <f>'Revenue and Cost model'!AS165</f>
        <v>12096.863088813918</v>
      </c>
      <c r="BB20" s="802"/>
      <c r="BC20" s="802"/>
      <c r="BD20" s="802"/>
      <c r="BE20" s="809">
        <v>5723</v>
      </c>
      <c r="BF20" s="809">
        <v>6402</v>
      </c>
      <c r="BG20" s="809">
        <v>7097</v>
      </c>
      <c r="BH20" s="809">
        <v>6544</v>
      </c>
      <c r="BI20" s="809">
        <f>SUM(V20:Y20)</f>
        <v>8527</v>
      </c>
      <c r="BJ20" s="809">
        <f>SUM(Z20:AC20)</f>
        <v>11438</v>
      </c>
      <c r="BK20" s="831">
        <f>BK27-BK15-BK22</f>
        <v>13695.548000000003</v>
      </c>
      <c r="BL20" s="831">
        <f>23516-BL22</f>
        <v>21774</v>
      </c>
      <c r="BM20" s="831">
        <f>25036-BM22</f>
        <v>23057</v>
      </c>
      <c r="BN20" s="810">
        <f>SUM(AP20:AS20)</f>
        <v>33273.748656084368</v>
      </c>
      <c r="BO20" s="810">
        <f>SUM(AT20:AW20)</f>
        <v>42006.938346525421</v>
      </c>
      <c r="BP20" s="810">
        <f>SUM(AX20:BA20)</f>
        <v>48225.533894634063</v>
      </c>
    </row>
    <row r="21" spans="1:68">
      <c r="A21" s="24">
        <f>ROWS($A$2:A21)</f>
        <v>20</v>
      </c>
      <c r="B21" s="52" t="s">
        <v>172</v>
      </c>
      <c r="C21" s="536"/>
      <c r="D21" s="53"/>
      <c r="E21" s="53"/>
      <c r="F21" s="1125">
        <v>0.19805332204824375</v>
      </c>
      <c r="G21" s="848">
        <f t="shared" ref="G21:AC21" si="58">G20/G12</f>
        <v>0.18868692349430277</v>
      </c>
      <c r="H21" s="849">
        <f t="shared" si="58"/>
        <v>0.19272967614011896</v>
      </c>
      <c r="I21" s="849">
        <f t="shared" si="58"/>
        <v>0.18635902636916835</v>
      </c>
      <c r="J21" s="850">
        <v>0.17701436602123674</v>
      </c>
      <c r="K21" s="849">
        <f t="shared" si="58"/>
        <v>0.16622721540754329</v>
      </c>
      <c r="L21" s="849">
        <f t="shared" si="58"/>
        <v>0.1665044869715645</v>
      </c>
      <c r="M21" s="849">
        <f t="shared" si="58"/>
        <v>0.17426762528168258</v>
      </c>
      <c r="N21" s="850">
        <f t="shared" si="58"/>
        <v>0.19203917891007607</v>
      </c>
      <c r="O21" s="849">
        <f t="shared" si="58"/>
        <v>0.16283100625902744</v>
      </c>
      <c r="P21" s="849">
        <f t="shared" si="58"/>
        <v>0.16070430408049188</v>
      </c>
      <c r="Q21" s="849">
        <f t="shared" si="58"/>
        <v>0.16370684215270892</v>
      </c>
      <c r="R21" s="850">
        <f t="shared" si="58"/>
        <v>0.14408703878902554</v>
      </c>
      <c r="S21" s="849">
        <f t="shared" si="58"/>
        <v>0.13773077923203605</v>
      </c>
      <c r="T21" s="849">
        <f t="shared" si="58"/>
        <v>0.13984545607256846</v>
      </c>
      <c r="U21" s="849">
        <f t="shared" si="58"/>
        <v>0.14007134363852555</v>
      </c>
      <c r="V21" s="850">
        <f t="shared" si="58"/>
        <v>0.1373152709359606</v>
      </c>
      <c r="W21" s="849">
        <f t="shared" si="58"/>
        <v>0.13476487829743852</v>
      </c>
      <c r="X21" s="849">
        <f t="shared" si="58"/>
        <v>0.12936493576985705</v>
      </c>
      <c r="Y21" s="849">
        <f t="shared" si="58"/>
        <v>0.12966894256698605</v>
      </c>
      <c r="Z21" s="850">
        <f t="shared" si="58"/>
        <v>0.1390073248059473</v>
      </c>
      <c r="AA21" s="849">
        <f t="shared" si="58"/>
        <v>0.13687863631723998</v>
      </c>
      <c r="AB21" s="849">
        <f t="shared" si="58"/>
        <v>0.14899309271329897</v>
      </c>
      <c r="AC21" s="1124">
        <f t="shared" si="58"/>
        <v>0.14516129032258066</v>
      </c>
      <c r="AD21" s="850">
        <f t="shared" ref="AD21:AW21" si="59">AD20/AD12</f>
        <v>0.14696082845565062</v>
      </c>
      <c r="AE21" s="849">
        <f t="shared" si="59"/>
        <v>0.14902029698620509</v>
      </c>
      <c r="AF21" s="849">
        <f t="shared" si="59"/>
        <v>0.15099212327293074</v>
      </c>
      <c r="AG21" s="1124">
        <f t="shared" si="59"/>
        <v>0.15488474810213948</v>
      </c>
      <c r="AH21" s="850">
        <f t="shared" si="59"/>
        <v>0.13414789359806542</v>
      </c>
      <c r="AI21" s="849">
        <f t="shared" si="59"/>
        <v>0.14155869910100477</v>
      </c>
      <c r="AJ21" s="849">
        <f t="shared" si="59"/>
        <v>0.17129615420030078</v>
      </c>
      <c r="AK21" s="849">
        <f t="shared" si="59"/>
        <v>0.15346852901642219</v>
      </c>
      <c r="AL21" s="850">
        <f t="shared" si="59"/>
        <v>0.14978582660087839</v>
      </c>
      <c r="AM21" s="849">
        <f t="shared" si="59"/>
        <v>0.1433876107082821</v>
      </c>
      <c r="AN21" s="849">
        <f t="shared" ref="AN21" si="60">AN20/AN12</f>
        <v>0.1423608649415101</v>
      </c>
      <c r="AO21" s="849">
        <f t="shared" ref="AO21" si="61">AO20/AO12</f>
        <v>0.12922433938522379</v>
      </c>
      <c r="AP21" s="850">
        <f t="shared" si="59"/>
        <v>0.12</v>
      </c>
      <c r="AQ21" s="849">
        <f t="shared" si="59"/>
        <v>0.13999999999999999</v>
      </c>
      <c r="AR21" s="849">
        <f t="shared" si="59"/>
        <v>0.14000000000000001</v>
      </c>
      <c r="AS21" s="1124">
        <f t="shared" si="59"/>
        <v>0.13500000000000001</v>
      </c>
      <c r="AT21" s="850">
        <f t="shared" si="59"/>
        <v>0.14000000000000001</v>
      </c>
      <c r="AU21" s="849">
        <f t="shared" si="59"/>
        <v>0.14000000000000001</v>
      </c>
      <c r="AV21" s="849">
        <f t="shared" si="59"/>
        <v>0.14000000000000001</v>
      </c>
      <c r="AW21" s="1124">
        <f t="shared" si="59"/>
        <v>0.14000000000000001</v>
      </c>
      <c r="AX21" s="850">
        <f t="shared" ref="AX21:BA21" si="62">AX20/AX12</f>
        <v>0.14000000000000001</v>
      </c>
      <c r="AY21" s="849">
        <f t="shared" si="62"/>
        <v>0.13500000000000001</v>
      </c>
      <c r="AZ21" s="849">
        <f t="shared" si="62"/>
        <v>0.14000000000000001</v>
      </c>
      <c r="BA21" s="1124">
        <f t="shared" si="62"/>
        <v>0.13</v>
      </c>
      <c r="BB21" s="849"/>
      <c r="BC21" s="696"/>
      <c r="BD21" s="696"/>
      <c r="BE21" s="862">
        <v>0.19131510329611554</v>
      </c>
      <c r="BF21" s="862">
        <f t="shared" ref="BF21:BO21" si="63">BF20/BF12</f>
        <v>0.1741472172351885</v>
      </c>
      <c r="BG21" s="862">
        <f t="shared" si="63"/>
        <v>0.16962642510576256</v>
      </c>
      <c r="BH21" s="862">
        <f t="shared" si="63"/>
        <v>0.14034485716736725</v>
      </c>
      <c r="BI21" s="862">
        <f t="shared" si="63"/>
        <v>0.13257151741293532</v>
      </c>
      <c r="BJ21" s="862">
        <f t="shared" si="63"/>
        <v>0.14271454595363461</v>
      </c>
      <c r="BK21" s="862">
        <f t="shared" si="63"/>
        <v>0.15202242227130952</v>
      </c>
      <c r="BL21" s="862">
        <f t="shared" si="63"/>
        <v>0.18034837202753182</v>
      </c>
      <c r="BM21" s="862">
        <f t="shared" ref="BM21" si="64">BM20/BM12</f>
        <v>0.14056832106909228</v>
      </c>
      <c r="BN21" s="863">
        <f t="shared" si="63"/>
        <v>0.13421712524355725</v>
      </c>
      <c r="BO21" s="863">
        <f t="shared" si="63"/>
        <v>0.14000000000000001</v>
      </c>
      <c r="BP21" s="863">
        <f t="shared" ref="BP21" si="65">BP20/BP12</f>
        <v>0.1361473134772766</v>
      </c>
    </row>
    <row r="22" spans="1:68">
      <c r="A22" s="24">
        <f>ROWS($A$2:A22)</f>
        <v>21</v>
      </c>
      <c r="B22" s="4" t="s">
        <v>173</v>
      </c>
      <c r="C22" s="285"/>
      <c r="D22" s="59"/>
      <c r="E22" s="59"/>
      <c r="F22" s="285"/>
      <c r="G22" s="59"/>
      <c r="H22" s="700"/>
      <c r="I22" s="1126"/>
      <c r="J22" s="701"/>
      <c r="K22" s="700"/>
      <c r="L22" s="700">
        <f>L23*L12</f>
        <v>0</v>
      </c>
      <c r="M22" s="700">
        <f>M23*M12</f>
        <v>0</v>
      </c>
      <c r="N22" s="701">
        <f>N23*N12</f>
        <v>0</v>
      </c>
      <c r="O22" s="700">
        <f>O23*O12</f>
        <v>0</v>
      </c>
      <c r="P22" s="700">
        <v>0</v>
      </c>
      <c r="Q22" s="700">
        <v>17</v>
      </c>
      <c r="R22" s="701">
        <v>120</v>
      </c>
      <c r="S22" s="700">
        <f>0+124</f>
        <v>124</v>
      </c>
      <c r="T22" s="700">
        <v>136</v>
      </c>
      <c r="U22" s="700">
        <f>46+100</f>
        <v>146</v>
      </c>
      <c r="V22" s="701">
        <f>124+130</f>
        <v>254</v>
      </c>
      <c r="W22" s="685">
        <f>135+51</f>
        <v>186</v>
      </c>
      <c r="X22" s="685">
        <f>158+48</f>
        <v>206</v>
      </c>
      <c r="Y22" s="700">
        <f>210+46</f>
        <v>256</v>
      </c>
      <c r="Z22" s="701">
        <f>90+4</f>
        <v>94</v>
      </c>
      <c r="AA22" s="685">
        <f>147+5</f>
        <v>152</v>
      </c>
      <c r="AB22" s="685">
        <v>182</v>
      </c>
      <c r="AC22" s="685">
        <v>168</v>
      </c>
      <c r="AD22" s="701">
        <f>216+13</f>
        <v>229</v>
      </c>
      <c r="AE22" s="700">
        <f>519+4</f>
        <v>523</v>
      </c>
      <c r="AF22" s="700">
        <f>4170-4012</f>
        <v>158</v>
      </c>
      <c r="AG22" s="685">
        <f>4473-4251</f>
        <v>222</v>
      </c>
      <c r="AH22" s="692">
        <v>199</v>
      </c>
      <c r="AI22" s="700">
        <v>220</v>
      </c>
      <c r="AJ22" s="702">
        <v>695</v>
      </c>
      <c r="AK22" s="691">
        <v>616</v>
      </c>
      <c r="AL22" s="692">
        <v>593</v>
      </c>
      <c r="AM22" s="691">
        <v>561</v>
      </c>
      <c r="AN22" s="691">
        <v>444</v>
      </c>
      <c r="AO22" s="691">
        <v>381</v>
      </c>
      <c r="AP22" s="701">
        <f t="shared" ref="AP22:AW22" si="66">AP23*AP12</f>
        <v>384.71410337295322</v>
      </c>
      <c r="AQ22" s="700">
        <f t="shared" si="66"/>
        <v>432.72870996501416</v>
      </c>
      <c r="AR22" s="700">
        <f t="shared" si="66"/>
        <v>449.69828097294294</v>
      </c>
      <c r="AS22" s="1126">
        <f t="shared" si="66"/>
        <v>468.22792190016446</v>
      </c>
      <c r="AT22" s="701">
        <f t="shared" si="66"/>
        <v>502.58565684524717</v>
      </c>
      <c r="AU22" s="700">
        <f t="shared" si="66"/>
        <v>517.31695441742625</v>
      </c>
      <c r="AV22" s="700">
        <f t="shared" si="66"/>
        <v>532.87276482207483</v>
      </c>
      <c r="AW22" s="1126">
        <f t="shared" si="66"/>
        <v>547.57154124152294</v>
      </c>
      <c r="AX22" s="701">
        <f t="shared" ref="AX22:BA22" si="67">AX23*AX12</f>
        <v>590.13555181758431</v>
      </c>
      <c r="AY22" s="700">
        <f t="shared" si="67"/>
        <v>607.81648411959793</v>
      </c>
      <c r="AZ22" s="700">
        <f t="shared" si="67"/>
        <v>630.1892359295249</v>
      </c>
      <c r="BA22" s="1126">
        <f t="shared" si="67"/>
        <v>651.36955093613403</v>
      </c>
      <c r="BB22" s="700"/>
      <c r="BC22" s="700"/>
      <c r="BD22" s="700"/>
      <c r="BE22" s="122"/>
      <c r="BF22" s="122"/>
      <c r="BG22" s="122">
        <v>17</v>
      </c>
      <c r="BH22" s="122">
        <f>46+481</f>
        <v>527</v>
      </c>
      <c r="BI22" s="122">
        <f>SUM(V22:Y22)</f>
        <v>902</v>
      </c>
      <c r="BJ22" s="122">
        <f>SUM(Z22:AC22)</f>
        <v>596</v>
      </c>
      <c r="BK22" s="703">
        <v>1046</v>
      </c>
      <c r="BL22" s="703">
        <v>1742</v>
      </c>
      <c r="BM22" s="703">
        <v>1979</v>
      </c>
      <c r="BN22" s="695">
        <f>SUM(AP22:AS22)</f>
        <v>1735.3690162110747</v>
      </c>
      <c r="BO22" s="695">
        <f>SUM(AT22:AW22)</f>
        <v>2100.3469173262711</v>
      </c>
      <c r="BP22" s="695">
        <f>SUM(AX22:BA22)</f>
        <v>2479.5108228028412</v>
      </c>
    </row>
    <row r="23" spans="1:68">
      <c r="A23" s="24">
        <f>ROWS($A$2:A23)</f>
        <v>22</v>
      </c>
      <c r="B23" s="52" t="s">
        <v>172</v>
      </c>
      <c r="C23" s="536"/>
      <c r="D23" s="52"/>
      <c r="E23" s="53"/>
      <c r="F23" s="536"/>
      <c r="G23" s="52"/>
      <c r="H23" s="696"/>
      <c r="I23" s="1127"/>
      <c r="J23" s="705"/>
      <c r="K23" s="834"/>
      <c r="L23" s="704"/>
      <c r="M23" s="704"/>
      <c r="N23" s="705"/>
      <c r="O23" s="704"/>
      <c r="P23" s="704"/>
      <c r="Q23" s="834">
        <f t="shared" ref="Q23:AF23" si="68">Q22/Q12</f>
        <v>1.5324979716938611E-3</v>
      </c>
      <c r="R23" s="847">
        <f t="shared" si="68"/>
        <v>1.1352885525070956E-2</v>
      </c>
      <c r="S23" s="834">
        <f t="shared" si="68"/>
        <v>1.0748028083557251E-2</v>
      </c>
      <c r="T23" s="834">
        <f t="shared" si="68"/>
        <v>1.1422812027549134E-2</v>
      </c>
      <c r="U23" s="834">
        <f t="shared" si="68"/>
        <v>1.1573523583036068E-2</v>
      </c>
      <c r="V23" s="847">
        <f t="shared" si="68"/>
        <v>1.7378215654077721E-2</v>
      </c>
      <c r="W23" s="834">
        <f t="shared" si="68"/>
        <v>1.1851663055944947E-2</v>
      </c>
      <c r="X23" s="834">
        <f t="shared" si="68"/>
        <v>1.2423858633375551E-2</v>
      </c>
      <c r="Y23" s="834">
        <f t="shared" si="68"/>
        <v>1.468816340581789E-2</v>
      </c>
      <c r="Z23" s="847">
        <f t="shared" si="68"/>
        <v>5.1382967093035964E-3</v>
      </c>
      <c r="AA23" s="834">
        <f t="shared" si="68"/>
        <v>7.7574767786056957E-3</v>
      </c>
      <c r="AB23" s="834">
        <f t="shared" si="68"/>
        <v>8.8530012647144666E-3</v>
      </c>
      <c r="AC23" s="834">
        <f t="shared" si="68"/>
        <v>7.7419354838709677E-3</v>
      </c>
      <c r="AD23" s="847">
        <f t="shared" si="68"/>
        <v>1.0310670868977937E-2</v>
      </c>
      <c r="AE23" s="834">
        <f t="shared" si="68"/>
        <v>2.2976891310078202E-2</v>
      </c>
      <c r="AF23" s="834">
        <f t="shared" si="68"/>
        <v>6.8006714587009855E-3</v>
      </c>
      <c r="AG23" s="834">
        <v>6.4999999999999997E-3</v>
      </c>
      <c r="AH23" s="847">
        <f t="shared" ref="AH23:AM23" si="69">AH22/AH12</f>
        <v>8.4425777438377671E-3</v>
      </c>
      <c r="AI23" s="834">
        <f t="shared" si="69"/>
        <v>7.2712850343733476E-3</v>
      </c>
      <c r="AJ23" s="834">
        <f t="shared" si="69"/>
        <v>2.133145084558485E-2</v>
      </c>
      <c r="AK23" s="834">
        <f t="shared" si="69"/>
        <v>1.8000116883875868E-2</v>
      </c>
      <c r="AL23" s="847">
        <f t="shared" si="69"/>
        <v>1.6076560212546765E-2</v>
      </c>
      <c r="AM23" s="920">
        <f t="shared" si="69"/>
        <v>1.4075319266377298E-2</v>
      </c>
      <c r="AN23" s="920">
        <f t="shared" ref="AN23" si="70">AN22/AN12</f>
        <v>1.0492733073378235E-2</v>
      </c>
      <c r="AO23" s="920">
        <f t="shared" ref="AO23" si="71">AO22/AO12</f>
        <v>8.5610282221822761E-3</v>
      </c>
      <c r="AP23" s="1128">
        <v>7.0000000000000001E-3</v>
      </c>
      <c r="AQ23" s="920">
        <v>7.0000000000000001E-3</v>
      </c>
      <c r="AR23" s="920">
        <v>7.0000000000000001E-3</v>
      </c>
      <c r="AS23" s="1129">
        <v>7.0000000000000001E-3</v>
      </c>
      <c r="AT23" s="1128">
        <v>7.0000000000000001E-3</v>
      </c>
      <c r="AU23" s="920">
        <v>7.0000000000000001E-3</v>
      </c>
      <c r="AV23" s="920">
        <v>7.0000000000000001E-3</v>
      </c>
      <c r="AW23" s="1129">
        <v>7.0000000000000001E-3</v>
      </c>
      <c r="AX23" s="1128">
        <v>7.0000000000000001E-3</v>
      </c>
      <c r="AY23" s="920">
        <v>7.0000000000000001E-3</v>
      </c>
      <c r="AZ23" s="920">
        <v>7.0000000000000001E-3</v>
      </c>
      <c r="BA23" s="1129">
        <v>7.0000000000000001E-3</v>
      </c>
      <c r="BB23" s="834"/>
      <c r="BC23" s="704"/>
      <c r="BD23" s="704"/>
      <c r="BE23" s="523"/>
      <c r="BF23" s="523"/>
      <c r="BG23" s="881">
        <f t="shared" ref="BG23:BO23" si="72">BG22/BG12</f>
        <v>4.0631946270226342E-4</v>
      </c>
      <c r="BH23" s="881">
        <f t="shared" si="72"/>
        <v>1.1302221840953933E-2</v>
      </c>
      <c r="BI23" s="881">
        <f t="shared" si="72"/>
        <v>1.402363184079602E-2</v>
      </c>
      <c r="BJ23" s="881">
        <f t="shared" si="72"/>
        <v>7.4364285179547322E-3</v>
      </c>
      <c r="BK23" s="881">
        <f t="shared" si="72"/>
        <v>1.1610740489959928E-2</v>
      </c>
      <c r="BL23" s="881">
        <f t="shared" si="72"/>
        <v>1.4428532381370462E-2</v>
      </c>
      <c r="BM23" s="881">
        <f t="shared" ref="BM23" si="73">BM22/BM12</f>
        <v>1.2065086845458369E-2</v>
      </c>
      <c r="BN23" s="929">
        <f>BN22/BN12</f>
        <v>7.0000000000000001E-3</v>
      </c>
      <c r="BO23" s="929">
        <f t="shared" si="72"/>
        <v>7.0000000000000001E-3</v>
      </c>
      <c r="BP23" s="929">
        <f t="shared" ref="BP23" si="74">BP22/BP12</f>
        <v>6.9999999999999993E-3</v>
      </c>
    </row>
    <row r="24" spans="1:68">
      <c r="A24" s="24">
        <f>ROWS($A$2:A24)</f>
        <v>23</v>
      </c>
      <c r="B24" s="258" t="s">
        <v>173</v>
      </c>
      <c r="C24" s="536"/>
      <c r="D24" s="52"/>
      <c r="E24" s="53"/>
      <c r="F24" s="536"/>
      <c r="G24" s="52"/>
      <c r="H24" s="696"/>
      <c r="I24" s="697"/>
      <c r="J24" s="705"/>
      <c r="K24" s="704"/>
      <c r="L24" s="704"/>
      <c r="M24" s="704"/>
      <c r="N24" s="705"/>
      <c r="O24" s="704"/>
      <c r="P24" s="704"/>
      <c r="Q24" s="704"/>
      <c r="R24" s="705"/>
      <c r="S24" s="704"/>
      <c r="T24" s="704"/>
      <c r="U24" s="704"/>
      <c r="V24" s="705"/>
      <c r="W24" s="704"/>
      <c r="X24" s="704"/>
      <c r="Y24" s="704"/>
      <c r="Z24" s="325">
        <f>Z21+Z23</f>
        <v>0.1441456215152509</v>
      </c>
      <c r="AA24" s="704"/>
      <c r="AB24" s="704"/>
      <c r="AC24" s="325"/>
      <c r="AD24" s="707"/>
      <c r="AE24" s="707"/>
      <c r="AF24" s="707"/>
      <c r="AG24" s="325"/>
      <c r="AH24" s="708"/>
      <c r="AI24" s="707"/>
      <c r="AJ24" s="707"/>
      <c r="AK24" s="707"/>
      <c r="AL24" s="709"/>
      <c r="AM24" s="707"/>
      <c r="AN24" s="982"/>
      <c r="AO24" s="982"/>
      <c r="AP24" s="705"/>
      <c r="AQ24" s="704"/>
      <c r="AR24" s="704"/>
      <c r="AS24" s="908"/>
      <c r="AT24" s="705"/>
      <c r="AU24" s="704"/>
      <c r="AV24" s="704"/>
      <c r="AW24" s="908"/>
      <c r="AX24" s="705"/>
      <c r="AY24" s="704"/>
      <c r="AZ24" s="704"/>
      <c r="BA24" s="908"/>
      <c r="BB24" s="707"/>
      <c r="BC24" s="707"/>
      <c r="BD24" s="707"/>
      <c r="BE24" s="523"/>
      <c r="BF24" s="523"/>
      <c r="BG24" s="523"/>
      <c r="BH24" s="523"/>
      <c r="BI24" s="523"/>
      <c r="BJ24" s="523"/>
      <c r="BK24" s="523"/>
      <c r="BL24" s="523"/>
      <c r="BM24" s="523"/>
      <c r="BN24" s="706"/>
      <c r="BO24" s="706"/>
      <c r="BP24" s="706"/>
    </row>
    <row r="25" spans="1:68">
      <c r="A25" s="24">
        <f>ROWS($A$2:A25)</f>
        <v>24</v>
      </c>
      <c r="B25" s="258" t="s">
        <v>174</v>
      </c>
      <c r="C25" s="536"/>
      <c r="D25" s="52"/>
      <c r="E25" s="53"/>
      <c r="F25" s="536"/>
      <c r="G25" s="52"/>
      <c r="H25" s="696"/>
      <c r="I25" s="697"/>
      <c r="J25" s="705"/>
      <c r="K25" s="704"/>
      <c r="L25" s="704"/>
      <c r="M25" s="704"/>
      <c r="N25" s="705"/>
      <c r="O25" s="704"/>
      <c r="P25" s="704"/>
      <c r="Q25" s="704"/>
      <c r="R25" s="705"/>
      <c r="S25" s="704"/>
      <c r="T25" s="704"/>
      <c r="U25" s="704"/>
      <c r="V25" s="705"/>
      <c r="W25" s="704"/>
      <c r="X25" s="704"/>
      <c r="Y25" s="704"/>
      <c r="Z25" s="325"/>
      <c r="AA25" s="704"/>
      <c r="AB25" s="704"/>
      <c r="AC25" s="325"/>
      <c r="AD25" s="707"/>
      <c r="AE25" s="707"/>
      <c r="AF25" s="707"/>
      <c r="AG25" s="325"/>
      <c r="AH25" s="709"/>
      <c r="AI25" s="707">
        <v>290</v>
      </c>
      <c r="AJ25" s="707"/>
      <c r="AK25" s="759">
        <v>422</v>
      </c>
      <c r="AL25" s="709">
        <v>43</v>
      </c>
      <c r="AM25" s="707"/>
      <c r="AN25" s="707"/>
      <c r="AO25" s="707"/>
      <c r="AP25" s="705"/>
      <c r="AQ25" s="704"/>
      <c r="AR25" s="704"/>
      <c r="AS25" s="908"/>
      <c r="AT25" s="705"/>
      <c r="AU25" s="704"/>
      <c r="AV25" s="704"/>
      <c r="AW25" s="908"/>
      <c r="AX25" s="705"/>
      <c r="AY25" s="704"/>
      <c r="AZ25" s="704"/>
      <c r="BA25" s="908"/>
      <c r="BB25" s="707"/>
      <c r="BC25" s="707"/>
      <c r="BD25" s="707"/>
      <c r="BE25" s="523"/>
      <c r="BF25" s="523"/>
      <c r="BG25" s="523"/>
      <c r="BH25" s="523"/>
      <c r="BI25" s="523"/>
      <c r="BJ25" s="523"/>
      <c r="BK25" s="523"/>
      <c r="BL25" s="523"/>
      <c r="BM25" s="523"/>
      <c r="BN25" s="706"/>
      <c r="BO25" s="706"/>
      <c r="BP25" s="706"/>
    </row>
    <row r="26" spans="1:68">
      <c r="A26" s="24">
        <f>ROWS($A$2:A26)</f>
        <v>25</v>
      </c>
      <c r="B26" s="258" t="s">
        <v>175</v>
      </c>
      <c r="C26" s="536"/>
      <c r="D26" s="52"/>
      <c r="E26" s="53"/>
      <c r="F26" s="536"/>
      <c r="G26" s="52"/>
      <c r="H26" s="696"/>
      <c r="I26" s="697"/>
      <c r="J26" s="705"/>
      <c r="K26" s="704"/>
      <c r="L26" s="704"/>
      <c r="M26" s="704"/>
      <c r="N26" s="705"/>
      <c r="O26" s="704"/>
      <c r="P26" s="704"/>
      <c r="Q26" s="704"/>
      <c r="R26" s="705"/>
      <c r="S26" s="704"/>
      <c r="T26" s="704"/>
      <c r="U26" s="704"/>
      <c r="V26" s="705"/>
      <c r="W26" s="704"/>
      <c r="X26" s="704"/>
      <c r="Y26" s="704"/>
      <c r="Z26" s="325"/>
      <c r="AA26" s="704"/>
      <c r="AB26" s="704"/>
      <c r="AC26" s="325"/>
      <c r="AD26" s="707"/>
      <c r="AE26" s="707"/>
      <c r="AF26" s="707"/>
      <c r="AG26" s="325"/>
      <c r="AH26" s="709"/>
      <c r="AI26" s="707"/>
      <c r="AJ26" s="707"/>
      <c r="AK26" s="707"/>
      <c r="AL26" s="709">
        <v>458</v>
      </c>
      <c r="AM26" s="707"/>
      <c r="AN26" s="707"/>
      <c r="AO26" s="707"/>
      <c r="AP26" s="705"/>
      <c r="AQ26" s="704"/>
      <c r="AR26" s="704"/>
      <c r="AS26" s="908"/>
      <c r="AT26" s="705"/>
      <c r="AU26" s="704"/>
      <c r="AV26" s="704"/>
      <c r="AW26" s="908"/>
      <c r="AX26" s="705"/>
      <c r="AY26" s="704"/>
      <c r="AZ26" s="704"/>
      <c r="BA26" s="908"/>
      <c r="BB26" s="707"/>
      <c r="BC26" s="707"/>
      <c r="BD26" s="707"/>
      <c r="BE26" s="523"/>
      <c r="BF26" s="523"/>
      <c r="BG26" s="523"/>
      <c r="BH26" s="523"/>
      <c r="BI26" s="523"/>
      <c r="BJ26" s="523"/>
      <c r="BK26" s="523"/>
      <c r="BL26" s="523"/>
      <c r="BM26" s="523"/>
      <c r="BN26" s="706"/>
      <c r="BO26" s="706"/>
      <c r="BP26" s="706"/>
    </row>
    <row r="27" spans="1:68">
      <c r="A27" s="24">
        <f>ROWS($A$2:A27)</f>
        <v>26</v>
      </c>
      <c r="B27" s="61" t="s">
        <v>176</v>
      </c>
      <c r="C27" s="62"/>
      <c r="D27" s="63"/>
      <c r="E27" s="63"/>
      <c r="F27" s="62">
        <v>5981</v>
      </c>
      <c r="G27" s="63">
        <f t="shared" ref="G27:AF27" si="75">G15+G20+G22</f>
        <v>6182</v>
      </c>
      <c r="H27" s="710">
        <f t="shared" si="75"/>
        <v>6269</v>
      </c>
      <c r="I27" s="710">
        <f t="shared" si="75"/>
        <v>6470</v>
      </c>
      <c r="J27" s="711">
        <v>6718</v>
      </c>
      <c r="K27" s="710">
        <f t="shared" si="75"/>
        <v>7170</v>
      </c>
      <c r="L27" s="710">
        <f t="shared" si="75"/>
        <v>7572</v>
      </c>
      <c r="M27" s="710">
        <f t="shared" si="75"/>
        <v>7734</v>
      </c>
      <c r="N27" s="711">
        <f t="shared" si="75"/>
        <v>8191</v>
      </c>
      <c r="O27" s="710">
        <f t="shared" si="75"/>
        <v>8487</v>
      </c>
      <c r="P27" s="710">
        <f t="shared" si="75"/>
        <v>8794</v>
      </c>
      <c r="Q27" s="710">
        <f t="shared" si="75"/>
        <v>9122</v>
      </c>
      <c r="R27" s="711">
        <f t="shared" si="75"/>
        <v>8884</v>
      </c>
      <c r="S27" s="710">
        <f t="shared" si="75"/>
        <v>9489</v>
      </c>
      <c r="T27" s="710">
        <f t="shared" si="75"/>
        <v>9897</v>
      </c>
      <c r="U27" s="710">
        <f t="shared" si="75"/>
        <v>10493</v>
      </c>
      <c r="V27" s="711">
        <f t="shared" si="75"/>
        <v>12511</v>
      </c>
      <c r="W27" s="710">
        <f t="shared" si="75"/>
        <v>12957</v>
      </c>
      <c r="X27" s="710">
        <f t="shared" si="75"/>
        <v>13561</v>
      </c>
      <c r="Y27" s="710">
        <f t="shared" si="75"/>
        <v>14136</v>
      </c>
      <c r="Z27" s="711">
        <f t="shared" si="75"/>
        <v>15376</v>
      </c>
      <c r="AA27" s="710">
        <f t="shared" si="75"/>
        <v>16150</v>
      </c>
      <c r="AB27" s="710">
        <f t="shared" si="75"/>
        <v>16943</v>
      </c>
      <c r="AC27" s="712">
        <f t="shared" si="75"/>
        <v>17624</v>
      </c>
      <c r="AD27" s="711">
        <f t="shared" si="75"/>
        <v>18894</v>
      </c>
      <c r="AE27" s="710">
        <f t="shared" si="75"/>
        <v>19289</v>
      </c>
      <c r="AF27" s="710">
        <f t="shared" si="75"/>
        <v>19221</v>
      </c>
      <c r="AG27" s="713">
        <f>AG12-AG29</f>
        <v>18952</v>
      </c>
      <c r="AH27" s="711">
        <f>AH15+AH20+AH22</f>
        <v>19336</v>
      </c>
      <c r="AI27" s="714">
        <f>AI15+AI20+AI22+AI25+AI26</f>
        <v>25620</v>
      </c>
      <c r="AJ27" s="713">
        <f>AJ12-AJ29</f>
        <v>27524</v>
      </c>
      <c r="AK27" s="713">
        <f>AK15+AK20+AK22+AK25</f>
        <v>28773</v>
      </c>
      <c r="AL27" s="714">
        <f>AL15+AL20+AL22+AL25+AL26</f>
        <v>31074</v>
      </c>
      <c r="AM27" s="714">
        <f>AM15+AM20+AM22+AM25+AM26</f>
        <v>32575</v>
      </c>
      <c r="AN27" s="714">
        <f>AN15+AN20+AN22+AN25+AN26</f>
        <v>34580</v>
      </c>
      <c r="AO27" s="714">
        <f>AO15+AO20+AO22+AO25+AO26</f>
        <v>35336</v>
      </c>
      <c r="AP27" s="711">
        <f t="shared" ref="AP27:AW27" si="76">AP15+AP20+AP22</f>
        <v>44048.132238029524</v>
      </c>
      <c r="AQ27" s="710">
        <f t="shared" si="76"/>
        <v>48518.578823076619</v>
      </c>
      <c r="AR27" s="710">
        <f t="shared" si="76"/>
        <v>51265.568619333942</v>
      </c>
      <c r="AS27" s="712">
        <f t="shared" si="76"/>
        <v>53021.553915844859</v>
      </c>
      <c r="AT27" s="711">
        <f t="shared" si="76"/>
        <v>56200.216099852201</v>
      </c>
      <c r="AU27" s="710">
        <f t="shared" si="76"/>
        <v>58587.640255954793</v>
      </c>
      <c r="AV27" s="710">
        <f t="shared" si="76"/>
        <v>61578.394510337966</v>
      </c>
      <c r="AW27" s="712">
        <f t="shared" si="76"/>
        <v>62773.655785010415</v>
      </c>
      <c r="AX27" s="711">
        <f t="shared" ref="AX27:BA27" si="77">AX15+AX20+AX22</f>
        <v>66607.604693401998</v>
      </c>
      <c r="AY27" s="710">
        <f t="shared" si="77"/>
        <v>69690.634489159245</v>
      </c>
      <c r="AZ27" s="710">
        <f t="shared" si="77"/>
        <v>72845.088922255833</v>
      </c>
      <c r="BA27" s="712">
        <f t="shared" si="77"/>
        <v>75544.804293015797</v>
      </c>
      <c r="BB27" s="710"/>
      <c r="BC27" s="710"/>
      <c r="BD27" s="710"/>
      <c r="BE27" s="710">
        <v>24902</v>
      </c>
      <c r="BF27" s="710">
        <f t="shared" ref="BF27:BJ27" si="78">BF15+BF20+BF22</f>
        <v>30310</v>
      </c>
      <c r="BG27" s="710">
        <f t="shared" si="78"/>
        <v>34642</v>
      </c>
      <c r="BH27" s="710">
        <f t="shared" si="78"/>
        <v>38764</v>
      </c>
      <c r="BI27" s="710">
        <f t="shared" si="78"/>
        <v>53166</v>
      </c>
      <c r="BJ27" s="710">
        <f t="shared" si="78"/>
        <v>66093</v>
      </c>
      <c r="BK27" s="710">
        <f>BK12-BK29</f>
        <v>74921</v>
      </c>
      <c r="BL27" s="710">
        <f>BL15+BL20+BL22+BL25+BL26</f>
        <v>103515</v>
      </c>
      <c r="BM27" s="710">
        <f>BM15+BM20+BM22+BM25+BM26</f>
        <v>133563</v>
      </c>
      <c r="BN27" s="715">
        <f>BN15+BN20+BN22</f>
        <v>196853.83359628491</v>
      </c>
      <c r="BO27" s="715">
        <f>BO15+BO20+BO22</f>
        <v>239139.90665115535</v>
      </c>
      <c r="BP27" s="715">
        <f>BP15+BP20+BP22</f>
        <v>284688.13239783287</v>
      </c>
    </row>
    <row r="28" spans="1:68">
      <c r="A28" s="24">
        <f>ROWS($A$2:A28)</f>
        <v>27</v>
      </c>
      <c r="B28" s="6"/>
      <c r="C28" s="328"/>
      <c r="D28" s="6"/>
      <c r="E28" s="6"/>
      <c r="F28" s="328"/>
      <c r="G28" s="6"/>
      <c r="H28" s="716"/>
      <c r="I28" s="716"/>
      <c r="J28" s="717"/>
      <c r="K28" s="716"/>
      <c r="L28" s="716"/>
      <c r="M28" s="716"/>
      <c r="N28" s="717"/>
      <c r="O28" s="716"/>
      <c r="P28" s="716"/>
      <c r="Q28" s="716"/>
      <c r="R28" s="717"/>
      <c r="S28" s="716"/>
      <c r="T28" s="716"/>
      <c r="U28" s="716"/>
      <c r="V28" s="717"/>
      <c r="W28" s="716"/>
      <c r="X28" s="716"/>
      <c r="Y28" s="716"/>
      <c r="Z28" s="717"/>
      <c r="AA28" s="716"/>
      <c r="AB28" s="716"/>
      <c r="AC28" s="1130"/>
      <c r="AD28" s="717"/>
      <c r="AE28" s="716"/>
      <c r="AF28" s="716"/>
      <c r="AG28" s="1130"/>
      <c r="AH28" s="717"/>
      <c r="AI28" s="716"/>
      <c r="AJ28" s="716"/>
      <c r="AK28" s="716"/>
      <c r="AL28" s="717"/>
      <c r="AM28" s="885"/>
      <c r="AN28" s="885"/>
      <c r="AO28" s="885"/>
      <c r="AP28" s="717"/>
      <c r="AQ28" s="716"/>
      <c r="AR28" s="716"/>
      <c r="AS28" s="1130"/>
      <c r="AT28" s="717"/>
      <c r="AU28" s="716"/>
      <c r="AV28" s="716"/>
      <c r="AW28" s="1130"/>
      <c r="AX28" s="717"/>
      <c r="AY28" s="716"/>
      <c r="AZ28" s="716"/>
      <c r="BA28" s="1130"/>
      <c r="BB28" s="716"/>
      <c r="BC28" s="716"/>
      <c r="BD28" s="716"/>
      <c r="BN28" s="681"/>
      <c r="BO28" s="681"/>
      <c r="BP28" s="681"/>
    </row>
    <row r="29" spans="1:68" ht="15" thickBot="1">
      <c r="A29" s="24">
        <f>ROWS($A$2:A29)</f>
        <v>28</v>
      </c>
      <c r="B29" s="67" t="s">
        <v>72</v>
      </c>
      <c r="C29" s="68"/>
      <c r="D29" s="69"/>
      <c r="E29" s="69"/>
      <c r="F29" s="68">
        <v>1108</v>
      </c>
      <c r="G29" s="69">
        <f t="shared" ref="G29:AF29" si="79">G12-G27</f>
        <v>1190</v>
      </c>
      <c r="H29" s="718">
        <f t="shared" si="79"/>
        <v>1296</v>
      </c>
      <c r="I29" s="718">
        <f t="shared" si="79"/>
        <v>1418</v>
      </c>
      <c r="J29" s="719">
        <v>1287</v>
      </c>
      <c r="K29" s="718">
        <f t="shared" si="79"/>
        <v>1553</v>
      </c>
      <c r="L29" s="718">
        <f t="shared" si="79"/>
        <v>1677</v>
      </c>
      <c r="M29" s="718">
        <f t="shared" si="79"/>
        <v>1585</v>
      </c>
      <c r="N29" s="719">
        <f t="shared" si="79"/>
        <v>1406</v>
      </c>
      <c r="O29" s="718">
        <f t="shared" si="79"/>
        <v>1898</v>
      </c>
      <c r="P29" s="718">
        <f t="shared" si="79"/>
        <v>1940</v>
      </c>
      <c r="Q29" s="718">
        <f t="shared" si="79"/>
        <v>1971</v>
      </c>
      <c r="R29" s="719">
        <f t="shared" si="79"/>
        <v>1686</v>
      </c>
      <c r="S29" s="718">
        <f t="shared" si="79"/>
        <v>2048</v>
      </c>
      <c r="T29" s="718">
        <f t="shared" si="79"/>
        <v>2009</v>
      </c>
      <c r="U29" s="718">
        <f t="shared" si="79"/>
        <v>2122</v>
      </c>
      <c r="V29" s="719">
        <f t="shared" si="79"/>
        <v>2105</v>
      </c>
      <c r="W29" s="718">
        <f t="shared" si="79"/>
        <v>2737</v>
      </c>
      <c r="X29" s="718">
        <f t="shared" si="79"/>
        <v>3020</v>
      </c>
      <c r="Y29" s="718">
        <f t="shared" si="79"/>
        <v>3293</v>
      </c>
      <c r="Z29" s="719">
        <f t="shared" si="79"/>
        <v>2918</v>
      </c>
      <c r="AA29" s="718">
        <f t="shared" si="79"/>
        <v>3444</v>
      </c>
      <c r="AB29" s="718">
        <f t="shared" si="79"/>
        <v>3615</v>
      </c>
      <c r="AC29" s="720">
        <f t="shared" si="79"/>
        <v>4076</v>
      </c>
      <c r="AD29" s="719">
        <f t="shared" si="79"/>
        <v>3316</v>
      </c>
      <c r="AE29" s="718">
        <f t="shared" si="79"/>
        <v>3473</v>
      </c>
      <c r="AF29" s="718">
        <f t="shared" si="79"/>
        <v>4012</v>
      </c>
      <c r="AG29" s="721">
        <v>4232</v>
      </c>
      <c r="AH29" s="719">
        <f>AH12-AH27</f>
        <v>4235</v>
      </c>
      <c r="AI29" s="718">
        <f>AI12-AI27</f>
        <v>4636</v>
      </c>
      <c r="AJ29" s="722">
        <v>5057</v>
      </c>
      <c r="AK29" s="718">
        <f t="shared" ref="AK29:AW29" si="80">AK12-AK27</f>
        <v>5449</v>
      </c>
      <c r="AL29" s="719">
        <f t="shared" si="80"/>
        <v>5812</v>
      </c>
      <c r="AM29" s="718">
        <f t="shared" si="80"/>
        <v>7282</v>
      </c>
      <c r="AN29" s="718">
        <f t="shared" ref="AN29" si="81">AN12-AN27</f>
        <v>7735</v>
      </c>
      <c r="AO29" s="718">
        <f t="shared" ref="AO29" si="82">AO12-AO27</f>
        <v>9168</v>
      </c>
      <c r="AP29" s="719">
        <f t="shared" si="80"/>
        <v>10911.025386678077</v>
      </c>
      <c r="AQ29" s="718">
        <f t="shared" si="80"/>
        <v>13299.808314782545</v>
      </c>
      <c r="AR29" s="718">
        <f t="shared" si="80"/>
        <v>12977.042948229333</v>
      </c>
      <c r="AS29" s="720">
        <f t="shared" si="80"/>
        <v>13868.149212750061</v>
      </c>
      <c r="AT29" s="719">
        <f t="shared" si="80"/>
        <v>15597.734878040254</v>
      </c>
      <c r="AU29" s="718">
        <f t="shared" si="80"/>
        <v>15314.781803677521</v>
      </c>
      <c r="AV29" s="718">
        <f t="shared" si="80"/>
        <v>14546.286178529859</v>
      </c>
      <c r="AW29" s="720">
        <f t="shared" si="80"/>
        <v>15450.850106635713</v>
      </c>
      <c r="AX29" s="719">
        <f t="shared" ref="AX29:BA29" si="83">AX12-AX27</f>
        <v>17697.474137681478</v>
      </c>
      <c r="AY29" s="718">
        <f t="shared" si="83"/>
        <v>17140.291813640462</v>
      </c>
      <c r="AZ29" s="718">
        <f t="shared" si="83"/>
        <v>17181.944781962011</v>
      </c>
      <c r="BA29" s="720">
        <f t="shared" si="83"/>
        <v>17507.988697860492</v>
      </c>
      <c r="BB29" s="718"/>
      <c r="BC29" s="718"/>
      <c r="BD29" s="718"/>
      <c r="BE29" s="718">
        <v>5012</v>
      </c>
      <c r="BF29" s="718">
        <f t="shared" ref="BF29:BJ29" si="84">BF12-BF27</f>
        <v>6452</v>
      </c>
      <c r="BG29" s="718">
        <f t="shared" si="84"/>
        <v>7197</v>
      </c>
      <c r="BH29" s="718">
        <f t="shared" si="84"/>
        <v>7864</v>
      </c>
      <c r="BI29" s="718">
        <f t="shared" si="84"/>
        <v>11154</v>
      </c>
      <c r="BJ29" s="718">
        <f t="shared" si="84"/>
        <v>14053</v>
      </c>
      <c r="BK29" s="718">
        <v>15168</v>
      </c>
      <c r="BL29" s="718">
        <f>BL12-BL27</f>
        <v>17218</v>
      </c>
      <c r="BM29" s="718">
        <f>BM12-BM27</f>
        <v>30464</v>
      </c>
      <c r="BN29" s="723">
        <f>BN12-BN27</f>
        <v>51056.025862440059</v>
      </c>
      <c r="BO29" s="723">
        <f>BO12-BO27</f>
        <v>60909.652966883354</v>
      </c>
      <c r="BP29" s="723">
        <f>BP12-BP27</f>
        <v>69527.699431144458</v>
      </c>
    </row>
    <row r="30" spans="1:68">
      <c r="A30" s="24">
        <f>ROWS($A$2:A30)</f>
        <v>29</v>
      </c>
      <c r="B30" s="72" t="s">
        <v>177</v>
      </c>
      <c r="C30" s="323"/>
      <c r="D30" s="73"/>
      <c r="E30" s="73"/>
      <c r="F30" s="323">
        <v>0.15629849061926929</v>
      </c>
      <c r="G30" s="73">
        <f t="shared" ref="G30:AC30" si="85">G29/G12</f>
        <v>0.16142159522517635</v>
      </c>
      <c r="H30" s="841">
        <f t="shared" si="85"/>
        <v>0.17131526768010574</v>
      </c>
      <c r="I30" s="841">
        <f t="shared" si="85"/>
        <v>0.17976673427991888</v>
      </c>
      <c r="J30" s="842">
        <v>0.1607745159275453</v>
      </c>
      <c r="K30" s="841">
        <f t="shared" si="85"/>
        <v>0.17803507967442395</v>
      </c>
      <c r="L30" s="841">
        <f t="shared" si="85"/>
        <v>0.18131689912422966</v>
      </c>
      <c r="M30" s="841">
        <f t="shared" si="85"/>
        <v>0.17008262689129736</v>
      </c>
      <c r="N30" s="842">
        <f t="shared" si="85"/>
        <v>0.14650411586954257</v>
      </c>
      <c r="O30" s="841">
        <f t="shared" si="85"/>
        <v>0.18276360134809821</v>
      </c>
      <c r="P30" s="841">
        <f t="shared" si="85"/>
        <v>0.18073411589342278</v>
      </c>
      <c r="Q30" s="841">
        <f t="shared" si="85"/>
        <v>0.17767961777697647</v>
      </c>
      <c r="R30" s="842">
        <f t="shared" si="85"/>
        <v>0.15950804162724694</v>
      </c>
      <c r="S30" s="841">
        <f t="shared" si="85"/>
        <v>0.17751581867036492</v>
      </c>
      <c r="T30" s="841">
        <f t="shared" si="85"/>
        <v>0.16873845120107508</v>
      </c>
      <c r="U30" s="841">
        <f t="shared" si="85"/>
        <v>0.16821244550138723</v>
      </c>
      <c r="V30" s="842">
        <f t="shared" si="85"/>
        <v>0.14402025177887248</v>
      </c>
      <c r="W30" s="841">
        <f t="shared" si="85"/>
        <v>0.17439785905441571</v>
      </c>
      <c r="X30" s="841">
        <f t="shared" si="85"/>
        <v>0.18213617996502021</v>
      </c>
      <c r="Y30" s="841">
        <f t="shared" si="85"/>
        <v>0.1889379769349934</v>
      </c>
      <c r="Z30" s="842">
        <f t="shared" si="85"/>
        <v>0.15950584891221165</v>
      </c>
      <c r="AA30" s="841">
        <f t="shared" si="85"/>
        <v>0.17576809227314483</v>
      </c>
      <c r="AB30" s="841">
        <f t="shared" si="85"/>
        <v>0.17584395369199338</v>
      </c>
      <c r="AC30" s="1131">
        <f t="shared" si="85"/>
        <v>0.18783410138248849</v>
      </c>
      <c r="AD30" s="842">
        <f t="shared" ref="AD30:AW30" si="86">AD29/AD12</f>
        <v>0.14930211616389014</v>
      </c>
      <c r="AE30" s="841">
        <f t="shared" si="86"/>
        <v>0.15257885950267991</v>
      </c>
      <c r="AF30" s="841">
        <f t="shared" si="86"/>
        <v>0.17268540438169844</v>
      </c>
      <c r="AG30" s="1132">
        <f t="shared" si="86"/>
        <v>0.18253968253968253</v>
      </c>
      <c r="AH30" s="842">
        <f t="shared" si="86"/>
        <v>0.17966993339272835</v>
      </c>
      <c r="AI30" s="841">
        <f t="shared" si="86"/>
        <v>0.15322580645161291</v>
      </c>
      <c r="AJ30" s="845">
        <f t="shared" si="86"/>
        <v>0.1552131610447807</v>
      </c>
      <c r="AK30" s="845">
        <f t="shared" si="86"/>
        <v>0.15922505990298638</v>
      </c>
      <c r="AL30" s="846">
        <f t="shared" si="86"/>
        <v>0.15756655641706882</v>
      </c>
      <c r="AM30" s="845">
        <f t="shared" si="86"/>
        <v>0.18270316381062299</v>
      </c>
      <c r="AN30" s="845">
        <f t="shared" ref="AN30" si="87">AN29/AN12</f>
        <v>0.18279569892473119</v>
      </c>
      <c r="AO30" s="1030">
        <f t="shared" ref="AO30" si="88">AO29/AO12</f>
        <v>0.20600395470070107</v>
      </c>
      <c r="AP30" s="910">
        <f t="shared" si="86"/>
        <v>0.19852970566224407</v>
      </c>
      <c r="AQ30" s="894">
        <f t="shared" si="86"/>
        <v>0.21514324346772551</v>
      </c>
      <c r="AR30" s="894">
        <f t="shared" si="86"/>
        <v>0.20200055121640742</v>
      </c>
      <c r="AS30" s="1133">
        <f t="shared" si="86"/>
        <v>0.20732861059479746</v>
      </c>
      <c r="AT30" s="910">
        <f t="shared" si="86"/>
        <v>0.21724484704087174</v>
      </c>
      <c r="AU30" s="894">
        <f t="shared" si="86"/>
        <v>0.20722976834669815</v>
      </c>
      <c r="AV30" s="894">
        <f t="shared" si="86"/>
        <v>0.19108502061220536</v>
      </c>
      <c r="AW30" s="1133">
        <f t="shared" si="86"/>
        <v>0.19751930588142921</v>
      </c>
      <c r="AX30" s="910">
        <f t="shared" ref="AX30:BA30" si="89">AX29/AX12</f>
        <v>0.20992180285058198</v>
      </c>
      <c r="AY30" s="894">
        <f t="shared" si="89"/>
        <v>0.19739846784391385</v>
      </c>
      <c r="AZ30" s="894">
        <f t="shared" si="89"/>
        <v>0.19085317015345604</v>
      </c>
      <c r="BA30" s="1133">
        <f t="shared" si="89"/>
        <v>0.18815113587807222</v>
      </c>
      <c r="BB30" s="841"/>
      <c r="BC30" s="343"/>
      <c r="BD30" s="343"/>
      <c r="BE30" s="881">
        <v>0.16754696797486127</v>
      </c>
      <c r="BF30" s="881">
        <f t="shared" ref="BF30:BO30" si="90">BF29/BF12</f>
        <v>0.17550731733855612</v>
      </c>
      <c r="BG30" s="881">
        <f t="shared" si="90"/>
        <v>0.17201653959224647</v>
      </c>
      <c r="BH30" s="881">
        <f t="shared" si="90"/>
        <v>0.16865402762288753</v>
      </c>
      <c r="BI30" s="881">
        <f t="shared" si="90"/>
        <v>0.17341417910447762</v>
      </c>
      <c r="BJ30" s="881">
        <f t="shared" si="90"/>
        <v>0.17534249993761386</v>
      </c>
      <c r="BK30" s="881">
        <f t="shared" si="90"/>
        <v>0.16836683723873058</v>
      </c>
      <c r="BL30" s="881">
        <f t="shared" si="90"/>
        <v>0.14261221041471678</v>
      </c>
      <c r="BM30" s="881">
        <f t="shared" ref="BM30" si="91">BM29/BM12</f>
        <v>0.18572552079840515</v>
      </c>
      <c r="BN30" s="882">
        <f t="shared" si="90"/>
        <v>0.20594592717656912</v>
      </c>
      <c r="BO30" s="882">
        <f t="shared" si="90"/>
        <v>0.20299864143917085</v>
      </c>
      <c r="BP30" s="882">
        <f t="shared" ref="BP30" si="92">BP29/BP12</f>
        <v>0.19628625595908952</v>
      </c>
    </row>
    <row r="31" spans="1:68">
      <c r="A31" s="24">
        <f>ROWS($A$2:A31)</f>
        <v>30</v>
      </c>
      <c r="B31" s="72" t="s">
        <v>178</v>
      </c>
      <c r="C31" s="323"/>
      <c r="D31" s="73"/>
      <c r="E31" s="73"/>
      <c r="F31" s="323"/>
      <c r="G31" s="73"/>
      <c r="H31" s="841"/>
      <c r="I31" s="841"/>
      <c r="J31" s="842">
        <v>0.1607745159275453</v>
      </c>
      <c r="K31" s="841">
        <f t="shared" ref="K31:W31" si="93">K30+K23</f>
        <v>0.17803507967442395</v>
      </c>
      <c r="L31" s="841">
        <f t="shared" si="93"/>
        <v>0.18131689912422966</v>
      </c>
      <c r="M31" s="841">
        <f t="shared" si="93"/>
        <v>0.17008262689129736</v>
      </c>
      <c r="N31" s="842">
        <f t="shared" si="93"/>
        <v>0.14650411586954257</v>
      </c>
      <c r="O31" s="841">
        <f t="shared" si="93"/>
        <v>0.18276360134809821</v>
      </c>
      <c r="P31" s="841">
        <f t="shared" si="93"/>
        <v>0.18073411589342278</v>
      </c>
      <c r="Q31" s="1131">
        <f t="shared" si="93"/>
        <v>0.17921211574867033</v>
      </c>
      <c r="R31" s="841">
        <f t="shared" si="93"/>
        <v>0.1708609271523179</v>
      </c>
      <c r="S31" s="841">
        <f t="shared" si="93"/>
        <v>0.18826384675392216</v>
      </c>
      <c r="T31" s="841">
        <f t="shared" si="93"/>
        <v>0.18016126322862422</v>
      </c>
      <c r="U31" s="1131">
        <f t="shared" si="93"/>
        <v>0.17978596908442329</v>
      </c>
      <c r="V31" s="841">
        <f t="shared" si="93"/>
        <v>0.16139846743295019</v>
      </c>
      <c r="W31" s="841">
        <f t="shared" si="93"/>
        <v>0.18624952211036067</v>
      </c>
      <c r="X31" s="841">
        <f>X30+X23</f>
        <v>0.19456003859839577</v>
      </c>
      <c r="Y31" s="1131">
        <f t="shared" ref="Y31:AG31" si="94">Y30+Y23</f>
        <v>0.20362614034081128</v>
      </c>
      <c r="Z31" s="841">
        <f t="shared" si="94"/>
        <v>0.16464414562151525</v>
      </c>
      <c r="AA31" s="841">
        <f t="shared" si="94"/>
        <v>0.18352556905175052</v>
      </c>
      <c r="AB31" s="841">
        <f t="shared" si="94"/>
        <v>0.18469695495670785</v>
      </c>
      <c r="AC31" s="1131">
        <f t="shared" si="94"/>
        <v>0.19557603686635947</v>
      </c>
      <c r="AD31" s="841">
        <f>AD30+AD23</f>
        <v>0.15961278703286808</v>
      </c>
      <c r="AE31" s="841">
        <f t="shared" si="94"/>
        <v>0.17555575081275812</v>
      </c>
      <c r="AF31" s="841">
        <f t="shared" si="94"/>
        <v>0.17948607584039941</v>
      </c>
      <c r="AG31" s="1131">
        <f t="shared" si="94"/>
        <v>0.18903968253968254</v>
      </c>
      <c r="AH31" s="841">
        <f>AH30+AH23</f>
        <v>0.18811251113656613</v>
      </c>
      <c r="AI31" s="841">
        <f t="shared" ref="AI31:AJ31" si="95">AI30+AI23</f>
        <v>0.16049709148598626</v>
      </c>
      <c r="AJ31" s="841">
        <f t="shared" si="95"/>
        <v>0.17654461189036555</v>
      </c>
      <c r="AK31" s="841">
        <f t="shared" ref="AK31:AL31" si="96">AK30+AK23</f>
        <v>0.17722517678686225</v>
      </c>
      <c r="AL31" s="842">
        <f t="shared" si="96"/>
        <v>0.1736431166296156</v>
      </c>
      <c r="AM31" s="841">
        <f t="shared" ref="AM31:AN31" si="97">AM30+AM23</f>
        <v>0.1967784830770003</v>
      </c>
      <c r="AN31" s="841">
        <f t="shared" si="97"/>
        <v>0.19328843199810941</v>
      </c>
      <c r="AO31" s="841">
        <f t="shared" ref="AO31" si="98">AO30+AO23</f>
        <v>0.21456498292288334</v>
      </c>
      <c r="AP31" s="842">
        <f t="shared" ref="AP31:AS31" si="99">AP30+AP23</f>
        <v>0.20552970566224407</v>
      </c>
      <c r="AQ31" s="841">
        <f t="shared" si="99"/>
        <v>0.22214324346772552</v>
      </c>
      <c r="AR31" s="841">
        <f t="shared" si="99"/>
        <v>0.20900055121640743</v>
      </c>
      <c r="AS31" s="1131">
        <f t="shared" si="99"/>
        <v>0.21432861059479746</v>
      </c>
      <c r="AT31" s="842">
        <f t="shared" ref="AT31:AW31" si="100">AT30+AT23</f>
        <v>0.22424484704087175</v>
      </c>
      <c r="AU31" s="841">
        <f t="shared" si="100"/>
        <v>0.21422976834669816</v>
      </c>
      <c r="AV31" s="841">
        <f t="shared" si="100"/>
        <v>0.19808502061220537</v>
      </c>
      <c r="AW31" s="1131">
        <f t="shared" si="100"/>
        <v>0.20451930588142922</v>
      </c>
      <c r="AX31" s="842">
        <f t="shared" ref="AX31:BA31" si="101">AX30+AX23</f>
        <v>0.21692180285058199</v>
      </c>
      <c r="AY31" s="841">
        <f t="shared" si="101"/>
        <v>0.20439846784391386</v>
      </c>
      <c r="AZ31" s="841">
        <f t="shared" si="101"/>
        <v>0.19785317015345605</v>
      </c>
      <c r="BA31" s="1131">
        <f t="shared" si="101"/>
        <v>0.19515113587807223</v>
      </c>
      <c r="BB31" s="841"/>
      <c r="BC31" s="343"/>
      <c r="BD31" s="343"/>
      <c r="BE31" s="862">
        <v>0.16754696797486127</v>
      </c>
      <c r="BF31" s="862">
        <f t="shared" ref="BF31:BJ31" si="102">BF30+BF23</f>
        <v>0.17550731733855612</v>
      </c>
      <c r="BG31" s="862">
        <f t="shared" si="102"/>
        <v>0.17242285905494872</v>
      </c>
      <c r="BH31" s="862">
        <f t="shared" si="102"/>
        <v>0.17995624946384148</v>
      </c>
      <c r="BI31" s="862">
        <f t="shared" si="102"/>
        <v>0.18743781094527365</v>
      </c>
      <c r="BJ31" s="862">
        <f t="shared" si="102"/>
        <v>0.18277892845556859</v>
      </c>
      <c r="BK31" s="862">
        <f t="shared" ref="BK31:BN31" si="103">BK30+BK23</f>
        <v>0.1799775777286905</v>
      </c>
      <c r="BL31" s="862">
        <f t="shared" ref="BL31:BM31" si="104">BL30+BL23</f>
        <v>0.15704074279608723</v>
      </c>
      <c r="BM31" s="862">
        <f t="shared" si="104"/>
        <v>0.19779060764386353</v>
      </c>
      <c r="BN31" s="863">
        <f t="shared" si="103"/>
        <v>0.21294592717656913</v>
      </c>
      <c r="BO31" s="863">
        <f t="shared" ref="BO31:BP31" si="105">BO30+BO23</f>
        <v>0.20999864143917085</v>
      </c>
      <c r="BP31" s="863">
        <f t="shared" si="105"/>
        <v>0.20328625595908953</v>
      </c>
    </row>
    <row r="32" spans="1:68">
      <c r="A32" s="24">
        <f>ROWS($A$2:A32)</f>
        <v>31</v>
      </c>
      <c r="B32" s="4" t="s">
        <v>179</v>
      </c>
      <c r="C32" s="281"/>
      <c r="F32" s="281"/>
      <c r="J32" s="680"/>
      <c r="N32" s="680"/>
      <c r="R32" s="680"/>
      <c r="V32" s="680"/>
      <c r="Z32" s="680">
        <f>Z31-Y31</f>
        <v>-3.8981994719296031E-2</v>
      </c>
      <c r="AC32" s="1120"/>
      <c r="AD32" s="680"/>
      <c r="AG32" s="1120"/>
      <c r="AH32" s="680"/>
      <c r="AP32" s="680"/>
      <c r="AS32" s="1120"/>
      <c r="AT32" s="680"/>
      <c r="AW32" s="1120"/>
      <c r="AX32" s="680"/>
      <c r="BA32" s="1120"/>
      <c r="BE32" s="864">
        <v>3.446852425180591E-2</v>
      </c>
      <c r="BF32" s="865">
        <f t="shared" ref="BF32:BP32" si="106">BF29/BE29-1</f>
        <v>0.28731045490822038</v>
      </c>
      <c r="BG32" s="864">
        <f t="shared" si="106"/>
        <v>0.11546807191568509</v>
      </c>
      <c r="BH32" s="864">
        <f t="shared" si="106"/>
        <v>9.2677504515770393E-2</v>
      </c>
      <c r="BI32" s="864">
        <f t="shared" si="106"/>
        <v>0.41836215666327559</v>
      </c>
      <c r="BJ32" s="864">
        <f t="shared" si="106"/>
        <v>0.25990675990675993</v>
      </c>
      <c r="BK32" s="864">
        <f t="shared" si="106"/>
        <v>7.9342489148224615E-2</v>
      </c>
      <c r="BL32" s="864">
        <f t="shared" si="106"/>
        <v>0.13515295358649793</v>
      </c>
      <c r="BM32" s="864">
        <f t="shared" si="106"/>
        <v>0.76931118596817294</v>
      </c>
      <c r="BN32" s="866">
        <f t="shared" si="106"/>
        <v>0.67594622710215524</v>
      </c>
      <c r="BO32" s="866">
        <f t="shared" si="106"/>
        <v>0.19299635915634838</v>
      </c>
      <c r="BP32" s="866">
        <f t="shared" si="106"/>
        <v>0.14148900945055032</v>
      </c>
    </row>
    <row r="33" spans="1:68">
      <c r="A33" s="24">
        <f>ROWS($A$2:A33)</f>
        <v>32</v>
      </c>
      <c r="B33" s="72"/>
      <c r="C33" s="323"/>
      <c r="D33" s="73"/>
      <c r="E33" s="73"/>
      <c r="F33" s="560"/>
      <c r="G33" s="74"/>
      <c r="H33" s="343"/>
      <c r="I33" s="343"/>
      <c r="J33" s="342"/>
      <c r="K33" s="343"/>
      <c r="L33" s="343"/>
      <c r="M33" s="343"/>
      <c r="N33" s="342"/>
      <c r="O33" s="343"/>
      <c r="P33" s="343"/>
      <c r="Q33" s="1134"/>
      <c r="R33" s="343"/>
      <c r="S33" s="343"/>
      <c r="T33" s="343"/>
      <c r="U33" s="1134"/>
      <c r="V33" s="343"/>
      <c r="W33" s="343"/>
      <c r="X33" s="343"/>
      <c r="Y33" s="1134"/>
      <c r="Z33" s="343"/>
      <c r="AA33" s="343"/>
      <c r="AB33" s="343"/>
      <c r="AC33" s="325"/>
      <c r="AD33" s="343"/>
      <c r="AE33" s="343"/>
      <c r="AF33" s="343"/>
      <c r="AG33" s="325"/>
      <c r="AH33" s="342"/>
      <c r="AI33" s="343"/>
      <c r="AJ33" s="343"/>
      <c r="AK33" s="343"/>
      <c r="AM33" s="343">
        <f>1251+468</f>
        <v>1719</v>
      </c>
      <c r="AN33" s="343"/>
      <c r="AO33" s="343"/>
      <c r="AP33" s="342"/>
      <c r="AQ33" s="343"/>
      <c r="AR33" s="343"/>
      <c r="AS33" s="1134"/>
      <c r="AT33" s="342"/>
      <c r="AU33" s="343"/>
      <c r="AV33" s="343"/>
      <c r="AW33" s="1134"/>
      <c r="AX33" s="342"/>
      <c r="AY33" s="343"/>
      <c r="AZ33" s="343"/>
      <c r="BA33" s="1134"/>
      <c r="BB33" s="343"/>
      <c r="BC33" s="343"/>
      <c r="BD33" s="343"/>
      <c r="BE33" s="523"/>
      <c r="BF33" s="523"/>
      <c r="BG33" s="523"/>
      <c r="BH33" s="523"/>
      <c r="BI33" s="523"/>
      <c r="BJ33" s="523"/>
      <c r="BK33" s="523"/>
      <c r="BL33" s="523"/>
      <c r="BM33" s="523"/>
      <c r="BN33" s="699"/>
      <c r="BO33" s="699"/>
      <c r="BP33" s="699"/>
    </row>
    <row r="34" spans="1:68">
      <c r="A34" s="24">
        <f>ROWS($A$2:A34)</f>
        <v>33</v>
      </c>
      <c r="B34" s="4" t="s">
        <v>180</v>
      </c>
      <c r="C34" s="297"/>
      <c r="D34" s="75"/>
      <c r="E34" s="75"/>
      <c r="F34" s="297">
        <v>316</v>
      </c>
      <c r="G34" s="75">
        <v>341</v>
      </c>
      <c r="H34" s="325">
        <v>311</v>
      </c>
      <c r="I34" s="325">
        <v>305</v>
      </c>
      <c r="J34" s="709">
        <v>307</v>
      </c>
      <c r="K34" s="325">
        <v>314</v>
      </c>
      <c r="L34" s="325">
        <v>309</v>
      </c>
      <c r="M34" s="325">
        <v>298</v>
      </c>
      <c r="N34" s="709">
        <v>401</v>
      </c>
      <c r="O34" s="325">
        <v>447</v>
      </c>
      <c r="P34" s="325">
        <v>449</v>
      </c>
      <c r="Q34" s="325">
        <v>433</v>
      </c>
      <c r="R34" s="709">
        <v>465</v>
      </c>
      <c r="S34" s="325">
        <v>460</v>
      </c>
      <c r="T34" s="325">
        <v>462</v>
      </c>
      <c r="U34" s="325">
        <v>449</v>
      </c>
      <c r="V34" s="709">
        <v>524</v>
      </c>
      <c r="W34" s="325">
        <v>598</v>
      </c>
      <c r="X34" s="325">
        <v>566</v>
      </c>
      <c r="Y34" s="325">
        <v>584</v>
      </c>
      <c r="Z34" s="709">
        <v>630</v>
      </c>
      <c r="AA34" s="325">
        <v>614</v>
      </c>
      <c r="AB34" s="325">
        <v>624</v>
      </c>
      <c r="AC34" s="325">
        <v>717</v>
      </c>
      <c r="AD34" s="709">
        <v>757</v>
      </c>
      <c r="AE34" s="325">
        <v>772</v>
      </c>
      <c r="AF34" s="325">
        <v>811</v>
      </c>
      <c r="AG34" s="325">
        <v>792</v>
      </c>
      <c r="AH34" s="709">
        <f>549+168</f>
        <v>717</v>
      </c>
      <c r="AI34" s="325">
        <f>738+402</f>
        <v>1140</v>
      </c>
      <c r="AJ34" s="325">
        <v>1165</v>
      </c>
      <c r="AK34" s="325">
        <f>845+409</f>
        <v>1254</v>
      </c>
      <c r="AL34" s="709">
        <f>1104+488</f>
        <v>1592</v>
      </c>
      <c r="AM34" s="707">
        <f>1251+468</f>
        <v>1719</v>
      </c>
      <c r="AN34" s="707">
        <f>1229+479</f>
        <v>1708</v>
      </c>
      <c r="AO34" s="707">
        <f>1308+492</f>
        <v>1800</v>
      </c>
      <c r="AP34" s="680">
        <f t="shared" ref="AP34:AW34" si="107">AP12*AP37</f>
        <v>3022.7536693589182</v>
      </c>
      <c r="AQ34" s="243">
        <f t="shared" si="107"/>
        <v>3152.7377440308173</v>
      </c>
      <c r="AR34" s="243">
        <f t="shared" si="107"/>
        <v>3276.3731899457271</v>
      </c>
      <c r="AS34" s="1120">
        <f t="shared" si="107"/>
        <v>3411.3748595583406</v>
      </c>
      <c r="AT34" s="680">
        <f t="shared" si="107"/>
        <v>3661.695499872515</v>
      </c>
      <c r="AU34" s="243">
        <f t="shared" si="107"/>
        <v>3769.0235250412479</v>
      </c>
      <c r="AV34" s="243">
        <f t="shared" si="107"/>
        <v>3044.9872275547132</v>
      </c>
      <c r="AW34" s="1120">
        <f t="shared" si="107"/>
        <v>3989.4498004739521</v>
      </c>
      <c r="AX34" s="680">
        <f t="shared" ref="AX34:BA34" si="108">AX12*AX37</f>
        <v>4299.5590203852571</v>
      </c>
      <c r="AY34" s="243">
        <f t="shared" si="108"/>
        <v>4428.3772414427849</v>
      </c>
      <c r="AZ34" s="243">
        <f t="shared" si="108"/>
        <v>3601.0813481687137</v>
      </c>
      <c r="BA34" s="1120">
        <f t="shared" si="108"/>
        <v>3722.1117196350515</v>
      </c>
      <c r="BB34" s="325"/>
      <c r="BC34" s="325"/>
      <c r="BD34" s="325"/>
      <c r="BE34" s="703">
        <v>1274</v>
      </c>
      <c r="BF34" s="703">
        <v>1248</v>
      </c>
      <c r="BG34" s="703">
        <v>1730</v>
      </c>
      <c r="BH34" s="703">
        <v>1836</v>
      </c>
      <c r="BI34" s="703">
        <v>2272</v>
      </c>
      <c r="BJ34" s="703">
        <f>SUM(Z34:AC34)</f>
        <v>2585</v>
      </c>
      <c r="BK34" s="703">
        <v>2972</v>
      </c>
      <c r="BL34" s="703">
        <f>2907+1369</f>
        <v>4276</v>
      </c>
      <c r="BM34" s="703">
        <f>4892+1927</f>
        <v>6819</v>
      </c>
      <c r="BN34" s="695">
        <f>SUM(AP34:AS34)</f>
        <v>12863.239462893804</v>
      </c>
      <c r="BO34" s="695">
        <f>SUM(AT34:AW34)</f>
        <v>14465.15605294243</v>
      </c>
      <c r="BP34" s="695">
        <f>SUM(AX34:BA34)</f>
        <v>16051.129329631809</v>
      </c>
    </row>
    <row r="35" spans="1:68">
      <c r="A35" s="24">
        <f>ROWS($A$2:A35)</f>
        <v>34</v>
      </c>
      <c r="B35" s="4" t="s">
        <v>181</v>
      </c>
      <c r="C35" s="281"/>
      <c r="F35" s="462"/>
      <c r="G35" s="76"/>
      <c r="J35" s="680"/>
      <c r="N35" s="680"/>
      <c r="R35" s="680"/>
      <c r="V35" s="680"/>
      <c r="Z35" s="680">
        <f>$BJ$35/4</f>
        <v>0</v>
      </c>
      <c r="AA35" s="243">
        <f>$BJ$35/4</f>
        <v>0</v>
      </c>
      <c r="AB35" s="243">
        <f>$BJ$35/4</f>
        <v>0</v>
      </c>
      <c r="AC35" s="1135">
        <f>$BJ$35/4</f>
        <v>0</v>
      </c>
      <c r="AD35" s="680">
        <f t="shared" ref="AD35:BA35" si="109">$BK$35/4</f>
        <v>0</v>
      </c>
      <c r="AE35" s="243">
        <f t="shared" si="109"/>
        <v>0</v>
      </c>
      <c r="AF35" s="243">
        <f t="shared" si="109"/>
        <v>0</v>
      </c>
      <c r="AG35" s="1135">
        <f t="shared" si="109"/>
        <v>0</v>
      </c>
      <c r="AH35" s="680">
        <f t="shared" si="109"/>
        <v>0</v>
      </c>
      <c r="AI35" s="243">
        <f t="shared" si="109"/>
        <v>0</v>
      </c>
      <c r="AJ35" s="243">
        <f t="shared" si="109"/>
        <v>0</v>
      </c>
      <c r="AK35" s="243">
        <f t="shared" si="109"/>
        <v>0</v>
      </c>
      <c r="AL35" s="680">
        <f t="shared" si="109"/>
        <v>0</v>
      </c>
      <c r="AM35" s="679">
        <f t="shared" si="109"/>
        <v>0</v>
      </c>
      <c r="AN35" s="679">
        <f t="shared" si="109"/>
        <v>0</v>
      </c>
      <c r="AO35" s="679">
        <f t="shared" si="109"/>
        <v>0</v>
      </c>
      <c r="AP35" s="1136">
        <f t="shared" si="109"/>
        <v>0</v>
      </c>
      <c r="AQ35" s="724">
        <f t="shared" si="109"/>
        <v>0</v>
      </c>
      <c r="AR35" s="724">
        <f t="shared" si="109"/>
        <v>0</v>
      </c>
      <c r="AS35" s="1135">
        <f t="shared" si="109"/>
        <v>0</v>
      </c>
      <c r="AT35" s="1136">
        <f t="shared" si="109"/>
        <v>0</v>
      </c>
      <c r="AU35" s="724">
        <f t="shared" si="109"/>
        <v>0</v>
      </c>
      <c r="AV35" s="724">
        <f t="shared" si="109"/>
        <v>0</v>
      </c>
      <c r="AW35" s="1135">
        <f t="shared" si="109"/>
        <v>0</v>
      </c>
      <c r="AX35" s="1136">
        <f t="shared" si="109"/>
        <v>0</v>
      </c>
      <c r="AY35" s="724">
        <f t="shared" si="109"/>
        <v>0</v>
      </c>
      <c r="AZ35" s="724">
        <f t="shared" si="109"/>
        <v>0</v>
      </c>
      <c r="BA35" s="1135">
        <f t="shared" si="109"/>
        <v>0</v>
      </c>
      <c r="BE35" s="703"/>
      <c r="BF35" s="703"/>
      <c r="BG35" s="703"/>
      <c r="BH35" s="703"/>
      <c r="BI35" s="703"/>
      <c r="BJ35" s="703"/>
      <c r="BK35" s="703"/>
      <c r="BL35" s="703"/>
      <c r="BM35" s="703"/>
      <c r="BN35" s="695"/>
      <c r="BO35" s="695"/>
      <c r="BP35" s="695"/>
    </row>
    <row r="36" spans="1:68">
      <c r="A36" s="24">
        <f>ROWS($A$2:A36)</f>
        <v>35</v>
      </c>
      <c r="B36" s="250" t="s">
        <v>179</v>
      </c>
      <c r="C36" s="281"/>
      <c r="F36" s="838">
        <v>1.2820512820512775E-2</v>
      </c>
      <c r="G36" s="843">
        <f t="shared" ref="G36:AS36" si="110">G34/F34-1</f>
        <v>7.9113924050632889E-2</v>
      </c>
      <c r="H36" s="844">
        <f t="shared" si="110"/>
        <v>-8.7976539589442848E-2</v>
      </c>
      <c r="I36" s="844">
        <f t="shared" si="110"/>
        <v>-1.9292604501607746E-2</v>
      </c>
      <c r="J36" s="840">
        <v>6.5573770491802463E-3</v>
      </c>
      <c r="K36" s="844">
        <f t="shared" si="110"/>
        <v>2.2801302931596101E-2</v>
      </c>
      <c r="L36" s="844">
        <f t="shared" si="110"/>
        <v>-1.5923566878980888E-2</v>
      </c>
      <c r="M36" s="844">
        <f t="shared" si="110"/>
        <v>-3.5598705501618144E-2</v>
      </c>
      <c r="N36" s="840">
        <f t="shared" si="110"/>
        <v>0.34563758389261734</v>
      </c>
      <c r="O36" s="844">
        <f t="shared" si="110"/>
        <v>0.11471321695760595</v>
      </c>
      <c r="P36" s="844">
        <f t="shared" si="110"/>
        <v>4.4742729306488371E-3</v>
      </c>
      <c r="Q36" s="844">
        <f t="shared" si="110"/>
        <v>-3.563474387527843E-2</v>
      </c>
      <c r="R36" s="840">
        <f t="shared" si="110"/>
        <v>7.390300230946889E-2</v>
      </c>
      <c r="S36" s="844">
        <f t="shared" si="110"/>
        <v>-1.0752688172043001E-2</v>
      </c>
      <c r="T36" s="844">
        <f t="shared" si="110"/>
        <v>4.3478260869564966E-3</v>
      </c>
      <c r="U36" s="844">
        <f t="shared" si="110"/>
        <v>-2.8138528138528129E-2</v>
      </c>
      <c r="V36" s="840">
        <f t="shared" si="110"/>
        <v>0.1670378619153674</v>
      </c>
      <c r="W36" s="844">
        <f t="shared" si="110"/>
        <v>0.14122137404580148</v>
      </c>
      <c r="X36" s="844">
        <f t="shared" si="110"/>
        <v>-5.3511705685618693E-2</v>
      </c>
      <c r="Y36" s="844">
        <f t="shared" si="110"/>
        <v>3.180212014134276E-2</v>
      </c>
      <c r="Z36" s="840">
        <f t="shared" si="110"/>
        <v>7.8767123287671215E-2</v>
      </c>
      <c r="AA36" s="844">
        <f t="shared" si="110"/>
        <v>-2.5396825396825418E-2</v>
      </c>
      <c r="AB36" s="844">
        <f t="shared" si="110"/>
        <v>1.6286644951140072E-2</v>
      </c>
      <c r="AC36" s="1137">
        <f t="shared" si="110"/>
        <v>0.14903846153846145</v>
      </c>
      <c r="AD36" s="840">
        <f t="shared" si="110"/>
        <v>5.5788005578800481E-2</v>
      </c>
      <c r="AE36" s="839">
        <f t="shared" si="110"/>
        <v>1.9815059445178251E-2</v>
      </c>
      <c r="AF36" s="839">
        <f t="shared" si="110"/>
        <v>5.0518134715025864E-2</v>
      </c>
      <c r="AG36" s="1137">
        <f t="shared" si="110"/>
        <v>-2.3427866831072786E-2</v>
      </c>
      <c r="AH36" s="840">
        <f t="shared" si="110"/>
        <v>-9.4696969696969724E-2</v>
      </c>
      <c r="AI36" s="839">
        <f t="shared" si="110"/>
        <v>0.58995815899581583</v>
      </c>
      <c r="AJ36" s="839">
        <f t="shared" si="110"/>
        <v>2.1929824561403466E-2</v>
      </c>
      <c r="AK36" s="839">
        <f t="shared" si="110"/>
        <v>7.639484978540767E-2</v>
      </c>
      <c r="AL36" s="840">
        <f t="shared" si="110"/>
        <v>0.26953748006379574</v>
      </c>
      <c r="AM36" s="839">
        <f t="shared" si="110"/>
        <v>7.9773869346733584E-2</v>
      </c>
      <c r="AN36" s="839">
        <f t="shared" si="110"/>
        <v>-6.3990692262944071E-3</v>
      </c>
      <c r="AO36" s="839">
        <f t="shared" si="110"/>
        <v>5.3864168618267039E-2</v>
      </c>
      <c r="AP36" s="923">
        <f t="shared" si="110"/>
        <v>0.67930759408828778</v>
      </c>
      <c r="AQ36" s="922">
        <f t="shared" si="110"/>
        <v>4.3001874744053037E-2</v>
      </c>
      <c r="AR36" s="922">
        <f t="shared" si="110"/>
        <v>3.9215264938859296E-2</v>
      </c>
      <c r="AS36" s="1138">
        <f t="shared" si="110"/>
        <v>4.1204606980332903E-2</v>
      </c>
      <c r="AT36" s="923">
        <f t="shared" ref="AT36" si="111">AT34/AS34-1</f>
        <v>7.3378227436014631E-2</v>
      </c>
      <c r="AU36" s="922">
        <f t="shared" ref="AU36" si="112">AU34/AT34-1</f>
        <v>2.9311018672216083E-2</v>
      </c>
      <c r="AV36" s="922">
        <f t="shared" ref="AV36" si="113">AV34/AU34-1</f>
        <v>-0.1921018249623716</v>
      </c>
      <c r="AW36" s="1138">
        <f t="shared" ref="AW36" si="114">AW34/AV34-1</f>
        <v>0.31016963367616257</v>
      </c>
      <c r="AX36" s="923">
        <f t="shared" ref="AX36" si="115">AX34/AW34-1</f>
        <v>7.7732327869989293E-2</v>
      </c>
      <c r="AY36" s="922">
        <f t="shared" ref="AY36" si="116">AY34/AX34-1</f>
        <v>2.9960798409039091E-2</v>
      </c>
      <c r="AZ36" s="922">
        <f t="shared" ref="AZ36" si="117">AZ34/AY34-1</f>
        <v>-0.18681694177538821</v>
      </c>
      <c r="BA36" s="1138">
        <f t="shared" ref="BA36" si="118">BA34/AZ34-1</f>
        <v>3.360945220742817E-2</v>
      </c>
      <c r="BB36" s="924"/>
      <c r="BC36" s="924"/>
      <c r="BD36" s="924"/>
      <c r="BE36" s="703"/>
      <c r="BF36" s="703"/>
      <c r="BG36" s="703"/>
      <c r="BH36" s="703"/>
      <c r="BI36" s="703"/>
      <c r="BJ36" s="703"/>
      <c r="BK36" s="703"/>
      <c r="BL36" s="703"/>
      <c r="BM36" s="703"/>
      <c r="BN36" s="695"/>
      <c r="BO36" s="695"/>
      <c r="BP36" s="695"/>
    </row>
    <row r="37" spans="1:68">
      <c r="A37" s="24">
        <f>ROWS($A$2:A37)</f>
        <v>36</v>
      </c>
      <c r="B37" s="250" t="s">
        <v>182</v>
      </c>
      <c r="C37" s="510"/>
      <c r="D37" s="78"/>
      <c r="E37" s="78"/>
      <c r="F37" s="510">
        <v>4.4576103822824092E-2</v>
      </c>
      <c r="G37" s="78">
        <f t="shared" ref="G37:AM37" si="119">(G34+G35)/G12</f>
        <v>4.62561041779707E-2</v>
      </c>
      <c r="H37" s="835">
        <f t="shared" si="119"/>
        <v>4.111037673496365E-2</v>
      </c>
      <c r="I37" s="835">
        <f t="shared" si="119"/>
        <v>3.8666328600405676E-2</v>
      </c>
      <c r="J37" s="836">
        <v>3.8351030605871334E-2</v>
      </c>
      <c r="K37" s="835">
        <f t="shared" si="119"/>
        <v>3.5996790095150749E-2</v>
      </c>
      <c r="L37" s="835">
        <f t="shared" si="119"/>
        <v>3.3409017191047684E-2</v>
      </c>
      <c r="M37" s="835">
        <f t="shared" si="119"/>
        <v>3.1977680008584614E-2</v>
      </c>
      <c r="N37" s="836">
        <f t="shared" si="119"/>
        <v>4.1783890799208086E-2</v>
      </c>
      <c r="O37" s="835">
        <f t="shared" si="119"/>
        <v>4.3042850264805005E-2</v>
      </c>
      <c r="P37" s="835">
        <f t="shared" si="119"/>
        <v>4.1829700018632385E-2</v>
      </c>
      <c r="Q37" s="835">
        <f t="shared" si="119"/>
        <v>3.903362480843775E-2</v>
      </c>
      <c r="R37" s="836">
        <f t="shared" si="119"/>
        <v>4.3992431409649951E-2</v>
      </c>
      <c r="S37" s="835">
        <f t="shared" si="119"/>
        <v>3.9871717084163996E-2</v>
      </c>
      <c r="T37" s="835">
        <f t="shared" si="119"/>
        <v>3.8803964387703678E-2</v>
      </c>
      <c r="U37" s="835">
        <f t="shared" si="119"/>
        <v>3.5592548553309553E-2</v>
      </c>
      <c r="V37" s="836">
        <f t="shared" si="119"/>
        <v>3.585112205801861E-2</v>
      </c>
      <c r="W37" s="835">
        <f t="shared" si="119"/>
        <v>3.8103733911048807E-2</v>
      </c>
      <c r="X37" s="835">
        <f t="shared" si="119"/>
        <v>3.413545624509981E-2</v>
      </c>
      <c r="Y37" s="835">
        <f t="shared" si="119"/>
        <v>3.3507372769522058E-2</v>
      </c>
      <c r="Z37" s="836">
        <f t="shared" si="119"/>
        <v>3.4437520498524103E-2</v>
      </c>
      <c r="AA37" s="835">
        <f t="shared" si="119"/>
        <v>3.1336123303051952E-2</v>
      </c>
      <c r="AB37" s="835">
        <f t="shared" si="119"/>
        <v>3.0353147193306743E-2</v>
      </c>
      <c r="AC37" s="835">
        <f t="shared" si="119"/>
        <v>3.304147465437788E-2</v>
      </c>
      <c r="AD37" s="836">
        <f t="shared" si="119"/>
        <v>3.4083746060333181E-2</v>
      </c>
      <c r="AE37" s="835">
        <f t="shared" si="119"/>
        <v>3.3916176082945261E-2</v>
      </c>
      <c r="AF37" s="835">
        <f t="shared" si="119"/>
        <v>3.4907244006370249E-2</v>
      </c>
      <c r="AG37" s="835">
        <f t="shared" si="119"/>
        <v>3.4161490683229816E-2</v>
      </c>
      <c r="AH37" s="836">
        <f t="shared" si="119"/>
        <v>3.0418734886088837E-2</v>
      </c>
      <c r="AI37" s="835">
        <f t="shared" si="119"/>
        <v>3.7678476996298255E-2</v>
      </c>
      <c r="AJ37" s="835">
        <f t="shared" si="119"/>
        <v>3.5757036309505538E-2</v>
      </c>
      <c r="AK37" s="835">
        <f t="shared" si="119"/>
        <v>3.6643095085033023E-2</v>
      </c>
      <c r="AL37" s="884">
        <f t="shared" si="119"/>
        <v>4.3160006506533642E-2</v>
      </c>
      <c r="AM37" s="903">
        <f t="shared" si="119"/>
        <v>4.3129186842963595E-2</v>
      </c>
      <c r="AN37" s="903">
        <f t="shared" ref="AN37" si="120">(AN34+AN35)/AN12</f>
        <v>4.036393713813069E-2</v>
      </c>
      <c r="AO37" s="903">
        <f t="shared" ref="AO37" si="121">(AO34+AO35)/AO12</f>
        <v>4.044580262448319E-2</v>
      </c>
      <c r="AP37" s="1139">
        <v>5.5E-2</v>
      </c>
      <c r="AQ37" s="921">
        <v>5.0999999999999997E-2</v>
      </c>
      <c r="AR37" s="921">
        <v>5.0999999999999997E-2</v>
      </c>
      <c r="AS37" s="1140">
        <v>5.0999999999999997E-2</v>
      </c>
      <c r="AT37" s="1139">
        <v>5.0999999999999997E-2</v>
      </c>
      <c r="AU37" s="921">
        <v>5.0999999999999997E-2</v>
      </c>
      <c r="AV37" s="921">
        <v>0.04</v>
      </c>
      <c r="AW37" s="1140">
        <v>5.0999999999999997E-2</v>
      </c>
      <c r="AX37" s="1139">
        <v>5.0999999999999997E-2</v>
      </c>
      <c r="AY37" s="921">
        <v>5.0999999999999997E-2</v>
      </c>
      <c r="AZ37" s="921">
        <v>0.04</v>
      </c>
      <c r="BA37" s="1140">
        <v>0.04</v>
      </c>
      <c r="BB37" s="903"/>
      <c r="BC37" s="903"/>
      <c r="BD37" s="903"/>
      <c r="BE37" s="122"/>
      <c r="BF37" s="122"/>
      <c r="BG37" s="122"/>
      <c r="BH37" s="122"/>
      <c r="BI37" s="122"/>
      <c r="BJ37" s="122"/>
      <c r="BK37" s="122"/>
      <c r="BL37" s="122"/>
      <c r="BM37" s="122"/>
      <c r="BN37" s="695">
        <f t="shared" ref="BN37" si="122">BN34+BN35</f>
        <v>12863.239462893804</v>
      </c>
      <c r="BO37" s="695">
        <f t="shared" ref="BO37:BP37" si="123">BO34+BO35</f>
        <v>14465.15605294243</v>
      </c>
      <c r="BP37" s="695">
        <f t="shared" si="123"/>
        <v>16051.129329631809</v>
      </c>
    </row>
    <row r="38" spans="1:68">
      <c r="A38" s="24">
        <f>ROWS($A$2:A38)</f>
        <v>37</v>
      </c>
      <c r="C38" s="281"/>
      <c r="F38" s="281"/>
      <c r="J38" s="680"/>
      <c r="N38" s="680"/>
      <c r="R38" s="680"/>
      <c r="V38" s="680"/>
      <c r="Z38" s="680"/>
      <c r="AC38" s="1120"/>
      <c r="AD38" s="680"/>
      <c r="AG38" s="1120"/>
      <c r="AH38" s="680"/>
      <c r="AP38" s="680"/>
      <c r="AS38" s="1120"/>
      <c r="AT38" s="680"/>
      <c r="AW38" s="1120"/>
      <c r="AX38" s="680"/>
      <c r="BA38" s="1120"/>
      <c r="BE38" s="243">
        <v>4.258875442936418</v>
      </c>
      <c r="BF38" s="243">
        <f t="shared" ref="BF38:BL38" si="124">BF34/BF12*100</f>
        <v>3.3948098580055492</v>
      </c>
      <c r="BG38" s="243">
        <f t="shared" si="124"/>
        <v>4.134898061617152</v>
      </c>
      <c r="BH38" s="243">
        <f t="shared" si="124"/>
        <v>3.937548254267822</v>
      </c>
      <c r="BI38" s="243">
        <f t="shared" si="124"/>
        <v>3.5323383084577116</v>
      </c>
      <c r="BJ38" s="243">
        <f t="shared" si="124"/>
        <v>3.2253637112270104</v>
      </c>
      <c r="BK38" s="243">
        <f t="shared" si="124"/>
        <v>3.2989599174150008</v>
      </c>
      <c r="BL38" s="243">
        <f t="shared" si="124"/>
        <v>3.5416994525109122</v>
      </c>
      <c r="BM38" s="243">
        <f t="shared" ref="BM38" si="125">BM34/BM12*100</f>
        <v>4.1572424052137755</v>
      </c>
      <c r="BN38" s="681">
        <f>BN37/BN12*100</f>
        <v>5.1886760336917668</v>
      </c>
      <c r="BO38" s="681">
        <f>BO37/BO12*100</f>
        <v>4.8209222740924824</v>
      </c>
      <c r="BP38" s="681">
        <f>BP37/BP12*100</f>
        <v>4.5314545221630924</v>
      </c>
    </row>
    <row r="39" spans="1:68" ht="15" thickBot="1">
      <c r="A39" s="24">
        <f>ROWS($A$2:A39)</f>
        <v>38</v>
      </c>
      <c r="B39" s="80" t="s">
        <v>73</v>
      </c>
      <c r="C39" s="81"/>
      <c r="D39" s="82"/>
      <c r="E39" s="82"/>
      <c r="F39" s="81">
        <v>792</v>
      </c>
      <c r="G39" s="82">
        <f t="shared" ref="G39:AC39" si="126">G29-G34-G35</f>
        <v>849</v>
      </c>
      <c r="H39" s="725">
        <f t="shared" si="126"/>
        <v>985</v>
      </c>
      <c r="I39" s="725">
        <f t="shared" si="126"/>
        <v>1113</v>
      </c>
      <c r="J39" s="726">
        <v>980</v>
      </c>
      <c r="K39" s="725">
        <f t="shared" si="126"/>
        <v>1239</v>
      </c>
      <c r="L39" s="725">
        <f t="shared" si="126"/>
        <v>1368</v>
      </c>
      <c r="M39" s="725">
        <f t="shared" si="126"/>
        <v>1287</v>
      </c>
      <c r="N39" s="726">
        <f t="shared" si="126"/>
        <v>1005</v>
      </c>
      <c r="O39" s="725">
        <f t="shared" si="126"/>
        <v>1451</v>
      </c>
      <c r="P39" s="725">
        <f t="shared" si="126"/>
        <v>1491</v>
      </c>
      <c r="Q39" s="725">
        <f t="shared" si="126"/>
        <v>1538</v>
      </c>
      <c r="R39" s="726">
        <f t="shared" si="126"/>
        <v>1221</v>
      </c>
      <c r="S39" s="725">
        <f t="shared" si="126"/>
        <v>1588</v>
      </c>
      <c r="T39" s="725">
        <f t="shared" si="126"/>
        <v>1547</v>
      </c>
      <c r="U39" s="725">
        <f t="shared" si="126"/>
        <v>1673</v>
      </c>
      <c r="V39" s="726">
        <f t="shared" si="126"/>
        <v>1581</v>
      </c>
      <c r="W39" s="725">
        <f t="shared" si="126"/>
        <v>2139</v>
      </c>
      <c r="X39" s="725">
        <f t="shared" si="126"/>
        <v>2454</v>
      </c>
      <c r="Y39" s="725">
        <f t="shared" si="126"/>
        <v>2709</v>
      </c>
      <c r="Z39" s="726">
        <f t="shared" si="126"/>
        <v>2288</v>
      </c>
      <c r="AA39" s="725">
        <f t="shared" si="126"/>
        <v>2830</v>
      </c>
      <c r="AB39" s="725">
        <f t="shared" si="126"/>
        <v>2991</v>
      </c>
      <c r="AC39" s="725">
        <f t="shared" si="126"/>
        <v>3359</v>
      </c>
      <c r="AD39" s="726">
        <f t="shared" ref="AD39:AW39" si="127">AD29-AD34-AD35</f>
        <v>2559</v>
      </c>
      <c r="AE39" s="725">
        <f t="shared" si="127"/>
        <v>2701</v>
      </c>
      <c r="AF39" s="725">
        <f t="shared" si="127"/>
        <v>3201</v>
      </c>
      <c r="AG39" s="725">
        <f t="shared" si="127"/>
        <v>3440</v>
      </c>
      <c r="AH39" s="726">
        <f t="shared" si="127"/>
        <v>3518</v>
      </c>
      <c r="AI39" s="725">
        <f t="shared" si="127"/>
        <v>3496</v>
      </c>
      <c r="AJ39" s="725">
        <f t="shared" si="127"/>
        <v>3892</v>
      </c>
      <c r="AK39" s="725">
        <f>AK29-AK34-AK35</f>
        <v>4195</v>
      </c>
      <c r="AL39" s="726">
        <f t="shared" si="127"/>
        <v>4220</v>
      </c>
      <c r="AM39" s="725">
        <f t="shared" si="127"/>
        <v>5563</v>
      </c>
      <c r="AN39" s="725">
        <f>AN29-AN34-AN35</f>
        <v>6027</v>
      </c>
      <c r="AO39" s="725">
        <f t="shared" ref="AO39" si="128">AO29-AO34-AO35</f>
        <v>7368</v>
      </c>
      <c r="AP39" s="726">
        <f t="shared" si="127"/>
        <v>7888.2717173191586</v>
      </c>
      <c r="AQ39" s="725">
        <f t="shared" si="127"/>
        <v>10147.070570751728</v>
      </c>
      <c r="AR39" s="725">
        <f t="shared" si="127"/>
        <v>9700.6697582836059</v>
      </c>
      <c r="AS39" s="727">
        <f t="shared" si="127"/>
        <v>10456.77435319172</v>
      </c>
      <c r="AT39" s="726">
        <f t="shared" si="127"/>
        <v>11936.039378167738</v>
      </c>
      <c r="AU39" s="725">
        <f t="shared" si="127"/>
        <v>11545.758278636273</v>
      </c>
      <c r="AV39" s="725">
        <f t="shared" si="127"/>
        <v>11501.298950975146</v>
      </c>
      <c r="AW39" s="727">
        <f t="shared" si="127"/>
        <v>11461.40030616176</v>
      </c>
      <c r="AX39" s="726">
        <f t="shared" ref="AX39:BA39" si="129">AX29-AX34-AX35</f>
        <v>13397.915117296221</v>
      </c>
      <c r="AY39" s="725">
        <f t="shared" si="129"/>
        <v>12711.914572197678</v>
      </c>
      <c r="AZ39" s="725">
        <f t="shared" si="129"/>
        <v>13580.863433793296</v>
      </c>
      <c r="BA39" s="727">
        <f t="shared" si="129"/>
        <v>13785.87697822544</v>
      </c>
      <c r="BB39" s="725"/>
      <c r="BC39" s="725"/>
      <c r="BD39" s="725"/>
      <c r="BE39" s="725">
        <v>3738</v>
      </c>
      <c r="BF39" s="725">
        <f t="shared" ref="BF39:BJ39" si="130">BF29-BF34-BF35</f>
        <v>5204</v>
      </c>
      <c r="BG39" s="725">
        <f t="shared" si="130"/>
        <v>5467</v>
      </c>
      <c r="BH39" s="725">
        <f t="shared" si="130"/>
        <v>6028</v>
      </c>
      <c r="BI39" s="725">
        <f t="shared" si="130"/>
        <v>8882</v>
      </c>
      <c r="BJ39" s="725">
        <f t="shared" si="130"/>
        <v>11468</v>
      </c>
      <c r="BK39" s="728">
        <v>12196</v>
      </c>
      <c r="BL39" s="725">
        <f t="shared" ref="BL39:BM39" si="131">BL29-BL34-BL35</f>
        <v>12942</v>
      </c>
      <c r="BM39" s="725">
        <f t="shared" si="131"/>
        <v>23645</v>
      </c>
      <c r="BN39" s="729">
        <f>BN29-BN34-BN35</f>
        <v>38192.786399546254</v>
      </c>
      <c r="BO39" s="729">
        <f>BO29-BO34-BO35</f>
        <v>46444.496913940922</v>
      </c>
      <c r="BP39" s="729">
        <f>BP29-BP34-BP35</f>
        <v>53476.570101512647</v>
      </c>
    </row>
    <row r="40" spans="1:68">
      <c r="A40" s="24">
        <f>ROWS($A$2:A40)</f>
        <v>39</v>
      </c>
      <c r="B40" s="72" t="s">
        <v>177</v>
      </c>
      <c r="C40" s="323"/>
      <c r="D40" s="73"/>
      <c r="E40" s="73"/>
      <c r="F40" s="323">
        <v>0.11172238679644519</v>
      </c>
      <c r="G40" s="73">
        <f t="shared" ref="G40:AC40" si="132">G39/G12</f>
        <v>0.11516549104720564</v>
      </c>
      <c r="H40" s="841">
        <f t="shared" si="132"/>
        <v>0.13020489094514209</v>
      </c>
      <c r="I40" s="841">
        <f t="shared" si="132"/>
        <v>0.14110040567951318</v>
      </c>
      <c r="J40" s="842">
        <v>0.12242348532167395</v>
      </c>
      <c r="K40" s="841">
        <f t="shared" si="132"/>
        <v>0.1420382895792732</v>
      </c>
      <c r="L40" s="841">
        <f t="shared" si="132"/>
        <v>0.14790788193318197</v>
      </c>
      <c r="M40" s="841">
        <f t="shared" si="132"/>
        <v>0.13810494688271274</v>
      </c>
      <c r="N40" s="842">
        <f t="shared" si="132"/>
        <v>0.10472022507033447</v>
      </c>
      <c r="O40" s="841">
        <f t="shared" si="132"/>
        <v>0.13972075108329321</v>
      </c>
      <c r="P40" s="841">
        <f t="shared" si="132"/>
        <v>0.13890441587479038</v>
      </c>
      <c r="Q40" s="841">
        <f t="shared" si="132"/>
        <v>0.13864599296853872</v>
      </c>
      <c r="R40" s="842">
        <f t="shared" si="132"/>
        <v>0.11551561021759697</v>
      </c>
      <c r="S40" s="841">
        <f t="shared" si="132"/>
        <v>0.13764410158620091</v>
      </c>
      <c r="T40" s="841">
        <f t="shared" si="132"/>
        <v>0.12993448681337141</v>
      </c>
      <c r="U40" s="841">
        <f t="shared" si="132"/>
        <v>0.13261989694807769</v>
      </c>
      <c r="V40" s="842">
        <f t="shared" si="132"/>
        <v>0.10816912972085387</v>
      </c>
      <c r="W40" s="841">
        <f t="shared" si="132"/>
        <v>0.13629412514336689</v>
      </c>
      <c r="X40" s="841">
        <f t="shared" si="132"/>
        <v>0.1480007237199204</v>
      </c>
      <c r="Y40" s="841">
        <f t="shared" si="132"/>
        <v>0.15543060416547133</v>
      </c>
      <c r="Z40" s="842">
        <f t="shared" si="132"/>
        <v>0.12506832841368754</v>
      </c>
      <c r="AA40" s="841">
        <f t="shared" si="132"/>
        <v>0.14443196897009289</v>
      </c>
      <c r="AB40" s="841">
        <f t="shared" si="132"/>
        <v>0.14549080649868665</v>
      </c>
      <c r="AC40" s="1131">
        <f t="shared" si="132"/>
        <v>0.15479262672811059</v>
      </c>
      <c r="AD40" s="842">
        <f t="shared" ref="AD40:AW40" si="133">AD39/AD12</f>
        <v>0.11521837010355696</v>
      </c>
      <c r="AE40" s="841">
        <f t="shared" si="133"/>
        <v>0.11866268341973464</v>
      </c>
      <c r="AF40" s="841">
        <f t="shared" si="133"/>
        <v>0.1377781603753282</v>
      </c>
      <c r="AG40" s="1131">
        <f t="shared" si="133"/>
        <v>0.14837819185645273</v>
      </c>
      <c r="AH40" s="842">
        <f t="shared" si="133"/>
        <v>0.14925119850663951</v>
      </c>
      <c r="AI40" s="841">
        <f t="shared" si="133"/>
        <v>0.11554732945531465</v>
      </c>
      <c r="AJ40" s="841">
        <f t="shared" si="133"/>
        <v>0.11945612473527516</v>
      </c>
      <c r="AK40" s="841">
        <f t="shared" si="133"/>
        <v>0.12258196481795336</v>
      </c>
      <c r="AL40" s="910">
        <f t="shared" si="133"/>
        <v>0.11440654991053516</v>
      </c>
      <c r="AM40" s="894">
        <f t="shared" si="133"/>
        <v>0.13957397696765939</v>
      </c>
      <c r="AN40" s="894">
        <f t="shared" ref="AN40" si="134">AN39/AN12</f>
        <v>0.1424317617866005</v>
      </c>
      <c r="AO40" s="894">
        <f t="shared" ref="AO40" si="135">AO39/AO12</f>
        <v>0.16555815207621788</v>
      </c>
      <c r="AP40" s="910">
        <f t="shared" si="133"/>
        <v>0.14352970566224407</v>
      </c>
      <c r="AQ40" s="894">
        <f t="shared" si="133"/>
        <v>0.16414324346772552</v>
      </c>
      <c r="AR40" s="894">
        <f t="shared" si="133"/>
        <v>0.1510005512164074</v>
      </c>
      <c r="AS40" s="1133">
        <f t="shared" si="133"/>
        <v>0.15632861059479747</v>
      </c>
      <c r="AT40" s="910">
        <f t="shared" si="133"/>
        <v>0.16624484704087172</v>
      </c>
      <c r="AU40" s="894">
        <f t="shared" si="133"/>
        <v>0.15622976834669816</v>
      </c>
      <c r="AV40" s="894">
        <f t="shared" si="133"/>
        <v>0.15108502061220536</v>
      </c>
      <c r="AW40" s="1133">
        <f t="shared" si="133"/>
        <v>0.14651930588142922</v>
      </c>
      <c r="AX40" s="910">
        <f t="shared" ref="AX40:BA40" si="136">AX39/AX12</f>
        <v>0.15892180285058199</v>
      </c>
      <c r="AY40" s="894">
        <f t="shared" si="136"/>
        <v>0.14639846784391386</v>
      </c>
      <c r="AZ40" s="894">
        <f t="shared" si="136"/>
        <v>0.15085317015345603</v>
      </c>
      <c r="BA40" s="1133">
        <f t="shared" si="136"/>
        <v>0.14815113587807224</v>
      </c>
      <c r="BB40" s="894"/>
      <c r="BC40" s="894"/>
      <c r="BD40" s="894"/>
      <c r="BE40" s="862">
        <v>0.12495821354549709</v>
      </c>
      <c r="BF40" s="862">
        <f t="shared" ref="BF40:BO40" si="137">BF39/BF12</f>
        <v>0.14155921875850064</v>
      </c>
      <c r="BG40" s="862">
        <f t="shared" si="137"/>
        <v>0.13066755897607496</v>
      </c>
      <c r="BH40" s="862">
        <f t="shared" si="137"/>
        <v>0.12927854508020931</v>
      </c>
      <c r="BI40" s="862">
        <f t="shared" si="137"/>
        <v>0.13809079601990049</v>
      </c>
      <c r="BJ40" s="862">
        <f t="shared" si="137"/>
        <v>0.14308886282534375</v>
      </c>
      <c r="BK40" s="862">
        <f t="shared" si="137"/>
        <v>0.13537723806458057</v>
      </c>
      <c r="BL40" s="881">
        <f t="shared" si="137"/>
        <v>0.10719521588960765</v>
      </c>
      <c r="BM40" s="881">
        <f t="shared" ref="BM40" si="138">BM39/BM12</f>
        <v>0.14415309674626739</v>
      </c>
      <c r="BN40" s="882">
        <f t="shared" si="137"/>
        <v>0.15405916683965146</v>
      </c>
      <c r="BO40" s="882">
        <f t="shared" si="137"/>
        <v>0.154789418698246</v>
      </c>
      <c r="BP40" s="882">
        <f t="shared" ref="BP40" si="139">BP39/BP12</f>
        <v>0.1509717107374586</v>
      </c>
    </row>
    <row r="41" spans="1:68">
      <c r="A41" s="24">
        <f>ROWS($A$2:A41)</f>
        <v>40</v>
      </c>
      <c r="B41" s="4" t="s">
        <v>179</v>
      </c>
      <c r="C41" s="281"/>
      <c r="F41" s="281"/>
      <c r="J41" s="680"/>
      <c r="N41" s="680"/>
      <c r="R41" s="680"/>
      <c r="V41" s="680"/>
      <c r="Z41" s="680"/>
      <c r="AC41" s="1120"/>
      <c r="AD41" s="680"/>
      <c r="AG41" s="1120"/>
      <c r="AH41" s="836">
        <f>AH42-AH43</f>
        <v>-52</v>
      </c>
      <c r="AI41" s="864">
        <f t="shared" ref="AI41:AO41" si="140">AI39/AH39-1</f>
        <v>-6.2535531552018186E-3</v>
      </c>
      <c r="AJ41" s="864">
        <f t="shared" si="140"/>
        <v>0.11327231121281467</v>
      </c>
      <c r="AK41" s="864">
        <f t="shared" si="140"/>
        <v>7.7852004110996909E-2</v>
      </c>
      <c r="AL41" s="836">
        <f t="shared" si="140"/>
        <v>5.9594755661502852E-3</v>
      </c>
      <c r="AM41" s="835">
        <f t="shared" si="140"/>
        <v>0.31824644549763037</v>
      </c>
      <c r="AN41" s="835">
        <f t="shared" si="140"/>
        <v>8.3408232967823182E-2</v>
      </c>
      <c r="AO41" s="835">
        <f t="shared" si="140"/>
        <v>0.22249875559980081</v>
      </c>
      <c r="AP41" s="680"/>
      <c r="AS41" s="1120"/>
      <c r="AT41" s="680"/>
      <c r="AW41" s="1120"/>
      <c r="AX41" s="680"/>
      <c r="BA41" s="1120"/>
      <c r="BE41" s="864">
        <v>4.7645739910313845E-2</v>
      </c>
      <c r="BF41" s="864">
        <f t="shared" ref="BF41:BP41" si="141">BF39/BE39-1</f>
        <v>0.39218833600856073</v>
      </c>
      <c r="BG41" s="864">
        <f t="shared" si="141"/>
        <v>5.0538047655649398E-2</v>
      </c>
      <c r="BH41" s="864">
        <f t="shared" si="141"/>
        <v>0.10261569416498983</v>
      </c>
      <c r="BI41" s="864">
        <f t="shared" si="141"/>
        <v>0.47345719973457201</v>
      </c>
      <c r="BJ41" s="864">
        <f t="shared" si="141"/>
        <v>0.29115064174735417</v>
      </c>
      <c r="BK41" s="864">
        <f t="shared" si="141"/>
        <v>6.348099058249046E-2</v>
      </c>
      <c r="BL41" s="864">
        <f t="shared" si="141"/>
        <v>6.1167595933092844E-2</v>
      </c>
      <c r="BM41" s="864">
        <f t="shared" si="141"/>
        <v>0.82699737289445219</v>
      </c>
      <c r="BN41" s="866">
        <f t="shared" si="141"/>
        <v>0.61525846477252077</v>
      </c>
      <c r="BO41" s="866">
        <f t="shared" si="141"/>
        <v>0.21605416342424033</v>
      </c>
      <c r="BP41" s="866">
        <f t="shared" si="141"/>
        <v>0.15140810332388277</v>
      </c>
    </row>
    <row r="42" spans="1:68">
      <c r="A42" s="24">
        <f>ROWS($A$2:A42)</f>
        <v>41</v>
      </c>
      <c r="C42" s="281"/>
      <c r="F42" s="281"/>
      <c r="J42" s="680"/>
      <c r="N42" s="680"/>
      <c r="R42" s="680"/>
      <c r="V42" s="680"/>
      <c r="Z42" s="680"/>
      <c r="AC42" s="1120"/>
      <c r="AD42" s="680"/>
      <c r="AG42" s="1120"/>
      <c r="AH42" s="680"/>
      <c r="AK42" s="243">
        <f>AK39-3933</f>
        <v>262</v>
      </c>
      <c r="AL42" s="680">
        <f>AL39-3933</f>
        <v>287</v>
      </c>
      <c r="AM42" s="906"/>
      <c r="AN42" s="906"/>
      <c r="AO42" s="906"/>
      <c r="AP42" s="680"/>
      <c r="AS42" s="1120"/>
      <c r="AT42" s="680"/>
      <c r="AW42" s="1120"/>
      <c r="AX42" s="680"/>
      <c r="BA42" s="1120"/>
      <c r="BI42" s="243">
        <f t="shared" ref="BI42:BN42" si="142">BI43/BI39</f>
        <v>4.3120918712001799E-2</v>
      </c>
      <c r="BJ42" s="243">
        <f t="shared" si="142"/>
        <v>1.5347052668294385E-2</v>
      </c>
      <c r="BK42" s="243">
        <f t="shared" si="142"/>
        <v>-1.3037061331584126E-2</v>
      </c>
      <c r="BL42" s="243">
        <f t="shared" si="142"/>
        <v>-2.171225467470252E-2</v>
      </c>
      <c r="BM42" s="243">
        <f t="shared" ref="BM42" si="143">BM43/BM39</f>
        <v>-4.6690632268978641E-2</v>
      </c>
      <c r="BN42" s="681">
        <f t="shared" si="142"/>
        <v>-2.6182954800382945E-2</v>
      </c>
      <c r="BO42" s="681">
        <f t="shared" ref="BO42:BP42" si="144">BO43/BO39</f>
        <v>-2.1531076154252343E-2</v>
      </c>
      <c r="BP42" s="681">
        <f t="shared" si="144"/>
        <v>-1.8699778203832743E-2</v>
      </c>
    </row>
    <row r="43" spans="1:68">
      <c r="A43" s="24">
        <f>ROWS($A$2:A43)</f>
        <v>42</v>
      </c>
      <c r="B43" s="4" t="s">
        <v>183</v>
      </c>
      <c r="C43" s="297"/>
      <c r="D43" s="75"/>
      <c r="E43" s="75"/>
      <c r="F43" s="561">
        <v>58</v>
      </c>
      <c r="G43" s="90">
        <f t="shared" ref="G43:I43" si="145">G44+G45</f>
        <v>87</v>
      </c>
      <c r="H43" s="315">
        <f t="shared" si="145"/>
        <v>5</v>
      </c>
      <c r="I43" s="315">
        <f t="shared" si="145"/>
        <v>148</v>
      </c>
      <c r="J43" s="730">
        <v>206</v>
      </c>
      <c r="K43" s="315">
        <f t="shared" ref="K43:V43" si="146">K44+K45</f>
        <v>220</v>
      </c>
      <c r="L43" s="315">
        <f t="shared" si="146"/>
        <v>5</v>
      </c>
      <c r="M43" s="315">
        <f t="shared" si="146"/>
        <v>47</v>
      </c>
      <c r="N43" s="730">
        <f t="shared" si="146"/>
        <v>172</v>
      </c>
      <c r="O43" s="315">
        <f t="shared" si="146"/>
        <v>76</v>
      </c>
      <c r="P43" s="315">
        <f t="shared" si="146"/>
        <v>130</v>
      </c>
      <c r="Q43" s="315">
        <f t="shared" si="146"/>
        <v>181</v>
      </c>
      <c r="R43" s="730">
        <f t="shared" si="146"/>
        <v>48</v>
      </c>
      <c r="S43" s="315">
        <f t="shared" si="146"/>
        <v>-63</v>
      </c>
      <c r="T43" s="315">
        <f t="shared" si="146"/>
        <v>19</v>
      </c>
      <c r="U43" s="315">
        <f t="shared" si="146"/>
        <v>109</v>
      </c>
      <c r="V43" s="730">
        <f t="shared" si="146"/>
        <v>34</v>
      </c>
      <c r="W43" s="315">
        <f t="shared" ref="W43" si="147">W44+W45</f>
        <v>-77</v>
      </c>
      <c r="X43" s="315">
        <f>X44+X45+X48+X46</f>
        <v>-122</v>
      </c>
      <c r="Y43" s="315">
        <f t="shared" ref="Y43:AB43" si="148">Y44+Y45+Y48+Y46</f>
        <v>-119</v>
      </c>
      <c r="Z43" s="730">
        <f t="shared" si="148"/>
        <v>-76</v>
      </c>
      <c r="AA43" s="315">
        <f t="shared" si="148"/>
        <v>-150</v>
      </c>
      <c r="AB43" s="315">
        <f t="shared" si="148"/>
        <v>83</v>
      </c>
      <c r="AC43" s="315">
        <f>-487</f>
        <v>-487</v>
      </c>
      <c r="AD43" s="730">
        <f>-152</f>
        <v>-152</v>
      </c>
      <c r="AE43" s="315">
        <f>-294.7</f>
        <v>-294.7</v>
      </c>
      <c r="AF43" s="315">
        <v>-257</v>
      </c>
      <c r="AG43" s="315">
        <f t="shared" ref="AG43:AM43" si="149">SUM(AG44:AG46)</f>
        <v>-178</v>
      </c>
      <c r="AH43" s="730">
        <f t="shared" si="149"/>
        <v>52</v>
      </c>
      <c r="AI43" s="731">
        <f t="shared" si="149"/>
        <v>140</v>
      </c>
      <c r="AJ43" s="731">
        <f t="shared" si="149"/>
        <v>-168</v>
      </c>
      <c r="AK43" s="731">
        <f t="shared" si="149"/>
        <v>-170</v>
      </c>
      <c r="AL43" s="732">
        <f t="shared" si="149"/>
        <v>143</v>
      </c>
      <c r="AM43" s="899">
        <f t="shared" si="149"/>
        <v>427</v>
      </c>
      <c r="AN43" s="899">
        <f t="shared" ref="AN43" si="150">SUM(AN44:AN46)</f>
        <v>-502</v>
      </c>
      <c r="AO43" s="899">
        <f t="shared" ref="AO43" si="151">SUM(AO44:AO46)</f>
        <v>-403</v>
      </c>
      <c r="AP43" s="739">
        <f t="shared" ref="AP43:AW43" si="152">SUM(AP44:AP46)</f>
        <v>-250</v>
      </c>
      <c r="AQ43" s="345">
        <f t="shared" si="152"/>
        <v>-250</v>
      </c>
      <c r="AR43" s="345">
        <f t="shared" si="152"/>
        <v>-250</v>
      </c>
      <c r="AS43" s="1141">
        <f t="shared" si="152"/>
        <v>-250</v>
      </c>
      <c r="AT43" s="739">
        <f t="shared" si="152"/>
        <v>-250</v>
      </c>
      <c r="AU43" s="345">
        <f t="shared" si="152"/>
        <v>-250</v>
      </c>
      <c r="AV43" s="345">
        <f t="shared" si="152"/>
        <v>-250</v>
      </c>
      <c r="AW43" s="1141">
        <f t="shared" si="152"/>
        <v>-250</v>
      </c>
      <c r="AX43" s="739">
        <f t="shared" ref="AX43:BA43" si="153">SUM(AX44:AX46)</f>
        <v>-200</v>
      </c>
      <c r="AY43" s="345">
        <f t="shared" si="153"/>
        <v>-200</v>
      </c>
      <c r="AZ43" s="345">
        <f t="shared" si="153"/>
        <v>-200</v>
      </c>
      <c r="BA43" s="1141">
        <f t="shared" si="153"/>
        <v>-200</v>
      </c>
      <c r="BB43" s="731"/>
      <c r="BC43" s="731"/>
      <c r="BD43" s="731"/>
      <c r="BE43" s="698">
        <v>297</v>
      </c>
      <c r="BF43" s="698">
        <f t="shared" ref="BF43:BI43" si="154">BF44+BF45</f>
        <v>477</v>
      </c>
      <c r="BG43" s="698">
        <f t="shared" si="154"/>
        <v>558</v>
      </c>
      <c r="BH43" s="698">
        <f t="shared" si="154"/>
        <v>113</v>
      </c>
      <c r="BI43" s="698">
        <f t="shared" si="154"/>
        <v>383</v>
      </c>
      <c r="BJ43" s="698">
        <f>BJ44+BJ45+BJ46</f>
        <v>176</v>
      </c>
      <c r="BK43" s="698">
        <f>BK44+BK45+BK46</f>
        <v>-159</v>
      </c>
      <c r="BL43" s="698">
        <f>BL44+BL45+BL46</f>
        <v>-281</v>
      </c>
      <c r="BM43" s="698">
        <f>BM44+BM45+BM46</f>
        <v>-1104</v>
      </c>
      <c r="BN43" s="695">
        <f t="shared" ref="BN43" si="155">BN44+BN45+BN46</f>
        <v>-1000</v>
      </c>
      <c r="BO43" s="695">
        <f t="shared" ref="BO43:BP43" si="156">BO44+BO45+BO46</f>
        <v>-1000</v>
      </c>
      <c r="BP43" s="695">
        <f t="shared" si="156"/>
        <v>-1000</v>
      </c>
    </row>
    <row r="44" spans="1:68">
      <c r="A44" s="24">
        <f>ROWS($A$2:A44)</f>
        <v>43</v>
      </c>
      <c r="B44" s="87" t="s">
        <v>184</v>
      </c>
      <c r="C44" s="562"/>
      <c r="D44" s="87"/>
      <c r="E44" s="87"/>
      <c r="F44" s="297">
        <v>58</v>
      </c>
      <c r="G44" s="75">
        <v>87</v>
      </c>
      <c r="H44" s="325">
        <v>-57</v>
      </c>
      <c r="I44" s="325">
        <v>32</v>
      </c>
      <c r="J44" s="709">
        <v>206</v>
      </c>
      <c r="K44" s="325">
        <v>220</v>
      </c>
      <c r="L44" s="325">
        <v>5</v>
      </c>
      <c r="M44" s="325">
        <v>-43</v>
      </c>
      <c r="N44" s="709">
        <v>-11</v>
      </c>
      <c r="O44" s="325">
        <v>24</v>
      </c>
      <c r="P44" s="325">
        <v>63</v>
      </c>
      <c r="Q44" s="325">
        <v>98</v>
      </c>
      <c r="R44" s="709">
        <v>37</v>
      </c>
      <c r="S44" s="325">
        <v>18</v>
      </c>
      <c r="T44" s="325">
        <v>-4</v>
      </c>
      <c r="U44" s="325">
        <v>-32</v>
      </c>
      <c r="V44" s="709">
        <v>-40</v>
      </c>
      <c r="W44" s="325">
        <v>33</v>
      </c>
      <c r="X44" s="325">
        <v>-2</v>
      </c>
      <c r="Y44" s="325">
        <v>56</v>
      </c>
      <c r="Z44" s="709">
        <v>65</v>
      </c>
      <c r="AA44" s="325">
        <v>26</v>
      </c>
      <c r="AB44" s="325">
        <v>248</v>
      </c>
      <c r="AC44" s="325">
        <v>-335</v>
      </c>
      <c r="AD44" s="709">
        <v>30</v>
      </c>
      <c r="AE44" s="325">
        <v>0</v>
      </c>
      <c r="AF44" s="325"/>
      <c r="AG44" s="325"/>
      <c r="AH44" s="709">
        <v>-8</v>
      </c>
      <c r="AI44" s="325">
        <v>57</v>
      </c>
      <c r="AJ44" s="325"/>
      <c r="AK44" s="325">
        <v>-170</v>
      </c>
      <c r="AL44" s="709">
        <v>-44</v>
      </c>
      <c r="AM44" s="707">
        <v>310</v>
      </c>
      <c r="AN44" s="707">
        <v>-502</v>
      </c>
      <c r="AO44" s="707">
        <v>-403</v>
      </c>
      <c r="AP44" s="1142">
        <v>-250</v>
      </c>
      <c r="AQ44" s="733">
        <v>-250</v>
      </c>
      <c r="AR44" s="733">
        <v>-250</v>
      </c>
      <c r="AS44" s="1143">
        <v>-250</v>
      </c>
      <c r="AT44" s="1142">
        <v>-250</v>
      </c>
      <c r="AU44" s="733">
        <v>-250</v>
      </c>
      <c r="AV44" s="733">
        <v>-250</v>
      </c>
      <c r="AW44" s="1143">
        <v>-250</v>
      </c>
      <c r="AX44" s="1142">
        <v>-200</v>
      </c>
      <c r="AY44" s="733">
        <v>-200</v>
      </c>
      <c r="AZ44" s="733">
        <v>-200</v>
      </c>
      <c r="BA44" s="1143">
        <v>-200</v>
      </c>
      <c r="BB44" s="325"/>
      <c r="BC44" s="325"/>
      <c r="BD44" s="325"/>
      <c r="BE44" s="703">
        <v>-32</v>
      </c>
      <c r="BF44" s="703">
        <v>60</v>
      </c>
      <c r="BG44" s="703">
        <v>174</v>
      </c>
      <c r="BH44" s="703">
        <v>-106</v>
      </c>
      <c r="BI44" s="703">
        <v>161</v>
      </c>
      <c r="BJ44" s="703">
        <f>SUM(Z44:AC44)</f>
        <v>4</v>
      </c>
      <c r="BK44" s="703"/>
      <c r="BL44" s="703">
        <v>-281</v>
      </c>
      <c r="BM44" s="703">
        <v>-1104</v>
      </c>
      <c r="BN44" s="734">
        <f>SUM(AP44:AS44)</f>
        <v>-1000</v>
      </c>
      <c r="BO44" s="734">
        <f>SUM(AT44:AW44)</f>
        <v>-1000</v>
      </c>
      <c r="BP44" s="734">
        <v>-1000</v>
      </c>
    </row>
    <row r="45" spans="1:68">
      <c r="A45" s="24">
        <f>ROWS($A$2:A45)</f>
        <v>44</v>
      </c>
      <c r="B45" s="87" t="s">
        <v>183</v>
      </c>
      <c r="C45" s="562"/>
      <c r="D45" s="87"/>
      <c r="E45" s="87"/>
      <c r="F45" s="561"/>
      <c r="G45" s="90"/>
      <c r="H45" s="315">
        <v>62</v>
      </c>
      <c r="I45" s="315">
        <v>116</v>
      </c>
      <c r="J45" s="730"/>
      <c r="K45" s="315"/>
      <c r="L45" s="315"/>
      <c r="M45" s="315">
        <v>90</v>
      </c>
      <c r="N45" s="730">
        <v>183</v>
      </c>
      <c r="O45" s="325">
        <v>52</v>
      </c>
      <c r="P45" s="325">
        <v>67</v>
      </c>
      <c r="Q45" s="325">
        <v>83</v>
      </c>
      <c r="R45" s="709">
        <v>11</v>
      </c>
      <c r="S45" s="325">
        <v>-81</v>
      </c>
      <c r="T45" s="325">
        <v>23</v>
      </c>
      <c r="U45" s="325">
        <v>141</v>
      </c>
      <c r="V45" s="709">
        <v>74</v>
      </c>
      <c r="W45" s="325">
        <v>-110</v>
      </c>
      <c r="X45" s="325">
        <v>48</v>
      </c>
      <c r="Y45" s="325">
        <v>232</v>
      </c>
      <c r="Z45" s="709">
        <v>140</v>
      </c>
      <c r="AA45" s="325">
        <v>135</v>
      </c>
      <c r="AB45" s="325">
        <v>318</v>
      </c>
      <c r="AC45" s="325">
        <v>26</v>
      </c>
      <c r="AD45" s="709">
        <v>160</v>
      </c>
      <c r="AE45" s="325">
        <v>89</v>
      </c>
      <c r="AF45" s="325">
        <v>150</v>
      </c>
      <c r="AG45" s="325">
        <f>-452-AG48</f>
        <v>-82</v>
      </c>
      <c r="AH45" s="709">
        <v>61</v>
      </c>
      <c r="AI45" s="325"/>
      <c r="AJ45" s="325">
        <f>-328-AJ48</f>
        <v>-6</v>
      </c>
      <c r="AK45" s="325"/>
      <c r="AL45" s="709"/>
      <c r="AM45" s="707"/>
      <c r="AN45" s="707"/>
      <c r="AO45" s="707"/>
      <c r="AP45" s="1144">
        <f t="shared" ref="AP45:AS45" si="157">AP99</f>
        <v>0</v>
      </c>
      <c r="AQ45" s="735">
        <f t="shared" si="157"/>
        <v>0</v>
      </c>
      <c r="AR45" s="735">
        <f t="shared" si="157"/>
        <v>0</v>
      </c>
      <c r="AS45" s="1145">
        <f t="shared" si="157"/>
        <v>0</v>
      </c>
      <c r="AT45" s="1144">
        <f t="shared" ref="AT45:AW45" si="158">AT99</f>
        <v>0</v>
      </c>
      <c r="AU45" s="735">
        <f t="shared" si="158"/>
        <v>0</v>
      </c>
      <c r="AV45" s="735">
        <f t="shared" si="158"/>
        <v>0</v>
      </c>
      <c r="AW45" s="1145">
        <f t="shared" si="158"/>
        <v>0</v>
      </c>
      <c r="AX45" s="1144">
        <f t="shared" ref="AX45:BA45" si="159">AX99</f>
        <v>0</v>
      </c>
      <c r="AY45" s="735">
        <f t="shared" si="159"/>
        <v>0</v>
      </c>
      <c r="AZ45" s="735">
        <f t="shared" si="159"/>
        <v>0</v>
      </c>
      <c r="BA45" s="1145">
        <f t="shared" si="159"/>
        <v>0</v>
      </c>
      <c r="BB45" s="325"/>
      <c r="BC45" s="325"/>
      <c r="BD45" s="325"/>
      <c r="BE45" s="122">
        <v>329</v>
      </c>
      <c r="BF45" s="122">
        <v>417</v>
      </c>
      <c r="BG45" s="122">
        <v>384</v>
      </c>
      <c r="BH45" s="122">
        <v>219</v>
      </c>
      <c r="BI45" s="122">
        <f>(-428-BI48)</f>
        <v>222</v>
      </c>
      <c r="BJ45" s="122">
        <f>(-634-BJ48)</f>
        <v>172</v>
      </c>
      <c r="BK45" s="703">
        <f>-1153-BK48</f>
        <v>102</v>
      </c>
      <c r="BL45" s="703"/>
      <c r="BM45" s="703"/>
      <c r="BN45" s="695">
        <f>SUM(AP45:AS45)</f>
        <v>0</v>
      </c>
      <c r="BO45" s="695">
        <f>SUM(AT45:AW45)</f>
        <v>0</v>
      </c>
      <c r="BP45" s="695">
        <f>SUM(AX45:BA45)</f>
        <v>0</v>
      </c>
    </row>
    <row r="46" spans="1:68">
      <c r="A46" s="24">
        <f>ROWS($A$2:A46)</f>
        <v>45</v>
      </c>
      <c r="B46" s="87" t="s">
        <v>185</v>
      </c>
      <c r="C46" s="562"/>
      <c r="D46" s="87"/>
      <c r="E46" s="87"/>
      <c r="F46" s="297"/>
      <c r="G46" s="75"/>
      <c r="H46" s="325"/>
      <c r="I46" s="325"/>
      <c r="J46" s="709"/>
      <c r="K46" s="325"/>
      <c r="L46" s="325"/>
      <c r="M46" s="325"/>
      <c r="N46" s="709"/>
      <c r="O46" s="325"/>
      <c r="P46" s="325"/>
      <c r="Q46" s="325"/>
      <c r="R46" s="709"/>
      <c r="S46" s="325"/>
      <c r="T46" s="325"/>
      <c r="U46" s="325"/>
      <c r="V46" s="709"/>
      <c r="W46" s="325"/>
      <c r="X46" s="325">
        <f>-122-X44-X45-X48</f>
        <v>15</v>
      </c>
      <c r="Y46" s="325">
        <f>-119-Y44-Y45-Y48</f>
        <v>-224</v>
      </c>
      <c r="Z46" s="709">
        <f>-76-Z44-Z45-Z48</f>
        <v>-97</v>
      </c>
      <c r="AA46" s="325">
        <f>-150-AA44-AA45-AA48</f>
        <v>-99</v>
      </c>
      <c r="AB46" s="325">
        <f>83-AB44-AB45-AB48</f>
        <v>-268</v>
      </c>
      <c r="AC46" s="325">
        <f>-487-AC44-AC45-AC48</f>
        <v>17</v>
      </c>
      <c r="AD46" s="709">
        <f>-152-AD44-AD45-AD48</f>
        <v>-121</v>
      </c>
      <c r="AE46" s="325"/>
      <c r="AF46" s="325"/>
      <c r="AG46" s="325">
        <f>-96</f>
        <v>-96</v>
      </c>
      <c r="AH46" s="709">
        <f>-325-AH48</f>
        <v>-1</v>
      </c>
      <c r="AI46" s="925">
        <f>-221-AI48</f>
        <v>83</v>
      </c>
      <c r="AJ46" s="325">
        <f>-162</f>
        <v>-162</v>
      </c>
      <c r="AK46" s="325"/>
      <c r="AL46" s="709">
        <f>-275-AL48</f>
        <v>187</v>
      </c>
      <c r="AM46" s="707">
        <f>-292-AM48</f>
        <v>117</v>
      </c>
      <c r="AN46" s="707"/>
      <c r="AO46" s="707"/>
      <c r="AP46" s="1146"/>
      <c r="AQ46" s="733"/>
      <c r="AR46" s="733"/>
      <c r="AS46" s="1143"/>
      <c r="AT46" s="1146"/>
      <c r="AU46" s="733"/>
      <c r="AV46" s="733"/>
      <c r="AW46" s="1143"/>
      <c r="AX46" s="1146"/>
      <c r="AY46" s="733"/>
      <c r="AZ46" s="733"/>
      <c r="BA46" s="1143"/>
      <c r="BB46" s="325"/>
      <c r="BC46" s="325"/>
      <c r="BD46" s="325"/>
      <c r="BE46" s="703"/>
      <c r="BF46" s="703"/>
      <c r="BG46" s="703"/>
      <c r="BH46" s="703"/>
      <c r="BI46" s="703"/>
      <c r="BJ46" s="703"/>
      <c r="BK46" s="703">
        <f>-96-165</f>
        <v>-261</v>
      </c>
      <c r="BL46" s="703"/>
      <c r="BM46" s="703"/>
      <c r="BN46" s="695">
        <f>SUM(AP46:AS46)</f>
        <v>0</v>
      </c>
      <c r="BO46" s="695">
        <f>SUM(AT46:AW46)</f>
        <v>0</v>
      </c>
      <c r="BP46" s="695">
        <f>SUM(AU46:AX46)</f>
        <v>0</v>
      </c>
    </row>
    <row r="47" spans="1:68">
      <c r="A47" s="24">
        <f>ROWS($A$2:A47)</f>
        <v>46</v>
      </c>
      <c r="B47" s="87"/>
      <c r="C47" s="562"/>
      <c r="D47" s="87"/>
      <c r="E47" s="87"/>
      <c r="F47" s="562"/>
      <c r="G47" s="87"/>
      <c r="H47" s="736"/>
      <c r="I47" s="736"/>
      <c r="J47" s="737"/>
      <c r="K47" s="736"/>
      <c r="L47" s="736"/>
      <c r="M47" s="736"/>
      <c r="N47" s="737"/>
      <c r="O47" s="736"/>
      <c r="P47" s="736"/>
      <c r="Q47" s="736"/>
      <c r="R47" s="737"/>
      <c r="S47" s="736"/>
      <c r="T47" s="736"/>
      <c r="U47" s="736"/>
      <c r="V47" s="737"/>
      <c r="W47" s="736"/>
      <c r="X47" s="736"/>
      <c r="Y47" s="736"/>
      <c r="Z47" s="737"/>
      <c r="AA47" s="736"/>
      <c r="AB47" s="736"/>
      <c r="AC47" s="1147"/>
      <c r="AD47" s="737"/>
      <c r="AE47" s="736"/>
      <c r="AF47" s="736"/>
      <c r="AG47" s="1147"/>
      <c r="AH47" s="737"/>
      <c r="AI47" s="926"/>
      <c r="AJ47" s="736"/>
      <c r="AK47" s="736"/>
      <c r="AL47" s="737"/>
      <c r="AM47" s="900"/>
      <c r="AN47" s="900"/>
      <c r="AO47" s="900"/>
      <c r="AP47" s="737"/>
      <c r="AQ47" s="736"/>
      <c r="AR47" s="736"/>
      <c r="AS47" s="1147"/>
      <c r="AT47" s="737"/>
      <c r="AU47" s="736"/>
      <c r="AV47" s="736"/>
      <c r="AW47" s="1147"/>
      <c r="AX47" s="737"/>
      <c r="AY47" s="736"/>
      <c r="AZ47" s="736"/>
      <c r="BA47" s="1147"/>
      <c r="BB47" s="736"/>
      <c r="BC47" s="736"/>
      <c r="BD47" s="736"/>
      <c r="BE47" s="122"/>
      <c r="BF47" s="122"/>
      <c r="BG47" s="122"/>
      <c r="BH47" s="122"/>
      <c r="BI47" s="122"/>
      <c r="BJ47" s="122"/>
      <c r="BK47" s="122"/>
      <c r="BL47" s="122"/>
      <c r="BM47" s="122"/>
      <c r="BN47" s="695"/>
      <c r="BO47" s="695"/>
      <c r="BP47" s="695"/>
    </row>
    <row r="48" spans="1:68">
      <c r="A48" s="24">
        <f>ROWS($A$2:A48)</f>
        <v>47</v>
      </c>
      <c r="B48" s="4" t="s">
        <v>186</v>
      </c>
      <c r="C48" s="297"/>
      <c r="D48" s="75"/>
      <c r="E48" s="75"/>
      <c r="F48" s="297"/>
      <c r="G48" s="75"/>
      <c r="H48" s="325"/>
      <c r="I48" s="325"/>
      <c r="J48" s="709"/>
      <c r="K48" s="325"/>
      <c r="L48" s="325"/>
      <c r="M48" s="325"/>
      <c r="N48" s="709"/>
      <c r="O48" s="325"/>
      <c r="P48" s="325"/>
      <c r="Q48" s="325"/>
      <c r="R48" s="709"/>
      <c r="S48" s="325"/>
      <c r="T48" s="325">
        <v>0</v>
      </c>
      <c r="U48" s="325"/>
      <c r="V48" s="709"/>
      <c r="W48" s="325">
        <v>0</v>
      </c>
      <c r="X48" s="325">
        <v>-183</v>
      </c>
      <c r="Y48" s="325">
        <v>-183</v>
      </c>
      <c r="Z48" s="709">
        <v>-184</v>
      </c>
      <c r="AA48" s="325">
        <v>-212</v>
      </c>
      <c r="AB48" s="325">
        <v>-215</v>
      </c>
      <c r="AC48" s="325">
        <v>-195</v>
      </c>
      <c r="AD48" s="709">
        <v>-221</v>
      </c>
      <c r="AE48" s="325">
        <v>-319</v>
      </c>
      <c r="AF48" s="325">
        <v>-346</v>
      </c>
      <c r="AG48" s="325">
        <v>-370</v>
      </c>
      <c r="AH48" s="709">
        <v>-324</v>
      </c>
      <c r="AI48" s="927">
        <v>-304</v>
      </c>
      <c r="AJ48" s="325">
        <v>-322</v>
      </c>
      <c r="AK48" s="325">
        <v>-92</v>
      </c>
      <c r="AL48" s="709">
        <v>-462</v>
      </c>
      <c r="AM48" s="707">
        <v>-409</v>
      </c>
      <c r="AN48" s="707">
        <v>-208</v>
      </c>
      <c r="AO48" s="707">
        <v>-179</v>
      </c>
      <c r="AP48" s="739">
        <f>$BN$48/4</f>
        <v>-845.25750000000005</v>
      </c>
      <c r="AQ48" s="345">
        <f t="shared" ref="AQ48:AS48" si="160">$BN$48/4</f>
        <v>-845.25750000000005</v>
      </c>
      <c r="AR48" s="345">
        <f t="shared" si="160"/>
        <v>-845.25750000000005</v>
      </c>
      <c r="AS48" s="1141">
        <f t="shared" si="160"/>
        <v>-845.25750000000005</v>
      </c>
      <c r="AT48" s="739">
        <f>$BO$48/4</f>
        <v>-844.25080000000003</v>
      </c>
      <c r="AU48" s="345">
        <f t="shared" ref="AU48:AW48" si="161">$BO$48/4</f>
        <v>-844.25080000000003</v>
      </c>
      <c r="AV48" s="345">
        <f t="shared" si="161"/>
        <v>-844.25080000000003</v>
      </c>
      <c r="AW48" s="1141">
        <f t="shared" si="161"/>
        <v>-844.25080000000003</v>
      </c>
      <c r="AX48" s="739">
        <f>$BP$48/4</f>
        <v>-841.85947239999996</v>
      </c>
      <c r="AY48" s="345">
        <f t="shared" ref="AY48:BA48" si="162">$BP$48/4</f>
        <v>-841.85947239999996</v>
      </c>
      <c r="AZ48" s="345">
        <f t="shared" si="162"/>
        <v>-841.85947239999996</v>
      </c>
      <c r="BA48" s="1141">
        <f t="shared" si="162"/>
        <v>-841.85947239999996</v>
      </c>
      <c r="BB48" s="325"/>
      <c r="BC48" s="325"/>
      <c r="BD48" s="325"/>
      <c r="BE48" s="703"/>
      <c r="BF48" s="703"/>
      <c r="BG48" s="703"/>
      <c r="BH48" s="703"/>
      <c r="BI48" s="703">
        <v>-650</v>
      </c>
      <c r="BJ48" s="703">
        <v>-806</v>
      </c>
      <c r="BK48" s="738">
        <v>-1255</v>
      </c>
      <c r="BL48" s="738">
        <v>300</v>
      </c>
      <c r="BM48" s="738">
        <v>-954</v>
      </c>
      <c r="BN48" s="695">
        <f>-'BS Consol'!J84</f>
        <v>-3381.03</v>
      </c>
      <c r="BO48" s="695">
        <f>-'BS Consol'!K84</f>
        <v>-3377.0032000000001</v>
      </c>
      <c r="BP48" s="695">
        <f>-'BS Consol'!L84</f>
        <v>-3367.4378895999998</v>
      </c>
    </row>
    <row r="49" spans="1:68">
      <c r="A49" s="24">
        <f>ROWS($A$2:A49)</f>
        <v>48</v>
      </c>
      <c r="C49" s="297"/>
      <c r="D49" s="75"/>
      <c r="E49" s="75"/>
      <c r="F49" s="297"/>
      <c r="G49" s="75"/>
      <c r="H49" s="325"/>
      <c r="I49" s="325"/>
      <c r="J49" s="709"/>
      <c r="K49" s="325"/>
      <c r="L49" s="325"/>
      <c r="M49" s="325"/>
      <c r="N49" s="709"/>
      <c r="O49" s="325"/>
      <c r="P49" s="325"/>
      <c r="Q49" s="325"/>
      <c r="R49" s="709"/>
      <c r="S49" s="325"/>
      <c r="T49" s="325"/>
      <c r="U49" s="325"/>
      <c r="V49" s="709"/>
      <c r="W49" s="325"/>
      <c r="X49" s="325"/>
      <c r="Y49" s="325"/>
      <c r="Z49" s="709"/>
      <c r="AA49" s="325"/>
      <c r="AB49" s="325"/>
      <c r="AC49" s="1141"/>
      <c r="AD49" s="709"/>
      <c r="AE49" s="707"/>
      <c r="AF49" s="707"/>
      <c r="AG49" s="1141"/>
      <c r="AH49" s="709"/>
      <c r="AI49" s="928"/>
      <c r="AJ49" s="707"/>
      <c r="AK49" s="707"/>
      <c r="AL49" s="390">
        <f>-AL48/7426</f>
        <v>6.2213843253433883E-2</v>
      </c>
      <c r="AM49" s="568">
        <f>-AM48/7426</f>
        <v>5.5076757339078915E-2</v>
      </c>
      <c r="AN49" s="568">
        <f>-AN48/7426</f>
        <v>2.8009695663883651E-2</v>
      </c>
      <c r="AO49" s="568">
        <f>-AO48/7426</f>
        <v>2.4104497710746027E-2</v>
      </c>
      <c r="AP49" s="739"/>
      <c r="AQ49" s="345"/>
      <c r="AR49" s="345"/>
      <c r="AS49" s="1141"/>
      <c r="AT49" s="739"/>
      <c r="AU49" s="345"/>
      <c r="AV49" s="345"/>
      <c r="AW49" s="1141"/>
      <c r="AX49" s="739"/>
      <c r="AY49" s="345"/>
      <c r="AZ49" s="345"/>
      <c r="BA49" s="1141"/>
      <c r="BB49" s="707"/>
      <c r="BC49" s="707"/>
      <c r="BD49" s="707"/>
      <c r="BE49" s="703"/>
      <c r="BF49" s="703"/>
      <c r="BG49" s="703"/>
      <c r="BH49" s="703"/>
      <c r="BI49" s="703"/>
      <c r="BJ49" s="703"/>
      <c r="BK49" s="703"/>
      <c r="BL49" s="703"/>
      <c r="BM49" s="703"/>
      <c r="BN49" s="695"/>
      <c r="BO49" s="695"/>
      <c r="BP49" s="695"/>
    </row>
    <row r="50" spans="1:68">
      <c r="A50" s="24">
        <f>ROWS($A$2:A50)</f>
        <v>49</v>
      </c>
      <c r="B50" s="4" t="s">
        <v>187</v>
      </c>
      <c r="C50" s="281"/>
      <c r="F50" s="281"/>
      <c r="J50" s="680"/>
      <c r="M50" s="243">
        <v>-56</v>
      </c>
      <c r="N50" s="680">
        <v>57</v>
      </c>
      <c r="Q50" s="243">
        <v>-128</v>
      </c>
      <c r="R50" s="680">
        <v>-180</v>
      </c>
      <c r="V50" s="680"/>
      <c r="Z50" s="680"/>
      <c r="AC50" s="1148">
        <f>523+803</f>
        <v>1326</v>
      </c>
      <c r="AD50" s="709">
        <v>165</v>
      </c>
      <c r="AG50" s="1148"/>
      <c r="AH50" s="709">
        <v>953</v>
      </c>
      <c r="AI50" s="752"/>
      <c r="AK50" s="243">
        <v>0</v>
      </c>
      <c r="AL50" s="680">
        <v>248</v>
      </c>
      <c r="AN50" s="707">
        <v>1476</v>
      </c>
      <c r="AO50" s="707">
        <v>536</v>
      </c>
      <c r="AP50" s="680"/>
      <c r="AS50" s="1120"/>
      <c r="AT50" s="680"/>
      <c r="AW50" s="1120"/>
      <c r="AX50" s="680"/>
      <c r="BA50" s="1120"/>
      <c r="BE50" s="122"/>
      <c r="BF50" s="122">
        <v>-56</v>
      </c>
      <c r="BG50" s="703">
        <v>-71</v>
      </c>
      <c r="BH50" s="703">
        <v>-180</v>
      </c>
      <c r="BI50" s="703"/>
      <c r="BJ50" s="703">
        <f>-523-803</f>
        <v>-1326</v>
      </c>
      <c r="BK50" s="703">
        <f>BK51-BK48-BK43-BK39</f>
        <v>-86</v>
      </c>
      <c r="BL50" s="703"/>
      <c r="BM50" s="703">
        <v>2260</v>
      </c>
      <c r="BN50" s="695"/>
      <c r="BO50" s="695"/>
      <c r="BP50" s="695"/>
    </row>
    <row r="51" spans="1:68">
      <c r="A51" s="24">
        <f>ROWS($A$2:A51)</f>
        <v>50</v>
      </c>
      <c r="B51" s="61" t="s">
        <v>74</v>
      </c>
      <c r="C51" s="62"/>
      <c r="D51" s="63"/>
      <c r="E51" s="63"/>
      <c r="F51" s="62">
        <v>850</v>
      </c>
      <c r="G51" s="63">
        <f t="shared" ref="G51:L51" si="163">G39+G43-G48+G50</f>
        <v>936</v>
      </c>
      <c r="H51" s="710">
        <f t="shared" si="163"/>
        <v>990</v>
      </c>
      <c r="I51" s="710">
        <f t="shared" si="163"/>
        <v>1261</v>
      </c>
      <c r="J51" s="711">
        <v>1186</v>
      </c>
      <c r="K51" s="710">
        <f t="shared" si="163"/>
        <v>1459</v>
      </c>
      <c r="L51" s="710">
        <f t="shared" si="163"/>
        <v>1373</v>
      </c>
      <c r="M51" s="710">
        <f t="shared" ref="M51:W51" si="164">M39+M43-M48+M50</f>
        <v>1278</v>
      </c>
      <c r="N51" s="711">
        <f t="shared" si="164"/>
        <v>1234</v>
      </c>
      <c r="O51" s="710">
        <f t="shared" si="164"/>
        <v>1527</v>
      </c>
      <c r="P51" s="710">
        <f t="shared" si="164"/>
        <v>1621</v>
      </c>
      <c r="Q51" s="710">
        <f t="shared" si="164"/>
        <v>1591</v>
      </c>
      <c r="R51" s="711">
        <f t="shared" si="164"/>
        <v>1089</v>
      </c>
      <c r="S51" s="710">
        <f t="shared" si="164"/>
        <v>1525</v>
      </c>
      <c r="T51" s="710">
        <f t="shared" si="164"/>
        <v>1566</v>
      </c>
      <c r="U51" s="710">
        <f t="shared" si="164"/>
        <v>1782</v>
      </c>
      <c r="V51" s="711">
        <f t="shared" si="164"/>
        <v>1615</v>
      </c>
      <c r="W51" s="710">
        <f t="shared" si="164"/>
        <v>2062</v>
      </c>
      <c r="X51" s="710">
        <f>X39+X43+X50</f>
        <v>2332</v>
      </c>
      <c r="Y51" s="710">
        <f t="shared" ref="Y51:AB51" si="165">Y39+Y43+Y50</f>
        <v>2590</v>
      </c>
      <c r="Z51" s="711">
        <f t="shared" si="165"/>
        <v>2212</v>
      </c>
      <c r="AA51" s="710">
        <f t="shared" si="165"/>
        <v>2680</v>
      </c>
      <c r="AB51" s="710">
        <f t="shared" si="165"/>
        <v>3074</v>
      </c>
      <c r="AC51" s="712">
        <f>AC39+AC43-AC50</f>
        <v>1546</v>
      </c>
      <c r="AD51" s="711">
        <f t="shared" ref="AD51:AJ51" si="166">AD39+AD43-AD50+AD48</f>
        <v>2021</v>
      </c>
      <c r="AE51" s="710">
        <f t="shared" si="166"/>
        <v>2087.3000000000002</v>
      </c>
      <c r="AF51" s="710">
        <f t="shared" si="166"/>
        <v>2598</v>
      </c>
      <c r="AG51" s="712">
        <f t="shared" si="166"/>
        <v>2892</v>
      </c>
      <c r="AH51" s="711">
        <f t="shared" si="166"/>
        <v>2293</v>
      </c>
      <c r="AI51" s="711">
        <f>AI39+AI43-AI50+AI48</f>
        <v>3332</v>
      </c>
      <c r="AJ51" s="710">
        <f t="shared" si="166"/>
        <v>3402</v>
      </c>
      <c r="AK51" s="710">
        <f>AK39+AK43-AK50+AK48</f>
        <v>3933</v>
      </c>
      <c r="AL51" s="711">
        <f>AL39+AL43-AL50+AL48</f>
        <v>3653</v>
      </c>
      <c r="AM51" s="710">
        <f>AM39+AM43-AM50+AM48</f>
        <v>5581</v>
      </c>
      <c r="AN51" s="710">
        <f>AN39+AN43-AN50+AN48</f>
        <v>3841</v>
      </c>
      <c r="AO51" s="710">
        <f>AO39+AO43-AO50+AO48</f>
        <v>6250</v>
      </c>
      <c r="AP51" s="711">
        <f t="shared" ref="AP51:AW51" si="167">AP39+AP43-AP50+AP48</f>
        <v>6793.0142173191589</v>
      </c>
      <c r="AQ51" s="710">
        <f t="shared" si="167"/>
        <v>9051.8130707517284</v>
      </c>
      <c r="AR51" s="710">
        <f t="shared" si="167"/>
        <v>8605.4122582836062</v>
      </c>
      <c r="AS51" s="712">
        <f t="shared" si="167"/>
        <v>9361.5168531917207</v>
      </c>
      <c r="AT51" s="711">
        <f t="shared" si="167"/>
        <v>10841.788578167738</v>
      </c>
      <c r="AU51" s="710">
        <f t="shared" si="167"/>
        <v>10451.507478636273</v>
      </c>
      <c r="AV51" s="710">
        <f t="shared" si="167"/>
        <v>10407.048150975146</v>
      </c>
      <c r="AW51" s="712">
        <f t="shared" si="167"/>
        <v>10367.149506161761</v>
      </c>
      <c r="AX51" s="711">
        <f t="shared" ref="AX51:BA51" si="168">AX39+AX43-AX50+AX48</f>
        <v>12356.055644896222</v>
      </c>
      <c r="AY51" s="710">
        <f t="shared" si="168"/>
        <v>11670.055099797679</v>
      </c>
      <c r="AZ51" s="710">
        <f t="shared" si="168"/>
        <v>12539.003961393297</v>
      </c>
      <c r="BA51" s="712">
        <f t="shared" si="168"/>
        <v>12744.017505825441</v>
      </c>
      <c r="BB51" s="711"/>
      <c r="BC51" s="711"/>
      <c r="BD51" s="710"/>
      <c r="BE51" s="710">
        <v>4035</v>
      </c>
      <c r="BF51" s="710">
        <f>BF39+BF43-BF48+BF50</f>
        <v>5625</v>
      </c>
      <c r="BG51" s="710">
        <f>BG39+BG43-BG48+BG50</f>
        <v>5954</v>
      </c>
      <c r="BH51" s="710">
        <f>BH39+BH43-BH48+BH50</f>
        <v>5961</v>
      </c>
      <c r="BI51" s="710">
        <f>BI39+BI43+BI48</f>
        <v>8615</v>
      </c>
      <c r="BJ51" s="710">
        <f>BJ39+BJ43+BJ48+BJ50</f>
        <v>9512</v>
      </c>
      <c r="BK51" s="740">
        <v>10696</v>
      </c>
      <c r="BL51" s="710">
        <f>BL39+BL43-BL50+BL48</f>
        <v>12961</v>
      </c>
      <c r="BM51" s="710">
        <f>BM39+BM43-BM50+BM48</f>
        <v>19327</v>
      </c>
      <c r="BN51" s="715">
        <f t="shared" ref="BN51:BO51" si="169">BN39+BN43-BN50+BN48</f>
        <v>33811.756399546255</v>
      </c>
      <c r="BO51" s="715">
        <f t="shared" si="169"/>
        <v>42067.493713940923</v>
      </c>
      <c r="BP51" s="715">
        <f t="shared" ref="BP51" si="170">BP39+BP43-BP50+BP48</f>
        <v>49109.132211912649</v>
      </c>
    </row>
    <row r="52" spans="1:68">
      <c r="A52" s="24">
        <f>ROWS($A$2:A52)</f>
        <v>51</v>
      </c>
      <c r="C52" s="281"/>
      <c r="F52" s="281"/>
      <c r="J52" s="680"/>
      <c r="N52" s="680"/>
      <c r="R52" s="680"/>
      <c r="V52" s="680"/>
      <c r="Z52" s="680"/>
      <c r="AC52" s="1120"/>
      <c r="AD52" s="680"/>
      <c r="AG52" s="1120"/>
      <c r="AH52" s="680"/>
      <c r="AI52" s="243">
        <f>AI51-3332</f>
        <v>0</v>
      </c>
      <c r="AL52" s="680">
        <f>AL51-3654</f>
        <v>-1</v>
      </c>
      <c r="AM52" s="679">
        <f>AM51-5563</f>
        <v>18</v>
      </c>
      <c r="AN52" s="679">
        <f>AN51-5563</f>
        <v>-1722</v>
      </c>
      <c r="AO52" s="679">
        <f>AO51-5563</f>
        <v>687</v>
      </c>
      <c r="AP52" s="680"/>
      <c r="AS52" s="1120"/>
      <c r="AT52" s="680"/>
      <c r="AW52" s="1120"/>
      <c r="AX52" s="680"/>
      <c r="BA52" s="1120"/>
      <c r="BN52" s="681"/>
      <c r="BO52" s="681"/>
      <c r="BP52" s="681"/>
    </row>
    <row r="53" spans="1:68">
      <c r="A53" s="24">
        <f>ROWS($A$2:A53)</f>
        <v>52</v>
      </c>
      <c r="B53" s="4" t="s">
        <v>188</v>
      </c>
      <c r="C53" s="558"/>
      <c r="D53" s="48"/>
      <c r="E53" s="48"/>
      <c r="F53" s="558">
        <v>295</v>
      </c>
      <c r="G53" s="59">
        <f t="shared" ref="G53:I53" si="171">G54+G55+G56</f>
        <v>204</v>
      </c>
      <c r="H53" s="700">
        <f t="shared" si="171"/>
        <v>163</v>
      </c>
      <c r="I53" s="700">
        <f t="shared" si="171"/>
        <v>288</v>
      </c>
      <c r="J53" s="686">
        <v>300</v>
      </c>
      <c r="K53" s="700">
        <f t="shared" ref="K53:AG53" si="172">K54+K55+K56</f>
        <v>351</v>
      </c>
      <c r="L53" s="700">
        <f t="shared" si="172"/>
        <v>412</v>
      </c>
      <c r="M53" s="700">
        <f t="shared" si="172"/>
        <v>223</v>
      </c>
      <c r="N53" s="701">
        <f t="shared" si="172"/>
        <v>318</v>
      </c>
      <c r="O53" s="700">
        <f t="shared" si="172"/>
        <v>276</v>
      </c>
      <c r="P53" s="700">
        <f t="shared" si="172"/>
        <v>336</v>
      </c>
      <c r="Q53" s="700">
        <f t="shared" si="172"/>
        <v>348</v>
      </c>
      <c r="R53" s="701">
        <f t="shared" si="172"/>
        <v>260</v>
      </c>
      <c r="S53" s="700">
        <f t="shared" si="172"/>
        <v>303</v>
      </c>
      <c r="T53" s="700">
        <f t="shared" si="172"/>
        <v>331</v>
      </c>
      <c r="U53" s="700">
        <f t="shared" si="172"/>
        <v>408</v>
      </c>
      <c r="V53" s="701">
        <f t="shared" si="172"/>
        <v>320</v>
      </c>
      <c r="W53" s="700">
        <f t="shared" si="172"/>
        <v>446</v>
      </c>
      <c r="X53" s="700">
        <f t="shared" si="172"/>
        <v>360</v>
      </c>
      <c r="Y53" s="700">
        <f t="shared" si="172"/>
        <v>342</v>
      </c>
      <c r="Z53" s="701">
        <f t="shared" si="172"/>
        <v>493</v>
      </c>
      <c r="AA53" s="700">
        <f t="shared" si="172"/>
        <v>474</v>
      </c>
      <c r="AB53" s="700">
        <f t="shared" si="172"/>
        <v>715</v>
      </c>
      <c r="AC53" s="700">
        <f t="shared" si="172"/>
        <v>379</v>
      </c>
      <c r="AD53" s="701">
        <f t="shared" si="172"/>
        <v>485</v>
      </c>
      <c r="AE53" s="700">
        <f t="shared" si="172"/>
        <v>528</v>
      </c>
      <c r="AF53" s="700">
        <f t="shared" si="172"/>
        <v>516</v>
      </c>
      <c r="AG53" s="700">
        <f t="shared" si="172"/>
        <v>588</v>
      </c>
      <c r="AH53" s="701">
        <f t="shared" ref="AH53:AI53" si="173">AH54+AH55+AH56</f>
        <v>718</v>
      </c>
      <c r="AI53" s="700">
        <f t="shared" si="173"/>
        <v>864</v>
      </c>
      <c r="AJ53" s="700">
        <f t="shared" ref="AJ53" si="174">AJ54+AJ55+AJ56</f>
        <v>870</v>
      </c>
      <c r="AK53" s="700">
        <f t="shared" ref="AK53:AL53" si="175">AK54+AK55+AK56</f>
        <v>874</v>
      </c>
      <c r="AL53" s="701">
        <f t="shared" si="175"/>
        <v>792</v>
      </c>
      <c r="AM53" s="700">
        <f t="shared" ref="AM53:AN53" si="176">AM54+AM55+AM56</f>
        <v>1328</v>
      </c>
      <c r="AN53" s="700">
        <f t="shared" si="176"/>
        <v>875</v>
      </c>
      <c r="AO53" s="700">
        <f t="shared" ref="AO53" si="177">AO54+AO55+AO56</f>
        <v>-412</v>
      </c>
      <c r="AP53" s="701">
        <f t="shared" ref="AP53:AS53" si="178">AP57*AP51</f>
        <v>1711.8395827644281</v>
      </c>
      <c r="AQ53" s="700">
        <f t="shared" si="178"/>
        <v>2281.0568938294355</v>
      </c>
      <c r="AR53" s="700">
        <f t="shared" si="178"/>
        <v>2168.5638890874689</v>
      </c>
      <c r="AS53" s="1126">
        <f t="shared" si="178"/>
        <v>2359.1022470043135</v>
      </c>
      <c r="AT53" s="701">
        <f t="shared" ref="AT53:AW53" si="179">AT57*AT51</f>
        <v>2732.13072169827</v>
      </c>
      <c r="AU53" s="700">
        <f t="shared" si="179"/>
        <v>2633.779884616341</v>
      </c>
      <c r="AV53" s="700">
        <f t="shared" si="179"/>
        <v>2622.576134045737</v>
      </c>
      <c r="AW53" s="1126">
        <f t="shared" si="179"/>
        <v>2612.5216755527636</v>
      </c>
      <c r="AX53" s="701">
        <f t="shared" ref="AX53:BA53" si="180">AX57*AX51</f>
        <v>3113.726022513848</v>
      </c>
      <c r="AY53" s="700">
        <f t="shared" si="180"/>
        <v>2940.8538851490152</v>
      </c>
      <c r="AZ53" s="700">
        <f t="shared" si="180"/>
        <v>3159.8289982711108</v>
      </c>
      <c r="BA53" s="1126">
        <f t="shared" si="180"/>
        <v>3211.4924114680111</v>
      </c>
      <c r="BB53" s="700"/>
      <c r="BC53" s="700"/>
      <c r="BD53" s="700"/>
      <c r="BE53" s="122">
        <v>949</v>
      </c>
      <c r="BF53" s="122">
        <f t="shared" ref="BF53:BI53" si="181">BF54+BF56</f>
        <v>1403</v>
      </c>
      <c r="BG53" s="122">
        <f t="shared" si="181"/>
        <v>1278</v>
      </c>
      <c r="BH53" s="122">
        <f t="shared" si="181"/>
        <v>1302</v>
      </c>
      <c r="BI53" s="122">
        <f t="shared" si="181"/>
        <v>1468</v>
      </c>
      <c r="BJ53" s="122">
        <f>SUM(Z53:AC53)</f>
        <v>2061</v>
      </c>
      <c r="BK53" s="703">
        <v>2209</v>
      </c>
      <c r="BL53" s="703">
        <v>3326</v>
      </c>
      <c r="BM53" s="703">
        <v>2583</v>
      </c>
      <c r="BN53" s="695">
        <f>SUM(AP53:AS53)</f>
        <v>8520.5626126856459</v>
      </c>
      <c r="BO53" s="695">
        <f>SUM(AT53:AW53)</f>
        <v>10601.008415913111</v>
      </c>
      <c r="BP53" s="695">
        <f>SUM(AX53:BA53)</f>
        <v>12425.901317401984</v>
      </c>
    </row>
    <row r="54" spans="1:68">
      <c r="A54" s="24">
        <f>ROWS($A$2:A54)</f>
        <v>53</v>
      </c>
      <c r="B54" s="4" t="s">
        <v>189</v>
      </c>
      <c r="C54" s="558"/>
      <c r="D54" s="48"/>
      <c r="E54" s="48"/>
      <c r="F54" s="558">
        <v>295</v>
      </c>
      <c r="G54" s="48">
        <v>204</v>
      </c>
      <c r="H54" s="685">
        <v>163</v>
      </c>
      <c r="I54" s="685">
        <v>288</v>
      </c>
      <c r="J54" s="686">
        <v>300</v>
      </c>
      <c r="K54" s="685">
        <v>351</v>
      </c>
      <c r="L54" s="685">
        <v>412</v>
      </c>
      <c r="M54" s="685">
        <v>223</v>
      </c>
      <c r="N54" s="686">
        <v>318</v>
      </c>
      <c r="O54" s="685">
        <v>276</v>
      </c>
      <c r="P54" s="685">
        <v>336</v>
      </c>
      <c r="Q54" s="685">
        <v>348</v>
      </c>
      <c r="R54" s="686">
        <v>260</v>
      </c>
      <c r="S54" s="685">
        <v>303</v>
      </c>
      <c r="T54" s="685">
        <v>331</v>
      </c>
      <c r="U54" s="685">
        <v>408</v>
      </c>
      <c r="V54" s="686">
        <v>320</v>
      </c>
      <c r="W54" s="685">
        <v>446</v>
      </c>
      <c r="X54" s="685">
        <v>360</v>
      </c>
      <c r="Y54" s="685">
        <v>342</v>
      </c>
      <c r="Z54" s="686">
        <v>493</v>
      </c>
      <c r="AA54" s="685">
        <v>474</v>
      </c>
      <c r="AB54" s="685">
        <v>715</v>
      </c>
      <c r="AC54" s="685">
        <v>379</v>
      </c>
      <c r="AD54" s="686">
        <v>485</v>
      </c>
      <c r="AE54" s="685">
        <f>751-223</f>
        <v>528</v>
      </c>
      <c r="AF54" s="685">
        <v>516</v>
      </c>
      <c r="AG54" s="685">
        <v>634</v>
      </c>
      <c r="AH54" s="686">
        <f>718</f>
        <v>718</v>
      </c>
      <c r="AI54" s="685">
        <v>1012</v>
      </c>
      <c r="AJ54" s="685">
        <v>1038</v>
      </c>
      <c r="AK54" s="685">
        <v>1170</v>
      </c>
      <c r="AL54" s="686">
        <v>1139</v>
      </c>
      <c r="AM54" s="685">
        <v>1436</v>
      </c>
      <c r="AN54" s="685">
        <v>1328</v>
      </c>
      <c r="AO54" s="685">
        <v>1121</v>
      </c>
      <c r="AP54" s="701"/>
      <c r="AQ54" s="700"/>
      <c r="AR54" s="700"/>
      <c r="AS54" s="1126"/>
      <c r="AT54" s="701"/>
      <c r="AU54" s="700"/>
      <c r="AV54" s="700"/>
      <c r="AW54" s="1126"/>
      <c r="AX54" s="701"/>
      <c r="AY54" s="700"/>
      <c r="AZ54" s="700"/>
      <c r="BA54" s="1126"/>
      <c r="BB54" s="685"/>
      <c r="BC54" s="685"/>
      <c r="BD54" s="685"/>
      <c r="BE54" s="703">
        <v>949</v>
      </c>
      <c r="BF54" s="703">
        <v>1403</v>
      </c>
      <c r="BG54" s="703">
        <v>1278</v>
      </c>
      <c r="BH54" s="703">
        <v>1302</v>
      </c>
      <c r="BI54" s="703">
        <v>1468</v>
      </c>
      <c r="BJ54" s="703">
        <v>2061</v>
      </c>
      <c r="BK54" s="703"/>
      <c r="BL54" s="703"/>
      <c r="BM54" s="703"/>
      <c r="BN54" s="695"/>
      <c r="BO54" s="695"/>
      <c r="BP54" s="695"/>
    </row>
    <row r="55" spans="1:68">
      <c r="A55" s="24">
        <f>ROWS($A$2:A55)</f>
        <v>54</v>
      </c>
      <c r="B55" s="4" t="s">
        <v>190</v>
      </c>
      <c r="C55" s="558"/>
      <c r="D55" s="48"/>
      <c r="E55" s="48"/>
      <c r="F55" s="558"/>
      <c r="G55" s="48"/>
      <c r="H55" s="685"/>
      <c r="I55" s="685"/>
      <c r="J55" s="686"/>
      <c r="K55" s="685"/>
      <c r="L55" s="685"/>
      <c r="M55" s="685"/>
      <c r="N55" s="686"/>
      <c r="O55" s="685"/>
      <c r="P55" s="685"/>
      <c r="Q55" s="685"/>
      <c r="R55" s="686"/>
      <c r="S55" s="685"/>
      <c r="T55" s="685"/>
      <c r="U55" s="685"/>
      <c r="V55" s="686"/>
      <c r="W55" s="685"/>
      <c r="X55" s="685"/>
      <c r="Y55" s="685"/>
      <c r="Z55" s="686"/>
      <c r="AA55" s="685"/>
      <c r="AB55" s="685"/>
      <c r="AC55" s="1126"/>
      <c r="AD55" s="686"/>
      <c r="AE55" s="685"/>
      <c r="AF55" s="685"/>
      <c r="AG55" s="1126"/>
      <c r="AH55" s="686"/>
      <c r="AI55" s="685"/>
      <c r="AJ55" s="685"/>
      <c r="AK55" s="685"/>
      <c r="AL55" s="686"/>
      <c r="AM55" s="685"/>
      <c r="AN55" s="685"/>
      <c r="AO55" s="685"/>
      <c r="AP55" s="701"/>
      <c r="AQ55" s="700"/>
      <c r="AR55" s="700"/>
      <c r="AS55" s="1126"/>
      <c r="AT55" s="701"/>
      <c r="AU55" s="700"/>
      <c r="AV55" s="700"/>
      <c r="AW55" s="1126"/>
      <c r="AX55" s="701"/>
      <c r="AY55" s="700"/>
      <c r="AZ55" s="700"/>
      <c r="BA55" s="1126"/>
      <c r="BB55" s="685"/>
      <c r="BC55" s="685"/>
      <c r="BD55" s="685"/>
      <c r="BE55" s="122"/>
      <c r="BF55" s="122"/>
      <c r="BG55" s="122"/>
      <c r="BH55" s="122"/>
      <c r="BI55" s="122"/>
      <c r="BJ55" s="122"/>
      <c r="BK55" s="122"/>
      <c r="BL55" s="122"/>
      <c r="BM55" s="122"/>
      <c r="BN55" s="695"/>
      <c r="BO55" s="695"/>
      <c r="BP55" s="695"/>
    </row>
    <row r="56" spans="1:68">
      <c r="A56" s="24">
        <f>ROWS($A$2:A56)</f>
        <v>55</v>
      </c>
      <c r="B56" s="4" t="s">
        <v>191</v>
      </c>
      <c r="C56" s="558"/>
      <c r="D56" s="48"/>
      <c r="E56" s="48"/>
      <c r="F56" s="558"/>
      <c r="G56" s="48"/>
      <c r="H56" s="685"/>
      <c r="I56" s="685"/>
      <c r="J56" s="686"/>
      <c r="K56" s="685"/>
      <c r="L56" s="685"/>
      <c r="M56" s="685"/>
      <c r="N56" s="686"/>
      <c r="O56" s="685"/>
      <c r="P56" s="685"/>
      <c r="Q56" s="685"/>
      <c r="R56" s="686"/>
      <c r="S56" s="685"/>
      <c r="T56" s="685"/>
      <c r="U56" s="685"/>
      <c r="V56" s="686"/>
      <c r="W56" s="685"/>
      <c r="X56" s="685"/>
      <c r="Y56" s="685"/>
      <c r="Z56" s="686"/>
      <c r="AA56" s="685"/>
      <c r="AB56" s="685"/>
      <c r="AC56" s="1126"/>
      <c r="AD56" s="686"/>
      <c r="AE56" s="685"/>
      <c r="AF56" s="685"/>
      <c r="AG56" s="1126">
        <v>-46</v>
      </c>
      <c r="AH56" s="686"/>
      <c r="AI56" s="685">
        <v>-148</v>
      </c>
      <c r="AJ56" s="685">
        <v>-168</v>
      </c>
      <c r="AK56" s="685">
        <v>-296</v>
      </c>
      <c r="AL56" s="686">
        <v>-347</v>
      </c>
      <c r="AM56" s="685">
        <v>-108</v>
      </c>
      <c r="AN56" s="685">
        <v>-453</v>
      </c>
      <c r="AO56" s="685">
        <v>-1533</v>
      </c>
      <c r="AP56" s="701"/>
      <c r="AQ56" s="700"/>
      <c r="AR56" s="700"/>
      <c r="AS56" s="1126"/>
      <c r="AT56" s="701"/>
      <c r="AU56" s="700"/>
      <c r="AV56" s="700"/>
      <c r="AW56" s="1126"/>
      <c r="AX56" s="701"/>
      <c r="AY56" s="700"/>
      <c r="AZ56" s="700"/>
      <c r="BA56" s="1126"/>
      <c r="BB56" s="685"/>
      <c r="BC56" s="685"/>
      <c r="BD56" s="685"/>
      <c r="BE56" s="122"/>
      <c r="BF56" s="122"/>
      <c r="BG56" s="122"/>
      <c r="BH56" s="122"/>
      <c r="BI56" s="122"/>
      <c r="BJ56" s="122"/>
      <c r="BK56" s="122"/>
      <c r="BL56" s="122"/>
      <c r="BM56" s="122"/>
      <c r="BN56" s="695"/>
      <c r="BO56" s="695"/>
      <c r="BP56" s="695"/>
    </row>
    <row r="57" spans="1:68">
      <c r="A57" s="24">
        <f>ROWS($A$2:A57)</f>
        <v>56</v>
      </c>
      <c r="B57" s="72" t="s">
        <v>192</v>
      </c>
      <c r="C57" s="323"/>
      <c r="D57" s="73"/>
      <c r="E57" s="73"/>
      <c r="F57" s="323">
        <v>0.34705882352941175</v>
      </c>
      <c r="G57" s="73">
        <f t="shared" ref="G57:Q57" si="182">G53/G51</f>
        <v>0.21794871794871795</v>
      </c>
      <c r="H57" s="841">
        <f t="shared" si="182"/>
        <v>0.16464646464646465</v>
      </c>
      <c r="I57" s="841">
        <f t="shared" si="182"/>
        <v>0.22839016653449642</v>
      </c>
      <c r="J57" s="842">
        <v>0.25295109612141653</v>
      </c>
      <c r="K57" s="841">
        <f t="shared" si="182"/>
        <v>0.24057573680603153</v>
      </c>
      <c r="L57" s="841">
        <f t="shared" si="182"/>
        <v>0.30007283321194467</v>
      </c>
      <c r="M57" s="841">
        <f t="shared" si="182"/>
        <v>0.17449139280125195</v>
      </c>
      <c r="N57" s="842">
        <f t="shared" si="182"/>
        <v>0.25769854132901132</v>
      </c>
      <c r="O57" s="841">
        <f t="shared" si="182"/>
        <v>0.18074656188605109</v>
      </c>
      <c r="P57" s="841">
        <f t="shared" si="182"/>
        <v>0.20727945712523133</v>
      </c>
      <c r="Q57" s="841">
        <f t="shared" si="182"/>
        <v>0.21873035826524198</v>
      </c>
      <c r="R57" s="842">
        <f t="shared" ref="R57:AG57" si="183">R53/R51</f>
        <v>0.23875114784205692</v>
      </c>
      <c r="S57" s="841">
        <f t="shared" si="183"/>
        <v>0.19868852459016392</v>
      </c>
      <c r="T57" s="841">
        <f t="shared" si="183"/>
        <v>0.21136653895274585</v>
      </c>
      <c r="U57" s="841">
        <f t="shared" si="183"/>
        <v>0.22895622895622897</v>
      </c>
      <c r="V57" s="842">
        <f t="shared" si="183"/>
        <v>0.19814241486068113</v>
      </c>
      <c r="W57" s="841">
        <f t="shared" si="183"/>
        <v>0.2162948593598448</v>
      </c>
      <c r="X57" s="841">
        <f t="shared" si="183"/>
        <v>0.15437392795883362</v>
      </c>
      <c r="Y57" s="841">
        <f t="shared" si="183"/>
        <v>0.13204633204633204</v>
      </c>
      <c r="Z57" s="842">
        <f t="shared" si="183"/>
        <v>0.22287522603978299</v>
      </c>
      <c r="AA57" s="841">
        <f t="shared" si="183"/>
        <v>0.17686567164179104</v>
      </c>
      <c r="AB57" s="841">
        <f t="shared" si="183"/>
        <v>0.23259596616785946</v>
      </c>
      <c r="AC57" s="841">
        <f t="shared" si="183"/>
        <v>0.24514877102199223</v>
      </c>
      <c r="AD57" s="842">
        <f t="shared" si="183"/>
        <v>0.23998020781791193</v>
      </c>
      <c r="AE57" s="841">
        <f t="shared" si="183"/>
        <v>0.25295836726872034</v>
      </c>
      <c r="AF57" s="841">
        <f t="shared" si="183"/>
        <v>0.19861431870669746</v>
      </c>
      <c r="AG57" s="841">
        <f t="shared" si="183"/>
        <v>0.2033195020746888</v>
      </c>
      <c r="AH57" s="842">
        <f t="shared" ref="AH57:AI57" si="184">AH53/AH51</f>
        <v>0.31312690798081116</v>
      </c>
      <c r="AI57" s="841">
        <f t="shared" si="184"/>
        <v>0.25930372148859543</v>
      </c>
      <c r="AJ57" s="841">
        <f t="shared" ref="AJ57" si="185">AJ53/AJ51</f>
        <v>0.25573192239858905</v>
      </c>
      <c r="AK57" s="841">
        <f t="shared" ref="AK57:AL57" si="186">AK53/AK51</f>
        <v>0.22222222222222221</v>
      </c>
      <c r="AL57" s="910">
        <f t="shared" si="186"/>
        <v>0.21680810292909938</v>
      </c>
      <c r="AM57" s="894">
        <f t="shared" ref="AM57:AN57" si="187">AM53/AM51</f>
        <v>0.23795018813832647</v>
      </c>
      <c r="AN57" s="894">
        <f t="shared" si="187"/>
        <v>0.22780525904712315</v>
      </c>
      <c r="AO57" s="894">
        <f t="shared" ref="AO57" si="188">AO53/AO51</f>
        <v>-6.5920000000000006E-2</v>
      </c>
      <c r="AP57" s="1149">
        <v>0.252</v>
      </c>
      <c r="AQ57" s="993">
        <v>0.252</v>
      </c>
      <c r="AR57" s="993">
        <v>0.252</v>
      </c>
      <c r="AS57" s="1150">
        <v>0.252</v>
      </c>
      <c r="AT57" s="1149">
        <v>0.252</v>
      </c>
      <c r="AU57" s="993">
        <v>0.252</v>
      </c>
      <c r="AV57" s="993">
        <v>0.252</v>
      </c>
      <c r="AW57" s="1150">
        <v>0.252</v>
      </c>
      <c r="AX57" s="1149">
        <v>0.252</v>
      </c>
      <c r="AY57" s="993">
        <v>0.252</v>
      </c>
      <c r="AZ57" s="993">
        <v>0.252</v>
      </c>
      <c r="BA57" s="1150">
        <v>0.252</v>
      </c>
      <c r="BB57" s="894"/>
      <c r="BC57" s="343"/>
      <c r="BD57" s="343"/>
      <c r="BE57" s="862">
        <v>0.2351920693928129</v>
      </c>
      <c r="BF57" s="862">
        <f t="shared" ref="BF57:BN57" si="189">BF53/BF51</f>
        <v>0.24942222222222221</v>
      </c>
      <c r="BG57" s="862">
        <f t="shared" si="189"/>
        <v>0.21464561639234128</v>
      </c>
      <c r="BH57" s="862">
        <f t="shared" si="189"/>
        <v>0.21841972823351788</v>
      </c>
      <c r="BI57" s="862">
        <f t="shared" si="189"/>
        <v>0.17040046430644226</v>
      </c>
      <c r="BJ57" s="862">
        <f t="shared" si="189"/>
        <v>0.21667367535744322</v>
      </c>
      <c r="BK57" s="862">
        <f t="shared" si="189"/>
        <v>0.20652580403889303</v>
      </c>
      <c r="BL57" s="862">
        <f t="shared" ref="BL57:BM57" si="190">BL53/BL51</f>
        <v>0.25661600185170896</v>
      </c>
      <c r="BM57" s="862">
        <f t="shared" si="190"/>
        <v>0.13364722926475914</v>
      </c>
      <c r="BN57" s="863">
        <f t="shared" si="189"/>
        <v>0.25199999999999967</v>
      </c>
      <c r="BO57" s="863">
        <f t="shared" ref="BO57:BP57" si="191">BO53/BO51</f>
        <v>0.25199999999999995</v>
      </c>
      <c r="BP57" s="863">
        <f t="shared" si="191"/>
        <v>0.25302628569738339</v>
      </c>
    </row>
    <row r="58" spans="1:68">
      <c r="A58" s="24">
        <f>ROWS($A$2:A58)</f>
        <v>57</v>
      </c>
      <c r="B58" s="6" t="s">
        <v>79</v>
      </c>
      <c r="C58" s="282"/>
      <c r="D58" s="43"/>
      <c r="E58" s="43"/>
      <c r="F58" s="282">
        <v>555</v>
      </c>
      <c r="G58" s="43">
        <f t="shared" ref="G58:W58" si="192">G51-G53</f>
        <v>732</v>
      </c>
      <c r="H58" s="689">
        <f t="shared" si="192"/>
        <v>827</v>
      </c>
      <c r="I58" s="689">
        <f t="shared" si="192"/>
        <v>973</v>
      </c>
      <c r="J58" s="742">
        <v>886</v>
      </c>
      <c r="K58" s="689">
        <f t="shared" si="192"/>
        <v>1108</v>
      </c>
      <c r="L58" s="689">
        <f t="shared" si="192"/>
        <v>961</v>
      </c>
      <c r="M58" s="689">
        <f t="shared" si="192"/>
        <v>1055</v>
      </c>
      <c r="N58" s="742">
        <f t="shared" si="192"/>
        <v>916</v>
      </c>
      <c r="O58" s="689">
        <f t="shared" si="192"/>
        <v>1251</v>
      </c>
      <c r="P58" s="689">
        <f t="shared" si="192"/>
        <v>1285</v>
      </c>
      <c r="Q58" s="689">
        <f t="shared" si="192"/>
        <v>1243</v>
      </c>
      <c r="R58" s="742">
        <f t="shared" si="192"/>
        <v>829</v>
      </c>
      <c r="S58" s="689">
        <f t="shared" si="192"/>
        <v>1222</v>
      </c>
      <c r="T58" s="689">
        <f t="shared" si="192"/>
        <v>1235</v>
      </c>
      <c r="U58" s="689">
        <f t="shared" si="192"/>
        <v>1374</v>
      </c>
      <c r="V58" s="742">
        <f t="shared" si="192"/>
        <v>1295</v>
      </c>
      <c r="W58" s="689">
        <f t="shared" si="192"/>
        <v>1616</v>
      </c>
      <c r="X58" s="689">
        <f>X51-X53</f>
        <v>1972</v>
      </c>
      <c r="Y58" s="689">
        <f t="shared" ref="Y58:AG58" si="193">Y51-Y53</f>
        <v>2248</v>
      </c>
      <c r="Z58" s="742">
        <f t="shared" si="193"/>
        <v>1719</v>
      </c>
      <c r="AA58" s="689">
        <f t="shared" si="193"/>
        <v>2206</v>
      </c>
      <c r="AB58" s="689">
        <f t="shared" si="193"/>
        <v>2359</v>
      </c>
      <c r="AC58" s="1122">
        <f t="shared" si="193"/>
        <v>1167</v>
      </c>
      <c r="AD58" s="742">
        <f t="shared" si="193"/>
        <v>1536</v>
      </c>
      <c r="AE58" s="689">
        <f t="shared" si="193"/>
        <v>1559.3000000000002</v>
      </c>
      <c r="AF58" s="689">
        <f t="shared" si="193"/>
        <v>2082</v>
      </c>
      <c r="AG58" s="1122">
        <f t="shared" si="193"/>
        <v>2304</v>
      </c>
      <c r="AH58" s="742">
        <f t="shared" ref="AH58" si="194">AH51-AH53</f>
        <v>1575</v>
      </c>
      <c r="AI58" s="689">
        <f t="shared" ref="AI58:AN58" si="195">AI51-AI53</f>
        <v>2468</v>
      </c>
      <c r="AJ58" s="689">
        <f t="shared" si="195"/>
        <v>2532</v>
      </c>
      <c r="AK58" s="689">
        <f t="shared" si="195"/>
        <v>3059</v>
      </c>
      <c r="AL58" s="742">
        <f t="shared" si="195"/>
        <v>2861</v>
      </c>
      <c r="AM58" s="689">
        <f t="shared" si="195"/>
        <v>4253</v>
      </c>
      <c r="AN58" s="689">
        <f t="shared" si="195"/>
        <v>2966</v>
      </c>
      <c r="AO58" s="689">
        <f t="shared" ref="AO58" si="196">AO51-AO53</f>
        <v>6662</v>
      </c>
      <c r="AP58" s="742">
        <f t="shared" ref="AP58:AS58" si="197">AP51-AP53</f>
        <v>5081.1746345547308</v>
      </c>
      <c r="AQ58" s="689">
        <f t="shared" si="197"/>
        <v>6770.756176922293</v>
      </c>
      <c r="AR58" s="689">
        <f t="shared" si="197"/>
        <v>6436.8483691961374</v>
      </c>
      <c r="AS58" s="1122">
        <f t="shared" si="197"/>
        <v>7002.4146061874071</v>
      </c>
      <c r="AT58" s="742">
        <f t="shared" ref="AT58:AW58" si="198">AT51-AT53</f>
        <v>8109.6578564694682</v>
      </c>
      <c r="AU58" s="689">
        <f t="shared" si="198"/>
        <v>7817.7275940199324</v>
      </c>
      <c r="AV58" s="689">
        <f t="shared" si="198"/>
        <v>7784.4720169294087</v>
      </c>
      <c r="AW58" s="1122">
        <f t="shared" si="198"/>
        <v>7754.6278306089971</v>
      </c>
      <c r="AX58" s="742">
        <f t="shared" ref="AX58:BA58" si="199">AX51-AX53</f>
        <v>9242.3296223823745</v>
      </c>
      <c r="AY58" s="689">
        <f t="shared" si="199"/>
        <v>8729.2012146486632</v>
      </c>
      <c r="AZ58" s="689">
        <f t="shared" si="199"/>
        <v>9379.1749631221865</v>
      </c>
      <c r="BA58" s="1122">
        <f t="shared" si="199"/>
        <v>9532.5250943574301</v>
      </c>
      <c r="BB58" s="689"/>
      <c r="BC58" s="689"/>
      <c r="BD58" s="689"/>
      <c r="BE58" s="129">
        <v>3086</v>
      </c>
      <c r="BF58" s="129">
        <f t="shared" ref="BF58:BN58" si="200">BF51-BF53</f>
        <v>4222</v>
      </c>
      <c r="BG58" s="129">
        <f t="shared" si="200"/>
        <v>4676</v>
      </c>
      <c r="BH58" s="129">
        <f t="shared" si="200"/>
        <v>4659</v>
      </c>
      <c r="BI58" s="129">
        <f t="shared" si="200"/>
        <v>7147</v>
      </c>
      <c r="BJ58" s="129">
        <f t="shared" si="200"/>
        <v>7451</v>
      </c>
      <c r="BK58" s="129">
        <f t="shared" si="200"/>
        <v>8487</v>
      </c>
      <c r="BL58" s="129">
        <f t="shared" ref="BL58" si="201">BL51-BL53</f>
        <v>9635</v>
      </c>
      <c r="BM58" s="129">
        <f>BM51-BM53</f>
        <v>16744</v>
      </c>
      <c r="BN58" s="690">
        <f t="shared" si="200"/>
        <v>25291.193786860611</v>
      </c>
      <c r="BO58" s="690">
        <f t="shared" ref="BO58:BP58" si="202">BO51-BO53</f>
        <v>31466.485298027812</v>
      </c>
      <c r="BP58" s="690">
        <f t="shared" si="202"/>
        <v>36683.230894510663</v>
      </c>
    </row>
    <row r="59" spans="1:68">
      <c r="A59" s="24">
        <f>ROWS($A$2:A59)</f>
        <v>58</v>
      </c>
      <c r="B59" s="72"/>
      <c r="C59" s="323"/>
      <c r="D59" s="73"/>
      <c r="E59" s="73"/>
      <c r="F59" s="323"/>
      <c r="G59" s="73"/>
      <c r="H59" s="343"/>
      <c r="I59" s="343"/>
      <c r="J59" s="342"/>
      <c r="K59" s="343"/>
      <c r="L59" s="343"/>
      <c r="M59" s="343"/>
      <c r="N59" s="342"/>
      <c r="O59" s="343"/>
      <c r="P59" s="343"/>
      <c r="Q59" s="343"/>
      <c r="R59" s="342"/>
      <c r="S59" s="343"/>
      <c r="T59" s="343"/>
      <c r="U59" s="343"/>
      <c r="V59" s="342"/>
      <c r="W59" s="343"/>
      <c r="X59" s="343"/>
      <c r="Y59" s="343"/>
      <c r="Z59" s="342"/>
      <c r="AA59" s="343"/>
      <c r="AB59" s="343"/>
      <c r="AC59" s="1151"/>
      <c r="AD59" s="342"/>
      <c r="AE59" s="343"/>
      <c r="AF59" s="343"/>
      <c r="AG59" s="1151"/>
      <c r="AH59" s="342"/>
      <c r="AI59" s="343"/>
      <c r="AJ59" s="343"/>
      <c r="AK59" s="343"/>
      <c r="AL59" s="342"/>
      <c r="AM59" s="343"/>
      <c r="AN59" s="343"/>
      <c r="AO59" s="343"/>
      <c r="AP59" s="743"/>
      <c r="AQ59" s="741"/>
      <c r="AR59" s="741"/>
      <c r="AS59" s="1151"/>
      <c r="AT59" s="743"/>
      <c r="AU59" s="741"/>
      <c r="AV59" s="741"/>
      <c r="AW59" s="1151"/>
      <c r="AX59" s="743"/>
      <c r="AY59" s="741"/>
      <c r="AZ59" s="741"/>
      <c r="BA59" s="1151"/>
      <c r="BB59" s="343"/>
      <c r="BC59" s="343"/>
      <c r="BD59" s="343"/>
      <c r="BE59" s="523"/>
      <c r="BF59" s="523"/>
      <c r="BG59" s="523"/>
      <c r="BH59" s="523"/>
      <c r="BI59" s="523"/>
      <c r="BJ59" s="523"/>
      <c r="BK59" s="523"/>
      <c r="BL59" s="523"/>
      <c r="BM59" s="523"/>
      <c r="BN59" s="699"/>
      <c r="BO59" s="699"/>
      <c r="BP59" s="699"/>
    </row>
    <row r="60" spans="1:68">
      <c r="A60" s="24">
        <f>ROWS($A$2:A60)</f>
        <v>59</v>
      </c>
      <c r="B60" s="4" t="s">
        <v>169</v>
      </c>
      <c r="C60" s="323"/>
      <c r="D60" s="73"/>
      <c r="E60" s="73"/>
      <c r="F60" s="330">
        <v>42</v>
      </c>
      <c r="G60" s="48">
        <v>61</v>
      </c>
      <c r="H60" s="685">
        <v>70</v>
      </c>
      <c r="I60" s="331">
        <v>112</v>
      </c>
      <c r="J60" s="330">
        <v>45</v>
      </c>
      <c r="K60" s="685">
        <v>43</v>
      </c>
      <c r="L60" s="685">
        <v>39</v>
      </c>
      <c r="M60" s="331">
        <v>33</v>
      </c>
      <c r="N60" s="330">
        <v>24</v>
      </c>
      <c r="O60" s="685">
        <v>56</v>
      </c>
      <c r="P60" s="685">
        <v>52</v>
      </c>
      <c r="Q60" s="331">
        <v>106</v>
      </c>
      <c r="R60" s="330">
        <v>30</v>
      </c>
      <c r="S60" s="685">
        <v>15</v>
      </c>
      <c r="T60" s="685">
        <v>15</v>
      </c>
      <c r="U60" s="331">
        <v>44</v>
      </c>
      <c r="V60" s="330">
        <v>77</v>
      </c>
      <c r="W60" s="685">
        <v>149</v>
      </c>
      <c r="X60" s="685">
        <v>135</v>
      </c>
      <c r="Y60" s="331">
        <v>171</v>
      </c>
      <c r="Z60" s="330">
        <v>222</v>
      </c>
      <c r="AA60" s="685">
        <v>195</v>
      </c>
      <c r="AB60" s="685">
        <v>77</v>
      </c>
      <c r="AC60" s="685">
        <v>19</v>
      </c>
      <c r="AD60" s="330">
        <v>104</v>
      </c>
      <c r="AE60" s="569">
        <v>68.7</v>
      </c>
      <c r="AF60" s="569">
        <v>48</v>
      </c>
      <c r="AG60" s="685">
        <v>55</v>
      </c>
      <c r="AH60" s="330">
        <v>61</v>
      </c>
      <c r="AI60" s="569">
        <v>314</v>
      </c>
      <c r="AJ60" s="569">
        <v>404</v>
      </c>
      <c r="AK60" s="569">
        <v>461</v>
      </c>
      <c r="AL60" s="330">
        <v>390</v>
      </c>
      <c r="AM60" s="569">
        <v>496</v>
      </c>
      <c r="AN60" s="569">
        <v>465</v>
      </c>
      <c r="AO60" s="569">
        <v>539</v>
      </c>
      <c r="AP60" s="342">
        <f>AH60</f>
        <v>61</v>
      </c>
      <c r="AQ60" s="343">
        <f>AP60/AP61*AQ58</f>
        <v>82.271266810002658</v>
      </c>
      <c r="AR60" s="343">
        <f t="shared" ref="AR60:AW60" si="203">AQ60/AQ61*AR58</f>
        <v>79.176028161028654</v>
      </c>
      <c r="AS60" s="1134">
        <f t="shared" si="203"/>
        <v>87.205402593054274</v>
      </c>
      <c r="AT60" s="342">
        <f t="shared" si="203"/>
        <v>102.26819716426765</v>
      </c>
      <c r="AU60" s="343">
        <f t="shared" si="203"/>
        <v>99.845884986086588</v>
      </c>
      <c r="AV60" s="343">
        <f t="shared" si="203"/>
        <v>100.70736077361336</v>
      </c>
      <c r="AW60" s="1134">
        <f t="shared" si="203"/>
        <v>101.63612988544511</v>
      </c>
      <c r="AX60" s="342">
        <f t="shared" ref="AX60" si="204">AW60/AW61*AX58</f>
        <v>122.74345127745804</v>
      </c>
      <c r="AY60" s="343">
        <f t="shared" ref="AY60" si="205">AX60/AX61*AY58</f>
        <v>117.48913425218943</v>
      </c>
      <c r="AZ60" s="343">
        <f t="shared" ref="AZ60" si="206">AY60/AY61*AZ58</f>
        <v>127.95958993165779</v>
      </c>
      <c r="BA60" s="1134">
        <f t="shared" ref="BA60" si="207">AZ60/AZ61*BA58</f>
        <v>131.85056804774626</v>
      </c>
      <c r="BB60" s="569"/>
      <c r="BC60" s="569"/>
      <c r="BD60" s="569"/>
      <c r="BE60" s="703">
        <v>285</v>
      </c>
      <c r="BF60" s="703">
        <v>188</v>
      </c>
      <c r="BG60" s="703">
        <v>236</v>
      </c>
      <c r="BH60" s="703">
        <v>104</v>
      </c>
      <c r="BI60" s="703">
        <v>530</v>
      </c>
      <c r="BJ60" s="703">
        <f>SUM(Z60:AC60)</f>
        <v>513</v>
      </c>
      <c r="BK60" s="703">
        <f>SUM(AD60:AG60)</f>
        <v>275.7</v>
      </c>
      <c r="BL60" s="703">
        <f>SUM(AH60:AK60)</f>
        <v>1240</v>
      </c>
      <c r="BM60" s="703">
        <v>1890</v>
      </c>
      <c r="BN60" s="695">
        <f>SUM(AP60:AS60)</f>
        <v>309.6526975640856</v>
      </c>
      <c r="BO60" s="695">
        <f>SUM(AT60:AW60)</f>
        <v>404.45757280941268</v>
      </c>
      <c r="BP60" s="695">
        <f>SUM(AX60:BA60)</f>
        <v>500.04274350905149</v>
      </c>
    </row>
    <row r="61" spans="1:68">
      <c r="A61" s="24">
        <f>ROWS($A$2:A61)</f>
        <v>60</v>
      </c>
      <c r="B61" s="6" t="s">
        <v>193</v>
      </c>
      <c r="C61" s="282"/>
      <c r="D61" s="43"/>
      <c r="E61" s="43"/>
      <c r="F61" s="282">
        <v>513</v>
      </c>
      <c r="G61" s="43">
        <f t="shared" ref="G61:L61" si="208">G51-G53-G60</f>
        <v>671</v>
      </c>
      <c r="H61" s="689">
        <f t="shared" si="208"/>
        <v>757</v>
      </c>
      <c r="I61" s="689">
        <f t="shared" si="208"/>
        <v>861</v>
      </c>
      <c r="J61" s="742">
        <v>841</v>
      </c>
      <c r="K61" s="689">
        <f t="shared" si="208"/>
        <v>1065</v>
      </c>
      <c r="L61" s="689">
        <f t="shared" si="208"/>
        <v>922</v>
      </c>
      <c r="M61" s="689">
        <f t="shared" ref="M61:W61" si="209">M51-M53-M60</f>
        <v>1022</v>
      </c>
      <c r="N61" s="742">
        <f>N51-N53-N60</f>
        <v>892</v>
      </c>
      <c r="O61" s="689">
        <f t="shared" si="209"/>
        <v>1195</v>
      </c>
      <c r="P61" s="689">
        <f t="shared" si="209"/>
        <v>1233</v>
      </c>
      <c r="Q61" s="689">
        <f t="shared" si="209"/>
        <v>1137</v>
      </c>
      <c r="R61" s="742">
        <f t="shared" si="209"/>
        <v>799</v>
      </c>
      <c r="S61" s="689">
        <f t="shared" si="209"/>
        <v>1207</v>
      </c>
      <c r="T61" s="689">
        <f t="shared" si="209"/>
        <v>1220</v>
      </c>
      <c r="U61" s="689">
        <f t="shared" si="209"/>
        <v>1330</v>
      </c>
      <c r="V61" s="742">
        <f t="shared" si="209"/>
        <v>1218</v>
      </c>
      <c r="W61" s="689">
        <f t="shared" si="209"/>
        <v>1467</v>
      </c>
      <c r="X61" s="689">
        <f>X51-X53-X60</f>
        <v>1837</v>
      </c>
      <c r="Y61" s="689">
        <f t="shared" ref="Y61:AG61" si="210">Y51-Y53-Y60</f>
        <v>2077</v>
      </c>
      <c r="Z61" s="742">
        <f t="shared" si="210"/>
        <v>1497</v>
      </c>
      <c r="AA61" s="689">
        <f>AA51-AA53-AA60</f>
        <v>2011</v>
      </c>
      <c r="AB61" s="689">
        <f t="shared" si="210"/>
        <v>2282</v>
      </c>
      <c r="AC61" s="1122">
        <f t="shared" si="210"/>
        <v>1148</v>
      </c>
      <c r="AD61" s="742">
        <f t="shared" si="210"/>
        <v>1432</v>
      </c>
      <c r="AE61" s="689">
        <f t="shared" si="210"/>
        <v>1490.6000000000001</v>
      </c>
      <c r="AF61" s="689">
        <f t="shared" si="210"/>
        <v>2034</v>
      </c>
      <c r="AG61" s="1122">
        <f t="shared" si="210"/>
        <v>2249</v>
      </c>
      <c r="AH61" s="742">
        <f t="shared" ref="AH61:AL61" si="211">AH51-AH53-AH60</f>
        <v>1514</v>
      </c>
      <c r="AI61" s="634">
        <f t="shared" si="211"/>
        <v>2154</v>
      </c>
      <c r="AJ61" s="634">
        <f t="shared" si="211"/>
        <v>2128</v>
      </c>
      <c r="AK61" s="634">
        <f t="shared" si="211"/>
        <v>2598</v>
      </c>
      <c r="AL61" s="744">
        <f t="shared" si="211"/>
        <v>2471</v>
      </c>
      <c r="AM61" s="634">
        <f>AM51-AM53-AM60</f>
        <v>3757</v>
      </c>
      <c r="AN61" s="634">
        <f>AN51-AN53-AN60</f>
        <v>2501</v>
      </c>
      <c r="AO61" s="634">
        <f>AO51-AO53-AO60</f>
        <v>6123</v>
      </c>
      <c r="AP61" s="742">
        <f t="shared" ref="AP61:AS61" si="212">AP51-AP53-AP60</f>
        <v>5020.1746345547308</v>
      </c>
      <c r="AQ61" s="689">
        <f t="shared" si="212"/>
        <v>6688.48491011229</v>
      </c>
      <c r="AR61" s="689">
        <f t="shared" si="212"/>
        <v>6357.6723410351087</v>
      </c>
      <c r="AS61" s="1122">
        <f t="shared" si="212"/>
        <v>6915.2092035943524</v>
      </c>
      <c r="AT61" s="742">
        <f t="shared" ref="AT61:AW61" si="213">AT51-AT53-AT60</f>
        <v>8007.3896593052004</v>
      </c>
      <c r="AU61" s="689">
        <f t="shared" si="213"/>
        <v>7717.8817090338462</v>
      </c>
      <c r="AV61" s="689">
        <f t="shared" si="213"/>
        <v>7683.7646561557949</v>
      </c>
      <c r="AW61" s="1122">
        <f t="shared" si="213"/>
        <v>7652.9917007235517</v>
      </c>
      <c r="AX61" s="742">
        <f t="shared" ref="AX61:BA61" si="214">AX51-AX53-AX60</f>
        <v>9119.5861711049165</v>
      </c>
      <c r="AY61" s="689">
        <f t="shared" si="214"/>
        <v>8611.7120803964735</v>
      </c>
      <c r="AZ61" s="689">
        <f t="shared" si="214"/>
        <v>9251.2153731905291</v>
      </c>
      <c r="BA61" s="1122">
        <f t="shared" si="214"/>
        <v>9400.6745263096836</v>
      </c>
      <c r="BB61" s="634"/>
      <c r="BC61" s="634"/>
      <c r="BD61" s="634"/>
      <c r="BE61" s="129">
        <v>2801</v>
      </c>
      <c r="BF61" s="129">
        <f t="shared" ref="BF61:BI61" si="215">BF58-BF60</f>
        <v>4034</v>
      </c>
      <c r="BG61" s="129">
        <f t="shared" si="215"/>
        <v>4440</v>
      </c>
      <c r="BH61" s="129">
        <f t="shared" si="215"/>
        <v>4555</v>
      </c>
      <c r="BI61" s="129">
        <f t="shared" si="215"/>
        <v>6617</v>
      </c>
      <c r="BJ61" s="129">
        <f t="shared" ref="BJ61:BN61" si="216">BJ58-BJ60</f>
        <v>6938</v>
      </c>
      <c r="BK61" s="129">
        <f t="shared" si="216"/>
        <v>8211.2999999999993</v>
      </c>
      <c r="BL61" s="129">
        <f t="shared" ref="BL61:BM61" si="217">BL58-BL60</f>
        <v>8395</v>
      </c>
      <c r="BM61" s="129">
        <f t="shared" si="217"/>
        <v>14854</v>
      </c>
      <c r="BN61" s="690">
        <f t="shared" si="216"/>
        <v>24981.541089296526</v>
      </c>
      <c r="BO61" s="690">
        <f t="shared" ref="BO61:BP61" si="218">BO58-BO60</f>
        <v>31062.027725218399</v>
      </c>
      <c r="BP61" s="690">
        <f t="shared" si="218"/>
        <v>36183.18815100161</v>
      </c>
    </row>
    <row r="62" spans="1:68">
      <c r="A62" s="24">
        <f>ROWS($A$2:A62)</f>
        <v>61</v>
      </c>
      <c r="B62" s="4" t="s">
        <v>179</v>
      </c>
      <c r="C62" s="281"/>
      <c r="D62" s="34"/>
      <c r="E62" s="34"/>
      <c r="F62" s="838">
        <v>-0.48853439680957134</v>
      </c>
      <c r="G62" s="837">
        <f t="shared" ref="G62:AS62" si="219">G61/F61-1</f>
        <v>0.30799220272904493</v>
      </c>
      <c r="H62" s="839">
        <f t="shared" si="219"/>
        <v>0.12816691505216093</v>
      </c>
      <c r="I62" s="839">
        <f t="shared" si="219"/>
        <v>0.13738441215323638</v>
      </c>
      <c r="J62" s="840">
        <v>-2.3228803716608626E-2</v>
      </c>
      <c r="K62" s="839">
        <f t="shared" si="219"/>
        <v>0.26634958382877527</v>
      </c>
      <c r="L62" s="839">
        <f t="shared" si="219"/>
        <v>-0.13427230046948357</v>
      </c>
      <c r="M62" s="839">
        <f t="shared" si="219"/>
        <v>0.10845986984815625</v>
      </c>
      <c r="N62" s="840">
        <f t="shared" si="219"/>
        <v>-0.12720156555772999</v>
      </c>
      <c r="O62" s="839">
        <f t="shared" si="219"/>
        <v>0.33968609865470856</v>
      </c>
      <c r="P62" s="839">
        <f t="shared" si="219"/>
        <v>3.1799163179916379E-2</v>
      </c>
      <c r="Q62" s="1119">
        <f t="shared" si="219"/>
        <v>-7.7858880778588824E-2</v>
      </c>
      <c r="R62" s="840">
        <f t="shared" si="219"/>
        <v>-0.29727352682497798</v>
      </c>
      <c r="S62" s="839">
        <f t="shared" si="219"/>
        <v>0.5106382978723405</v>
      </c>
      <c r="T62" s="839">
        <f t="shared" si="219"/>
        <v>1.0770505385252704E-2</v>
      </c>
      <c r="U62" s="1119">
        <f t="shared" si="219"/>
        <v>9.0163934426229497E-2</v>
      </c>
      <c r="V62" s="840">
        <f t="shared" si="219"/>
        <v>-8.4210526315789513E-2</v>
      </c>
      <c r="W62" s="839">
        <f t="shared" si="219"/>
        <v>0.20443349753694573</v>
      </c>
      <c r="X62" s="839">
        <f t="shared" si="219"/>
        <v>0.25221540558963862</v>
      </c>
      <c r="Y62" s="1119">
        <f t="shared" si="219"/>
        <v>0.13064779531845394</v>
      </c>
      <c r="Z62" s="840">
        <f>Z61/Y61-1</f>
        <v>-0.27924891670678864</v>
      </c>
      <c r="AA62" s="839">
        <f t="shared" si="219"/>
        <v>0.3433533734134937</v>
      </c>
      <c r="AB62" s="839">
        <f t="shared" si="219"/>
        <v>0.13475882645450032</v>
      </c>
      <c r="AC62" s="1119">
        <f t="shared" si="219"/>
        <v>-0.49693251533742333</v>
      </c>
      <c r="AD62" s="840">
        <f t="shared" si="219"/>
        <v>0.2473867595818815</v>
      </c>
      <c r="AE62" s="839">
        <f t="shared" si="219"/>
        <v>4.0921787709497393E-2</v>
      </c>
      <c r="AF62" s="839">
        <f t="shared" si="219"/>
        <v>0.36455118744129877</v>
      </c>
      <c r="AG62" s="1119">
        <f t="shared" si="219"/>
        <v>0.10570304818092424</v>
      </c>
      <c r="AH62" s="840">
        <f t="shared" si="219"/>
        <v>-0.32681191640729212</v>
      </c>
      <c r="AI62" s="839">
        <f t="shared" si="219"/>
        <v>0.4227212681638044</v>
      </c>
      <c r="AJ62" s="839">
        <f t="shared" si="219"/>
        <v>-1.20705663881151E-2</v>
      </c>
      <c r="AK62" s="839">
        <f t="shared" si="219"/>
        <v>0.22086466165413543</v>
      </c>
      <c r="AL62" s="840">
        <f t="shared" si="219"/>
        <v>-4.888375673595069E-2</v>
      </c>
      <c r="AM62" s="839">
        <f t="shared" si="219"/>
        <v>0.52043707001214079</v>
      </c>
      <c r="AN62" s="839">
        <f t="shared" si="219"/>
        <v>-0.33430928932659032</v>
      </c>
      <c r="AO62" s="839">
        <f t="shared" si="219"/>
        <v>1.4482207117153139</v>
      </c>
      <c r="AP62" s="840">
        <f t="shared" si="219"/>
        <v>-0.18011193294876193</v>
      </c>
      <c r="AQ62" s="839">
        <f t="shared" si="219"/>
        <v>0.33232116350580543</v>
      </c>
      <c r="AR62" s="839">
        <f t="shared" si="219"/>
        <v>-4.9460015761869647E-2</v>
      </c>
      <c r="AS62" s="1119">
        <f t="shared" si="219"/>
        <v>8.7695123726440727E-2</v>
      </c>
      <c r="AT62" s="840">
        <f t="shared" ref="AT62" si="220">AT61/AS61-1</f>
        <v>0.15793888855063987</v>
      </c>
      <c r="AU62" s="839">
        <f t="shared" ref="AU62" si="221">AU61/AT61-1</f>
        <v>-3.6155097052748553E-2</v>
      </c>
      <c r="AV62" s="839">
        <f t="shared" ref="AV62" si="222">AV61/AU61-1</f>
        <v>-4.4205203142874128E-3</v>
      </c>
      <c r="AW62" s="1119">
        <f t="shared" ref="AW62" si="223">AW61/AV61-1</f>
        <v>-4.0049320625130669E-3</v>
      </c>
      <c r="AX62" s="840">
        <f t="shared" ref="AX62" si="224">AX61/AW61-1</f>
        <v>0.19163675170883909</v>
      </c>
      <c r="AY62" s="839">
        <f t="shared" ref="AY62" si="225">AY61/AX61-1</f>
        <v>-5.5690475552237606E-2</v>
      </c>
      <c r="AZ62" s="839">
        <f t="shared" ref="AZ62" si="226">AZ61/AY61-1</f>
        <v>7.4259715933816306E-2</v>
      </c>
      <c r="BA62" s="1119">
        <f t="shared" ref="BA62" si="227">BA61/AZ61-1</f>
        <v>1.6155623568366861E-2</v>
      </c>
      <c r="BB62" s="839"/>
      <c r="BC62" s="677"/>
      <c r="BD62" s="677"/>
      <c r="BE62" s="844">
        <v>0.11995201919232312</v>
      </c>
      <c r="BF62" s="844">
        <f t="shared" ref="BF62:BP62" si="228">BF61/BE61-1</f>
        <v>0.44019992859692958</v>
      </c>
      <c r="BG62" s="844">
        <f t="shared" si="228"/>
        <v>0.10064452156668313</v>
      </c>
      <c r="BH62" s="844">
        <f t="shared" si="228"/>
        <v>2.5900900900900803E-2</v>
      </c>
      <c r="BI62" s="844">
        <f t="shared" si="228"/>
        <v>0.45268935236004393</v>
      </c>
      <c r="BJ62" s="844">
        <f t="shared" si="228"/>
        <v>4.851141000453385E-2</v>
      </c>
      <c r="BK62" s="844">
        <f t="shared" si="228"/>
        <v>0.18352551167483422</v>
      </c>
      <c r="BL62" s="844">
        <f t="shared" si="228"/>
        <v>2.2371609854712426E-2</v>
      </c>
      <c r="BM62" s="844">
        <f t="shared" si="228"/>
        <v>0.76938653960690884</v>
      </c>
      <c r="BN62" s="855">
        <f t="shared" si="228"/>
        <v>0.68180564758964102</v>
      </c>
      <c r="BO62" s="855">
        <f t="shared" si="228"/>
        <v>0.24339918078661249</v>
      </c>
      <c r="BP62" s="855">
        <f t="shared" si="228"/>
        <v>0.16486883828339005</v>
      </c>
    </row>
    <row r="63" spans="1:68">
      <c r="A63" s="24">
        <f>ROWS($A$2:A63)</f>
        <v>62</v>
      </c>
      <c r="B63" s="6"/>
      <c r="C63" s="328"/>
      <c r="D63" s="6"/>
      <c r="E63" s="6"/>
      <c r="F63" s="328"/>
      <c r="G63" s="6"/>
      <c r="H63" s="716"/>
      <c r="I63" s="716"/>
      <c r="J63" s="717"/>
      <c r="K63" s="716"/>
      <c r="L63" s="716"/>
      <c r="M63" s="716"/>
      <c r="N63" s="717"/>
      <c r="O63" s="716"/>
      <c r="P63" s="716"/>
      <c r="Q63" s="716"/>
      <c r="R63" s="717"/>
      <c r="S63" s="716"/>
      <c r="T63" s="716"/>
      <c r="U63" s="716"/>
      <c r="V63" s="717"/>
      <c r="W63" s="716"/>
      <c r="X63" s="716"/>
      <c r="Y63" s="716"/>
      <c r="Z63" s="717"/>
      <c r="AA63" s="716"/>
      <c r="AB63" s="716"/>
      <c r="AC63" s="1130"/>
      <c r="AD63" s="717"/>
      <c r="AE63" s="716"/>
      <c r="AF63" s="716"/>
      <c r="AG63" s="1130"/>
      <c r="AH63" s="717"/>
      <c r="AI63" s="716"/>
      <c r="AJ63" s="716"/>
      <c r="AK63" s="716"/>
      <c r="AL63" s="717"/>
      <c r="AM63" s="885"/>
      <c r="AN63" s="885"/>
      <c r="AO63" s="885"/>
      <c r="AP63" s="717"/>
      <c r="AQ63" s="716"/>
      <c r="AR63" s="716"/>
      <c r="AS63" s="1130"/>
      <c r="AT63" s="717"/>
      <c r="AU63" s="716"/>
      <c r="AV63" s="716"/>
      <c r="AW63" s="1130"/>
      <c r="AX63" s="717"/>
      <c r="AY63" s="716"/>
      <c r="AZ63" s="716"/>
      <c r="BA63" s="1130"/>
      <c r="BB63" s="716"/>
      <c r="BC63" s="716"/>
      <c r="BD63" s="716"/>
      <c r="BE63" s="716"/>
      <c r="BF63" s="716"/>
      <c r="BG63" s="716"/>
      <c r="BH63" s="716"/>
      <c r="BI63" s="716"/>
      <c r="BJ63" s="716"/>
      <c r="BK63" s="716"/>
      <c r="BL63" s="716"/>
      <c r="BM63" s="716"/>
      <c r="BN63" s="745"/>
      <c r="BO63" s="745"/>
      <c r="BP63" s="745"/>
    </row>
    <row r="64" spans="1:68">
      <c r="A64" s="24">
        <f>ROWS($A$2:A64)</f>
        <v>63</v>
      </c>
      <c r="B64" s="6" t="s">
        <v>194</v>
      </c>
      <c r="C64" s="328"/>
      <c r="D64" s="6"/>
      <c r="E64" s="6"/>
      <c r="F64" s="328"/>
      <c r="G64" s="6"/>
      <c r="H64" s="716"/>
      <c r="I64" s="716"/>
      <c r="J64" s="717"/>
      <c r="K64" s="716"/>
      <c r="L64" s="716"/>
      <c r="M64" s="716"/>
      <c r="N64" s="717"/>
      <c r="O64" s="716"/>
      <c r="P64" s="716"/>
      <c r="Q64" s="716"/>
      <c r="R64" s="717"/>
      <c r="S64" s="716"/>
      <c r="T64" s="716"/>
      <c r="U64" s="716"/>
      <c r="V64" s="717"/>
      <c r="W64" s="716"/>
      <c r="X64" s="716"/>
      <c r="Y64" s="716"/>
      <c r="Z64" s="717"/>
      <c r="AA64" s="716"/>
      <c r="AB64" s="716"/>
      <c r="AC64" s="1130"/>
      <c r="AD64" s="717"/>
      <c r="AE64" s="716"/>
      <c r="AF64" s="716"/>
      <c r="AG64" s="1152">
        <v>-12</v>
      </c>
      <c r="AH64" s="709">
        <v>-183</v>
      </c>
      <c r="AI64" s="325">
        <v>-133</v>
      </c>
      <c r="AJ64" s="325">
        <v>27</v>
      </c>
      <c r="AK64" s="325">
        <v>14</v>
      </c>
      <c r="AL64" s="709">
        <v>702</v>
      </c>
      <c r="AM64" s="707"/>
      <c r="AN64" s="707"/>
      <c r="AO64" s="707"/>
      <c r="AP64" s="717"/>
      <c r="AQ64" s="716"/>
      <c r="AR64" s="716"/>
      <c r="AS64" s="1130"/>
      <c r="AT64" s="717"/>
      <c r="AU64" s="716"/>
      <c r="AV64" s="716"/>
      <c r="AW64" s="1130"/>
      <c r="AX64" s="717"/>
      <c r="AY64" s="716"/>
      <c r="AZ64" s="716"/>
      <c r="BA64" s="1130"/>
      <c r="BB64" s="716"/>
      <c r="BC64" s="716"/>
      <c r="BD64" s="716"/>
      <c r="BE64" s="716"/>
      <c r="BF64" s="716"/>
      <c r="BG64" s="716"/>
      <c r="BH64" s="716"/>
      <c r="BI64" s="716"/>
      <c r="BJ64" s="716"/>
      <c r="BK64" s="703">
        <v>-133</v>
      </c>
      <c r="BL64" s="703">
        <v>-274</v>
      </c>
      <c r="BM64" s="703">
        <v>702</v>
      </c>
      <c r="BN64" s="745"/>
      <c r="BO64" s="745"/>
      <c r="BP64" s="745"/>
    </row>
    <row r="65" spans="1:70">
      <c r="A65" s="24">
        <f>ROWS($A$2:A65)</f>
        <v>64</v>
      </c>
      <c r="B65" s="4" t="s">
        <v>195</v>
      </c>
      <c r="C65" s="558"/>
      <c r="D65" s="48"/>
      <c r="E65" s="48"/>
      <c r="F65" s="563"/>
      <c r="G65" s="94"/>
      <c r="H65" s="746"/>
      <c r="I65" s="746"/>
      <c r="J65" s="748"/>
      <c r="K65" s="746"/>
      <c r="L65" s="746"/>
      <c r="M65" s="747">
        <f>-M50</f>
        <v>56</v>
      </c>
      <c r="N65" s="748">
        <f>-N50</f>
        <v>-57</v>
      </c>
      <c r="O65" s="746"/>
      <c r="P65" s="746"/>
      <c r="Q65" s="747">
        <f>-Q50</f>
        <v>128</v>
      </c>
      <c r="R65" s="1153">
        <f>-R50</f>
        <v>180</v>
      </c>
      <c r="S65" s="746"/>
      <c r="T65" s="746"/>
      <c r="U65" s="746"/>
      <c r="V65" s="748">
        <f t="shared" ref="V65:AF65" si="229">U65</f>
        <v>0</v>
      </c>
      <c r="W65" s="746">
        <f t="shared" si="229"/>
        <v>0</v>
      </c>
      <c r="X65" s="746">
        <f t="shared" si="229"/>
        <v>0</v>
      </c>
      <c r="Y65" s="746">
        <f t="shared" si="229"/>
        <v>0</v>
      </c>
      <c r="Z65" s="748">
        <f t="shared" si="229"/>
        <v>0</v>
      </c>
      <c r="AA65" s="746">
        <f t="shared" si="229"/>
        <v>0</v>
      </c>
      <c r="AB65" s="746">
        <f t="shared" si="229"/>
        <v>0</v>
      </c>
      <c r="AC65" s="1154">
        <f>-AC50+(526-379)</f>
        <v>-1179</v>
      </c>
      <c r="AD65" s="748">
        <f>-AD50</f>
        <v>-165</v>
      </c>
      <c r="AE65" s="746"/>
      <c r="AF65" s="746">
        <f t="shared" si="229"/>
        <v>0</v>
      </c>
      <c r="AG65" s="1154">
        <f>-AG50</f>
        <v>0</v>
      </c>
      <c r="AH65" s="748">
        <f>-AH50</f>
        <v>-953</v>
      </c>
      <c r="AI65" s="746"/>
      <c r="AJ65" s="746"/>
      <c r="AK65" s="746"/>
      <c r="AL65" s="749"/>
      <c r="AM65" s="901"/>
      <c r="AN65" s="901"/>
      <c r="AO65" s="901">
        <v>-1810</v>
      </c>
      <c r="AP65" s="1153"/>
      <c r="AQ65" s="747">
        <f t="shared" ref="AQ65" si="230">AP65</f>
        <v>0</v>
      </c>
      <c r="AR65" s="747">
        <f t="shared" ref="AR65" si="231">AQ65</f>
        <v>0</v>
      </c>
      <c r="AS65" s="1154">
        <f t="shared" ref="AS65" si="232">AR65</f>
        <v>0</v>
      </c>
      <c r="AT65" s="1153">
        <f t="shared" ref="AT65" si="233">AS65</f>
        <v>0</v>
      </c>
      <c r="AU65" s="747">
        <f t="shared" ref="AU65" si="234">AT65</f>
        <v>0</v>
      </c>
      <c r="AV65" s="747">
        <f t="shared" ref="AV65" si="235">AU65</f>
        <v>0</v>
      </c>
      <c r="AW65" s="1154">
        <f t="shared" ref="AW65" si="236">AV65</f>
        <v>0</v>
      </c>
      <c r="AX65" s="1153">
        <f t="shared" ref="AX65" si="237">AW65</f>
        <v>0</v>
      </c>
      <c r="AY65" s="747">
        <f t="shared" ref="AY65" si="238">AX65</f>
        <v>0</v>
      </c>
      <c r="AZ65" s="747">
        <f t="shared" ref="AZ65" si="239">AY65</f>
        <v>0</v>
      </c>
      <c r="BA65" s="1154">
        <f t="shared" ref="BA65" si="240">AZ65</f>
        <v>0</v>
      </c>
      <c r="BB65" s="746"/>
      <c r="BC65" s="746"/>
      <c r="BD65" s="746"/>
      <c r="BE65" s="122">
        <v>0</v>
      </c>
      <c r="BF65" s="122">
        <f>SUM(J65:M65)</f>
        <v>56</v>
      </c>
      <c r="BG65" s="122">
        <f>SUM(N65:Q65)</f>
        <v>71</v>
      </c>
      <c r="BH65" s="122">
        <f>SUM(R65:U65)</f>
        <v>180</v>
      </c>
      <c r="BI65" s="122">
        <f>SUM(V65:Y65)</f>
        <v>0</v>
      </c>
      <c r="BJ65" s="122">
        <f>-BJ50-(2208-2061)</f>
        <v>1179</v>
      </c>
      <c r="BK65" s="122">
        <f>8762-BK58</f>
        <v>275</v>
      </c>
      <c r="BL65" s="122"/>
      <c r="BM65" s="122">
        <f>AO65</f>
        <v>-1810</v>
      </c>
      <c r="BN65" s="695">
        <f>SUM(AP65:AS65)</f>
        <v>0</v>
      </c>
      <c r="BO65" s="695">
        <f>SUM(AQ65:AT65)</f>
        <v>0</v>
      </c>
      <c r="BP65" s="695">
        <f>SUM(AR65:AU65)</f>
        <v>0</v>
      </c>
    </row>
    <row r="66" spans="1:70">
      <c r="A66" s="24">
        <f>ROWS($A$2:A66)</f>
        <v>65</v>
      </c>
      <c r="B66" s="6" t="s">
        <v>196</v>
      </c>
      <c r="C66" s="282"/>
      <c r="D66" s="43"/>
      <c r="E66" s="43"/>
      <c r="F66" s="282">
        <v>513</v>
      </c>
      <c r="G66" s="43">
        <f t="shared" ref="G66:AB66" si="241">G61+G65</f>
        <v>671</v>
      </c>
      <c r="H66" s="689">
        <f t="shared" si="241"/>
        <v>757</v>
      </c>
      <c r="I66" s="689">
        <f t="shared" si="241"/>
        <v>861</v>
      </c>
      <c r="J66" s="742">
        <v>841</v>
      </c>
      <c r="K66" s="689">
        <f t="shared" si="241"/>
        <v>1065</v>
      </c>
      <c r="L66" s="689">
        <f t="shared" si="241"/>
        <v>922</v>
      </c>
      <c r="M66" s="689">
        <f t="shared" si="241"/>
        <v>1078</v>
      </c>
      <c r="N66" s="742">
        <f t="shared" si="241"/>
        <v>835</v>
      </c>
      <c r="O66" s="689">
        <f t="shared" si="241"/>
        <v>1195</v>
      </c>
      <c r="P66" s="689">
        <f t="shared" si="241"/>
        <v>1233</v>
      </c>
      <c r="Q66" s="689">
        <f t="shared" si="241"/>
        <v>1265</v>
      </c>
      <c r="R66" s="742">
        <f t="shared" si="241"/>
        <v>979</v>
      </c>
      <c r="S66" s="689">
        <f t="shared" si="241"/>
        <v>1207</v>
      </c>
      <c r="T66" s="689">
        <f t="shared" si="241"/>
        <v>1220</v>
      </c>
      <c r="U66" s="689">
        <f t="shared" si="241"/>
        <v>1330</v>
      </c>
      <c r="V66" s="742">
        <f t="shared" si="241"/>
        <v>1218</v>
      </c>
      <c r="W66" s="689">
        <f t="shared" si="241"/>
        <v>1467</v>
      </c>
      <c r="X66" s="689">
        <f t="shared" si="241"/>
        <v>1837</v>
      </c>
      <c r="Y66" s="689">
        <f t="shared" si="241"/>
        <v>2077</v>
      </c>
      <c r="Z66" s="742">
        <f t="shared" si="241"/>
        <v>1497</v>
      </c>
      <c r="AA66" s="689">
        <f t="shared" si="241"/>
        <v>2011</v>
      </c>
      <c r="AB66" s="689">
        <f t="shared" si="241"/>
        <v>2282</v>
      </c>
      <c r="AC66" s="689">
        <f>AC61-AC65</f>
        <v>2327</v>
      </c>
      <c r="AD66" s="742">
        <f>AD61-AD65</f>
        <v>1597</v>
      </c>
      <c r="AE66" s="689">
        <f>AE61+AE65</f>
        <v>1490.6000000000001</v>
      </c>
      <c r="AF66" s="689">
        <f>AF61+AF65</f>
        <v>2034</v>
      </c>
      <c r="AG66" s="689">
        <f>AG61+AG64</f>
        <v>2237</v>
      </c>
      <c r="AH66" s="750">
        <f>AH61+AH64-AH65</f>
        <v>2284</v>
      </c>
      <c r="AI66" s="902">
        <f>AI61+AI65+AI64</f>
        <v>2021</v>
      </c>
      <c r="AJ66" s="683">
        <f>AJ61+AJ64</f>
        <v>2155</v>
      </c>
      <c r="AK66" s="683">
        <f>AK61+AK65+AK64</f>
        <v>2612</v>
      </c>
      <c r="AL66" s="750">
        <f>AL61+AL65+AL64</f>
        <v>3173</v>
      </c>
      <c r="AM66" s="902">
        <f>AM61+AM65+AM64</f>
        <v>3757</v>
      </c>
      <c r="AN66" s="683">
        <f>AN61+AN65+AN64</f>
        <v>2501</v>
      </c>
      <c r="AO66" s="683">
        <f>AO61+AO65+AO64</f>
        <v>4313</v>
      </c>
      <c r="AP66" s="742">
        <f t="shared" ref="AP66:AW66" si="242">AP61+AP64-AP65</f>
        <v>5020.1746345547308</v>
      </c>
      <c r="AQ66" s="689">
        <f t="shared" si="242"/>
        <v>6688.48491011229</v>
      </c>
      <c r="AR66" s="689">
        <f t="shared" si="242"/>
        <v>6357.6723410351087</v>
      </c>
      <c r="AS66" s="1122">
        <f t="shared" si="242"/>
        <v>6915.2092035943524</v>
      </c>
      <c r="AT66" s="742">
        <f t="shared" si="242"/>
        <v>8007.3896593052004</v>
      </c>
      <c r="AU66" s="689">
        <f t="shared" si="242"/>
        <v>7717.8817090338462</v>
      </c>
      <c r="AV66" s="689">
        <f t="shared" si="242"/>
        <v>7683.7646561557949</v>
      </c>
      <c r="AW66" s="1122">
        <f t="shared" si="242"/>
        <v>7652.9917007235517</v>
      </c>
      <c r="AX66" s="742">
        <f t="shared" ref="AX66:BA66" si="243">AX61+AX64-AX65</f>
        <v>9119.5861711049165</v>
      </c>
      <c r="AY66" s="689">
        <f t="shared" si="243"/>
        <v>8611.7120803964735</v>
      </c>
      <c r="AZ66" s="689">
        <f t="shared" si="243"/>
        <v>9251.2153731905291</v>
      </c>
      <c r="BA66" s="1122">
        <f t="shared" si="243"/>
        <v>9400.6745263096836</v>
      </c>
      <c r="BB66" s="684"/>
      <c r="BC66" s="684"/>
      <c r="BD66" s="683"/>
      <c r="BE66" s="129">
        <v>2801</v>
      </c>
      <c r="BF66" s="129">
        <f t="shared" ref="BF66:BK66" si="244">BF61+BF65</f>
        <v>4090</v>
      </c>
      <c r="BG66" s="129">
        <f t="shared" si="244"/>
        <v>4511</v>
      </c>
      <c r="BH66" s="129">
        <f t="shared" si="244"/>
        <v>4735</v>
      </c>
      <c r="BI66" s="129">
        <f t="shared" si="244"/>
        <v>6617</v>
      </c>
      <c r="BJ66" s="129">
        <f t="shared" si="244"/>
        <v>8117</v>
      </c>
      <c r="BK66" s="751">
        <f t="shared" si="244"/>
        <v>8486.2999999999993</v>
      </c>
      <c r="BL66" s="751">
        <f>BL61+BL65+BL64</f>
        <v>8121</v>
      </c>
      <c r="BM66" s="751">
        <f>BM61+BM65+BM64</f>
        <v>13746</v>
      </c>
      <c r="BN66" s="690">
        <f>BN61+BN64-BN65</f>
        <v>24981.541089296526</v>
      </c>
      <c r="BO66" s="690">
        <f>BO61+BO64-BO65</f>
        <v>31062.027725218399</v>
      </c>
      <c r="BP66" s="690">
        <f>BP61+BP64-BP65</f>
        <v>36183.18815100161</v>
      </c>
      <c r="BR66" s="690"/>
    </row>
    <row r="67" spans="1:70">
      <c r="A67" s="24">
        <f>ROWS($A$2:A67)</f>
        <v>66</v>
      </c>
      <c r="B67" s="6" t="s">
        <v>197</v>
      </c>
      <c r="C67" s="564"/>
      <c r="D67" s="96"/>
      <c r="E67" s="96"/>
      <c r="F67" s="1155">
        <v>7.2365636902242916E-2</v>
      </c>
      <c r="G67" s="895">
        <f t="shared" ref="G67:AC67" si="245">G66/G12</f>
        <v>9.102007596310363E-2</v>
      </c>
      <c r="H67" s="896">
        <f t="shared" si="245"/>
        <v>0.10006609385327164</v>
      </c>
      <c r="I67" s="896">
        <f t="shared" si="245"/>
        <v>0.10915314401622718</v>
      </c>
      <c r="J67" s="897">
        <v>0.10505933791380387</v>
      </c>
      <c r="K67" s="896">
        <f t="shared" si="245"/>
        <v>0.122091023730368</v>
      </c>
      <c r="L67" s="896">
        <f t="shared" si="245"/>
        <v>9.9686452589469135E-2</v>
      </c>
      <c r="M67" s="896">
        <f t="shared" si="245"/>
        <v>0.11567764781628929</v>
      </c>
      <c r="N67" s="897">
        <f t="shared" si="245"/>
        <v>8.7006356152964467E-2</v>
      </c>
      <c r="O67" s="896">
        <f t="shared" si="245"/>
        <v>0.1150698122291767</v>
      </c>
      <c r="P67" s="896">
        <f t="shared" si="245"/>
        <v>0.11486864169927334</v>
      </c>
      <c r="Q67" s="896">
        <f t="shared" si="245"/>
        <v>0.11403587848192553</v>
      </c>
      <c r="R67" s="897">
        <f t="shared" si="245"/>
        <v>9.2620624408703875E-2</v>
      </c>
      <c r="S67" s="896">
        <f t="shared" si="245"/>
        <v>0.10461991852301292</v>
      </c>
      <c r="T67" s="896">
        <f t="shared" si="245"/>
        <v>0.10246934318830841</v>
      </c>
      <c r="U67" s="896">
        <f t="shared" si="245"/>
        <v>0.10543004359889022</v>
      </c>
      <c r="V67" s="897">
        <f t="shared" si="245"/>
        <v>8.3333333333333329E-2</v>
      </c>
      <c r="W67" s="896">
        <f t="shared" si="245"/>
        <v>9.3475213457372239E-2</v>
      </c>
      <c r="X67" s="896">
        <f t="shared" si="245"/>
        <v>0.11078945781315964</v>
      </c>
      <c r="Y67" s="896">
        <f t="shared" si="245"/>
        <v>0.11916920075735843</v>
      </c>
      <c r="Z67" s="897">
        <f t="shared" si="245"/>
        <v>8.183010823220728E-2</v>
      </c>
      <c r="AA67" s="896">
        <f t="shared" si="245"/>
        <v>0.10263345922221088</v>
      </c>
      <c r="AB67" s="896">
        <f t="shared" si="245"/>
        <v>0.11100301585757369</v>
      </c>
      <c r="AC67" s="1156">
        <f t="shared" si="245"/>
        <v>0.10723502304147466</v>
      </c>
      <c r="AD67" s="897">
        <f t="shared" ref="AD67:AW67" si="246">AD66/AD12</f>
        <v>7.1904547501125612E-2</v>
      </c>
      <c r="AE67" s="896">
        <f t="shared" si="246"/>
        <v>6.5486336877251569E-2</v>
      </c>
      <c r="AF67" s="896">
        <f t="shared" si="246"/>
        <v>8.7547884474669657E-2</v>
      </c>
      <c r="AG67" s="1156">
        <f t="shared" si="246"/>
        <v>9.6488957902001377E-2</v>
      </c>
      <c r="AH67" s="897">
        <f t="shared" si="246"/>
        <v>9.6898731492087734E-2</v>
      </c>
      <c r="AI67" s="896">
        <f t="shared" si="246"/>
        <v>6.6796668429402434E-2</v>
      </c>
      <c r="AJ67" s="896">
        <f t="shared" si="246"/>
        <v>6.6142843988827846E-2</v>
      </c>
      <c r="AK67" s="896">
        <f t="shared" si="246"/>
        <v>7.6325170942668455E-2</v>
      </c>
      <c r="AL67" s="897">
        <f t="shared" si="246"/>
        <v>8.6021796887708071E-2</v>
      </c>
      <c r="AM67" s="907">
        <f t="shared" si="246"/>
        <v>9.4261986602102513E-2</v>
      </c>
      <c r="AN67" s="907">
        <f t="shared" ref="AN67" si="247">AN66/AN12</f>
        <v>5.9104336523691361E-2</v>
      </c>
      <c r="AO67" s="907">
        <f t="shared" ref="AO67" si="248">AO66/AO12</f>
        <v>9.6912637066331117E-2</v>
      </c>
      <c r="AP67" s="897">
        <f t="shared" si="246"/>
        <v>9.1343733265261073E-2</v>
      </c>
      <c r="AQ67" s="896">
        <f t="shared" si="246"/>
        <v>0.10819572007267868</v>
      </c>
      <c r="AR67" s="896">
        <f t="shared" si="246"/>
        <v>9.896347900410013E-2</v>
      </c>
      <c r="AS67" s="1156">
        <f t="shared" si="246"/>
        <v>0.10338226782528721</v>
      </c>
      <c r="AT67" s="897">
        <f t="shared" si="246"/>
        <v>0.11152671559903962</v>
      </c>
      <c r="AU67" s="896">
        <f t="shared" si="246"/>
        <v>0.10443340683484285</v>
      </c>
      <c r="AV67" s="896">
        <f t="shared" si="246"/>
        <v>0.10093657650349183</v>
      </c>
      <c r="AW67" s="1156">
        <f t="shared" si="246"/>
        <v>9.7833685409585203E-2</v>
      </c>
      <c r="AX67" s="897">
        <f t="shared" ref="AX67:BA67" si="249">AX66/AX12</f>
        <v>0.10817362723042143</v>
      </c>
      <c r="AY67" s="896">
        <f t="shared" si="249"/>
        <v>9.9177936330719585E-2</v>
      </c>
      <c r="AZ67" s="896">
        <f t="shared" si="249"/>
        <v>0.10276041531686167</v>
      </c>
      <c r="BA67" s="1156">
        <f t="shared" si="249"/>
        <v>0.10102517317488158</v>
      </c>
      <c r="BB67" s="896"/>
      <c r="BC67" s="689"/>
      <c r="BD67" s="689"/>
      <c r="BE67" s="867">
        <v>9.3635087250117002E-2</v>
      </c>
      <c r="BF67" s="867">
        <f t="shared" ref="BF67:BO67" si="250">BF66/BF12</f>
        <v>0.11125618845547032</v>
      </c>
      <c r="BG67" s="867">
        <f t="shared" si="250"/>
        <v>0.10781806448528884</v>
      </c>
      <c r="BH67" s="867">
        <f t="shared" si="250"/>
        <v>0.10154842583855195</v>
      </c>
      <c r="BI67" s="867">
        <f t="shared" si="250"/>
        <v>0.10287624378109453</v>
      </c>
      <c r="BJ67" s="867">
        <f t="shared" si="250"/>
        <v>0.10127766825543383</v>
      </c>
      <c r="BK67" s="867">
        <f t="shared" si="250"/>
        <v>9.4199069808744679E-2</v>
      </c>
      <c r="BL67" s="996">
        <f t="shared" si="250"/>
        <v>6.7264128283070906E-2</v>
      </c>
      <c r="BM67" s="996">
        <f t="shared" ref="BM67" si="251">BM66/BM12</f>
        <v>8.3803276289879103E-2</v>
      </c>
      <c r="BN67" s="868">
        <f t="shared" si="250"/>
        <v>0.10076864689383504</v>
      </c>
      <c r="BO67" s="868">
        <f t="shared" si="250"/>
        <v>0.10352299055116153</v>
      </c>
      <c r="BP67" s="868">
        <f t="shared" ref="BP67" si="252">BP66/BP12</f>
        <v>0.10215011555009093</v>
      </c>
    </row>
    <row r="68" spans="1:70">
      <c r="A68" s="24">
        <f>ROWS($A$2:A68)</f>
        <v>67</v>
      </c>
      <c r="B68" s="4" t="s">
        <v>179</v>
      </c>
      <c r="C68" s="281"/>
      <c r="D68" s="34"/>
      <c r="E68" s="34"/>
      <c r="F68" s="838">
        <v>-0.40556199304750873</v>
      </c>
      <c r="G68" s="837">
        <f t="shared" ref="G68:AD68" si="253">G66/F66-1</f>
        <v>0.30799220272904493</v>
      </c>
      <c r="H68" s="839">
        <f t="shared" si="253"/>
        <v>0.12816691505216093</v>
      </c>
      <c r="I68" s="839">
        <f t="shared" si="253"/>
        <v>0.13738441215323638</v>
      </c>
      <c r="J68" s="840">
        <v>-2.3228803716608626E-2</v>
      </c>
      <c r="K68" s="839">
        <f t="shared" si="253"/>
        <v>0.26634958382877527</v>
      </c>
      <c r="L68" s="839">
        <f t="shared" si="253"/>
        <v>-0.13427230046948357</v>
      </c>
      <c r="M68" s="839">
        <f t="shared" si="253"/>
        <v>0.16919739696312375</v>
      </c>
      <c r="N68" s="840">
        <f t="shared" si="253"/>
        <v>-0.22541743970315398</v>
      </c>
      <c r="O68" s="839">
        <f t="shared" si="253"/>
        <v>0.43113772455089827</v>
      </c>
      <c r="P68" s="839">
        <f t="shared" si="253"/>
        <v>3.1799163179916379E-2</v>
      </c>
      <c r="Q68" s="1119">
        <f t="shared" si="253"/>
        <v>2.5952960259529645E-2</v>
      </c>
      <c r="R68" s="840">
        <f t="shared" si="253"/>
        <v>-0.22608695652173916</v>
      </c>
      <c r="S68" s="839">
        <f t="shared" si="253"/>
        <v>0.23289070480081708</v>
      </c>
      <c r="T68" s="839">
        <f t="shared" si="253"/>
        <v>1.0770505385252704E-2</v>
      </c>
      <c r="U68" s="1119">
        <f t="shared" si="253"/>
        <v>9.0163934426229497E-2</v>
      </c>
      <c r="V68" s="840">
        <f t="shared" si="253"/>
        <v>-8.4210526315789513E-2</v>
      </c>
      <c r="W68" s="839">
        <f t="shared" si="253"/>
        <v>0.20443349753694573</v>
      </c>
      <c r="X68" s="839">
        <f t="shared" si="253"/>
        <v>0.25221540558963862</v>
      </c>
      <c r="Y68" s="1119">
        <f t="shared" si="253"/>
        <v>0.13064779531845394</v>
      </c>
      <c r="Z68" s="840">
        <f t="shared" si="253"/>
        <v>-0.27924891670678864</v>
      </c>
      <c r="AA68" s="839">
        <f t="shared" si="253"/>
        <v>0.3433533734134937</v>
      </c>
      <c r="AB68" s="839">
        <f t="shared" si="253"/>
        <v>0.13475882645450032</v>
      </c>
      <c r="AC68" s="1119">
        <f t="shared" si="253"/>
        <v>1.9719544259421573E-2</v>
      </c>
      <c r="AD68" s="840">
        <f t="shared" si="253"/>
        <v>-0.31370863773098412</v>
      </c>
      <c r="AE68" s="839">
        <f>AE66/AD66-1</f>
        <v>-6.6624921728240416E-2</v>
      </c>
      <c r="AF68" s="839">
        <f t="shared" ref="AF68:AS68" si="254">AF66/AE66-1</f>
        <v>0.36455118744129877</v>
      </c>
      <c r="AG68" s="1119">
        <f t="shared" si="254"/>
        <v>9.9803343166175118E-2</v>
      </c>
      <c r="AH68" s="840">
        <f t="shared" si="254"/>
        <v>2.1010281627179328E-2</v>
      </c>
      <c r="AI68" s="839">
        <f t="shared" ref="AI68:AO68" si="255">AI66/AH66-1</f>
        <v>-0.11514886164623472</v>
      </c>
      <c r="AJ68" s="839">
        <f t="shared" si="255"/>
        <v>6.6303809995051921E-2</v>
      </c>
      <c r="AK68" s="839">
        <f t="shared" si="255"/>
        <v>0.21206496519721574</v>
      </c>
      <c r="AL68" s="840">
        <f t="shared" si="255"/>
        <v>0.21477794793261862</v>
      </c>
      <c r="AM68" s="839">
        <f t="shared" si="255"/>
        <v>0.18405294673810269</v>
      </c>
      <c r="AN68" s="839">
        <f t="shared" si="255"/>
        <v>-0.33430928932659032</v>
      </c>
      <c r="AO68" s="839">
        <f t="shared" si="255"/>
        <v>0.72451019592163135</v>
      </c>
      <c r="AP68" s="840">
        <f t="shared" si="254"/>
        <v>0.16396351369226303</v>
      </c>
      <c r="AQ68" s="839">
        <f t="shared" si="254"/>
        <v>0.33232116350580543</v>
      </c>
      <c r="AR68" s="839">
        <f t="shared" si="254"/>
        <v>-4.9460015761869647E-2</v>
      </c>
      <c r="AS68" s="1119">
        <f t="shared" si="254"/>
        <v>8.7695123726440727E-2</v>
      </c>
      <c r="AT68" s="840">
        <f t="shared" ref="AT68" si="256">AT66/AS66-1</f>
        <v>0.15793888855063987</v>
      </c>
      <c r="AU68" s="839">
        <f t="shared" ref="AU68" si="257">AU66/AT66-1</f>
        <v>-3.6155097052748553E-2</v>
      </c>
      <c r="AV68" s="839">
        <f t="shared" ref="AV68" si="258">AV66/AU66-1</f>
        <v>-4.4205203142874128E-3</v>
      </c>
      <c r="AW68" s="1119">
        <f t="shared" ref="AW68" si="259">AW66/AV66-1</f>
        <v>-4.0049320625130669E-3</v>
      </c>
      <c r="AX68" s="840">
        <f t="shared" ref="AX68" si="260">AX66/AW66-1</f>
        <v>0.19163675170883909</v>
      </c>
      <c r="AY68" s="839">
        <f t="shared" ref="AY68" si="261">AY66/AX66-1</f>
        <v>-5.5690475552237606E-2</v>
      </c>
      <c r="AZ68" s="839">
        <f t="shared" ref="AZ68" si="262">AZ66/AY66-1</f>
        <v>7.4259715933816306E-2</v>
      </c>
      <c r="BA68" s="1119">
        <f t="shared" ref="BA68" si="263">BA66/AZ66-1</f>
        <v>1.6155623568366861E-2</v>
      </c>
      <c r="BB68" s="839"/>
      <c r="BC68" s="677"/>
      <c r="BD68" s="677"/>
      <c r="BE68" s="844">
        <v>2.9022777369581254E-2</v>
      </c>
      <c r="BF68" s="844">
        <f t="shared" ref="BF68:BP68" si="264">BF66/BE66-1</f>
        <v>0.4601927882898964</v>
      </c>
      <c r="BG68" s="844">
        <f t="shared" si="264"/>
        <v>0.10293398533007325</v>
      </c>
      <c r="BH68" s="844">
        <f t="shared" si="264"/>
        <v>4.965639547772116E-2</v>
      </c>
      <c r="BI68" s="844">
        <f t="shared" si="264"/>
        <v>0.3974656810982049</v>
      </c>
      <c r="BJ68" s="844">
        <f t="shared" si="264"/>
        <v>0.2266888317968867</v>
      </c>
      <c r="BK68" s="844">
        <f t="shared" si="264"/>
        <v>4.5497104841690117E-2</v>
      </c>
      <c r="BL68" s="844">
        <f t="shared" si="264"/>
        <v>-4.3045850370597272E-2</v>
      </c>
      <c r="BM68" s="844">
        <f t="shared" si="264"/>
        <v>0.69264868858514972</v>
      </c>
      <c r="BN68" s="855">
        <f t="shared" si="264"/>
        <v>0.81736804083344428</v>
      </c>
      <c r="BO68" s="855">
        <f t="shared" si="264"/>
        <v>0.24339918078661249</v>
      </c>
      <c r="BP68" s="855">
        <f t="shared" si="264"/>
        <v>0.16486883828339005</v>
      </c>
    </row>
    <row r="69" spans="1:70">
      <c r="A69" s="24">
        <f>ROWS($A$2:A69)</f>
        <v>68</v>
      </c>
      <c r="C69" s="281"/>
      <c r="F69" s="281"/>
      <c r="J69" s="680"/>
      <c r="N69" s="680"/>
      <c r="R69" s="680"/>
      <c r="V69" s="680"/>
      <c r="Z69" s="680"/>
      <c r="AC69" s="1120"/>
      <c r="AD69" s="680"/>
      <c r="AG69" s="1120"/>
      <c r="AH69" s="680"/>
      <c r="AN69" s="835"/>
      <c r="AO69" s="835"/>
      <c r="AP69" s="680"/>
      <c r="AS69" s="1120"/>
      <c r="AT69" s="680"/>
      <c r="AW69" s="1120"/>
      <c r="AX69" s="680"/>
      <c r="BA69" s="1120"/>
      <c r="BI69" s="752"/>
      <c r="BJ69" s="752"/>
      <c r="BK69" s="752"/>
      <c r="BL69" s="752"/>
      <c r="BM69" s="752"/>
      <c r="BN69" s="681"/>
      <c r="BO69" s="681"/>
      <c r="BP69" s="681"/>
    </row>
    <row r="70" spans="1:70">
      <c r="A70" s="24">
        <f>ROWS($A$2:A70)</f>
        <v>69</v>
      </c>
      <c r="B70" s="4" t="s">
        <v>198</v>
      </c>
      <c r="C70" s="285"/>
      <c r="D70" s="59"/>
      <c r="E70" s="59"/>
      <c r="F70" s="285">
        <v>305.35714285714283</v>
      </c>
      <c r="G70" s="59">
        <v>305</v>
      </c>
      <c r="H70" s="700">
        <v>307.72357723577232</v>
      </c>
      <c r="I70" s="700">
        <v>307.5</v>
      </c>
      <c r="J70" s="701">
        <v>306.93430656934305</v>
      </c>
      <c r="K70" s="700">
        <v>307.80346820809245</v>
      </c>
      <c r="L70" s="700">
        <v>307.33333333333337</v>
      </c>
      <c r="M70" s="700">
        <v>307.8313253012048</v>
      </c>
      <c r="N70" s="701">
        <v>309.72222222222223</v>
      </c>
      <c r="O70" s="700">
        <v>309.58549222797927</v>
      </c>
      <c r="P70" s="700">
        <v>311.36363636363637</v>
      </c>
      <c r="Q70" s="700">
        <v>312.36263736263737</v>
      </c>
      <c r="R70" s="701">
        <v>312.109375</v>
      </c>
      <c r="S70" s="700">
        <v>303.26633165829145</v>
      </c>
      <c r="T70" s="700">
        <v>303.48258706467664</v>
      </c>
      <c r="U70" s="700">
        <v>303.65296803652973</v>
      </c>
      <c r="V70" s="701">
        <v>298.52941176470591</v>
      </c>
      <c r="W70" s="700">
        <v>303.09917355371903</v>
      </c>
      <c r="X70" s="700">
        <v>303.13531353135312</v>
      </c>
      <c r="Y70" s="700">
        <v>304.5454545454545</v>
      </c>
      <c r="Z70" s="701">
        <v>304.26829268292681</v>
      </c>
      <c r="AA70" s="700">
        <v>304.69696969696969</v>
      </c>
      <c r="AB70" s="700">
        <v>304.99866345896822</v>
      </c>
      <c r="AC70" s="1126">
        <v>304.99866345896822</v>
      </c>
      <c r="AD70" s="701">
        <v>304.99866345896822</v>
      </c>
      <c r="AE70" s="753">
        <v>251.8756336600203</v>
      </c>
      <c r="AF70" s="700">
        <v>251.8756336600203</v>
      </c>
      <c r="AG70" s="1126">
        <v>308.92857142857144</v>
      </c>
      <c r="AH70" s="701">
        <v>240.90909090909093</v>
      </c>
      <c r="AI70" s="748">
        <f>2021/6.06</f>
        <v>333.49834983498351</v>
      </c>
      <c r="AJ70" s="753">
        <v>334.06593406593402</v>
      </c>
      <c r="AK70" s="753">
        <f>AK66/7.8</f>
        <v>334.87179487179486</v>
      </c>
      <c r="AL70" s="748">
        <f>3174/9.47</f>
        <v>335.1636747624076</v>
      </c>
      <c r="AM70" s="746">
        <f>3758/11.21</f>
        <v>335.23639607493305</v>
      </c>
      <c r="AN70" s="746">
        <f>2502/7.45</f>
        <v>335.83892617449663</v>
      </c>
      <c r="AO70" s="746">
        <f>AN70</f>
        <v>335.83892617449663</v>
      </c>
      <c r="AP70" s="701">
        <f>AO70+13+93.796508</f>
        <v>442.63543417449665</v>
      </c>
      <c r="AQ70" s="700">
        <f t="shared" ref="AQ70:AQ71" si="265">AP70</f>
        <v>442.63543417449665</v>
      </c>
      <c r="AR70" s="700">
        <f t="shared" ref="AR70:AR71" si="266">AQ70</f>
        <v>442.63543417449665</v>
      </c>
      <c r="AS70" s="1126">
        <f t="shared" ref="AS70:AS71" si="267">AR70</f>
        <v>442.63543417449665</v>
      </c>
      <c r="AT70" s="701">
        <f t="shared" ref="AT70:AT71" si="268">AS70</f>
        <v>442.63543417449665</v>
      </c>
      <c r="AU70" s="700">
        <f t="shared" ref="AU70:AU71" si="269">AT70</f>
        <v>442.63543417449665</v>
      </c>
      <c r="AV70" s="700">
        <f t="shared" ref="AV70:AV71" si="270">AU70</f>
        <v>442.63543417449665</v>
      </c>
      <c r="AW70" s="1126">
        <f t="shared" ref="AW70:AW71" si="271">AV70</f>
        <v>442.63543417449665</v>
      </c>
      <c r="AX70" s="701">
        <f t="shared" ref="AX70:AX71" si="272">AW70</f>
        <v>442.63543417449665</v>
      </c>
      <c r="AY70" s="700">
        <f t="shared" ref="AY70:AY71" si="273">AX70</f>
        <v>442.63543417449665</v>
      </c>
      <c r="AZ70" s="700">
        <f t="shared" ref="AZ70:AZ71" si="274">AY70</f>
        <v>442.63543417449665</v>
      </c>
      <c r="BA70" s="1126">
        <f t="shared" ref="BA70:BA71" si="275">AZ70</f>
        <v>442.63543417449665</v>
      </c>
      <c r="BB70" s="753"/>
      <c r="BC70" s="753"/>
      <c r="BD70" s="753"/>
      <c r="BE70" s="122">
        <v>307.12719298245611</v>
      </c>
      <c r="BF70" s="122">
        <f>BF66/BF72</f>
        <v>312.21374045801525</v>
      </c>
      <c r="BG70" s="122">
        <f>BG66/BG72</f>
        <v>315.89635854341736</v>
      </c>
      <c r="BH70" s="122">
        <f>AVERAGE(R70:U70)</f>
        <v>305.62781543987444</v>
      </c>
      <c r="BI70" s="122">
        <f>AVERAGE(V70:Y70)</f>
        <v>302.32733834880815</v>
      </c>
      <c r="BJ70" s="122">
        <f>AVERAGE(W70:Z70)</f>
        <v>303.76205857836339</v>
      </c>
      <c r="BK70" s="122">
        <f>BK61/BK72</f>
        <v>307.01039407761908</v>
      </c>
      <c r="BL70" s="122">
        <f>BL66/24.6</f>
        <v>330.1219512195122</v>
      </c>
      <c r="BM70" s="122">
        <f>AVERAGE(AL70:AO70)</f>
        <v>335.51948079658348</v>
      </c>
      <c r="BN70" s="695">
        <f t="shared" ref="BN70:BP71" si="276">AVERAGE(AP70:AS70)</f>
        <v>442.63543417449665</v>
      </c>
      <c r="BO70" s="695">
        <f t="shared" si="276"/>
        <v>442.63543417449665</v>
      </c>
      <c r="BP70" s="695">
        <f t="shared" si="276"/>
        <v>442.63543417449665</v>
      </c>
    </row>
    <row r="71" spans="1:70">
      <c r="A71" s="24">
        <f>ROWS($A$2:A71)</f>
        <v>70</v>
      </c>
      <c r="B71" s="4" t="s">
        <v>199</v>
      </c>
      <c r="C71" s="285"/>
      <c r="D71" s="59"/>
      <c r="E71" s="59"/>
      <c r="F71" s="285">
        <v>305.35714285714283</v>
      </c>
      <c r="G71" s="59">
        <v>305</v>
      </c>
      <c r="H71" s="700">
        <v>307.72357723577232</v>
      </c>
      <c r="I71" s="700">
        <v>307.5</v>
      </c>
      <c r="J71" s="701">
        <v>306.93430656934305</v>
      </c>
      <c r="K71" s="700">
        <v>307.80346820809245</v>
      </c>
      <c r="L71" s="700">
        <v>307.33333333333337</v>
      </c>
      <c r="M71" s="700">
        <v>307.8313253012048</v>
      </c>
      <c r="N71" s="701">
        <v>309.72222222222223</v>
      </c>
      <c r="O71" s="700">
        <v>309.58549222797927</v>
      </c>
      <c r="P71" s="700">
        <v>311.36363636363637</v>
      </c>
      <c r="Q71" s="700">
        <v>312.36263736263737</v>
      </c>
      <c r="R71" s="701">
        <v>312.109375</v>
      </c>
      <c r="S71" s="700">
        <v>303.26633165829145</v>
      </c>
      <c r="T71" s="700">
        <v>303.48258706467664</v>
      </c>
      <c r="U71" s="700">
        <v>303.65296803652973</v>
      </c>
      <c r="V71" s="701">
        <v>298.52941176470591</v>
      </c>
      <c r="W71" s="700">
        <v>303.09917355371903</v>
      </c>
      <c r="X71" s="700">
        <v>303.13531353135312</v>
      </c>
      <c r="Y71" s="700">
        <v>304.5454545454545</v>
      </c>
      <c r="Z71" s="701">
        <v>304.26829268292681</v>
      </c>
      <c r="AA71" s="700">
        <v>304.69696969696969</v>
      </c>
      <c r="AB71" s="685">
        <v>305.0802139037433</v>
      </c>
      <c r="AC71" s="1157">
        <v>305.5</v>
      </c>
      <c r="AD71" s="701">
        <v>305.5</v>
      </c>
      <c r="AE71" s="753">
        <v>257.17736369910284</v>
      </c>
      <c r="AF71" s="700">
        <v>305.5</v>
      </c>
      <c r="AG71" s="1157">
        <v>311.49584487534628</v>
      </c>
      <c r="AH71" s="701">
        <v>240.90909090909093</v>
      </c>
      <c r="AI71" s="748">
        <f>2021/6.03</f>
        <v>335.15754560530678</v>
      </c>
      <c r="AJ71" s="753">
        <v>337.45639073897877</v>
      </c>
      <c r="AK71" s="753">
        <f>AK66/7.73</f>
        <v>337.90426908150062</v>
      </c>
      <c r="AL71" s="748">
        <f>3174/9.38</f>
        <v>338.37953091684432</v>
      </c>
      <c r="AM71" s="746">
        <f>3758/11.07</f>
        <v>339.47606142728091</v>
      </c>
      <c r="AN71" s="746">
        <f>2502/7.38</f>
        <v>339.02439024390242</v>
      </c>
      <c r="AO71" s="746">
        <f>AN71</f>
        <v>339.02439024390242</v>
      </c>
      <c r="AP71" s="898">
        <f>AO71+13+93.796508</f>
        <v>445.82089824390243</v>
      </c>
      <c r="AQ71" s="700">
        <f t="shared" si="265"/>
        <v>445.82089824390243</v>
      </c>
      <c r="AR71" s="700">
        <f t="shared" si="266"/>
        <v>445.82089824390243</v>
      </c>
      <c r="AS71" s="1126">
        <f t="shared" si="267"/>
        <v>445.82089824390243</v>
      </c>
      <c r="AT71" s="701">
        <f t="shared" si="268"/>
        <v>445.82089824390243</v>
      </c>
      <c r="AU71" s="700">
        <f t="shared" si="269"/>
        <v>445.82089824390243</v>
      </c>
      <c r="AV71" s="700">
        <f t="shared" si="270"/>
        <v>445.82089824390243</v>
      </c>
      <c r="AW71" s="1126">
        <f t="shared" si="271"/>
        <v>445.82089824390243</v>
      </c>
      <c r="AX71" s="701">
        <f t="shared" si="272"/>
        <v>445.82089824390243</v>
      </c>
      <c r="AY71" s="700">
        <f t="shared" si="273"/>
        <v>445.82089824390243</v>
      </c>
      <c r="AZ71" s="700">
        <f t="shared" si="274"/>
        <v>445.82089824390243</v>
      </c>
      <c r="BA71" s="1126">
        <f t="shared" si="275"/>
        <v>445.82089824390243</v>
      </c>
      <c r="BB71" s="753"/>
      <c r="BC71" s="753"/>
      <c r="BD71" s="753"/>
      <c r="BE71" s="122">
        <v>307.12719298245611</v>
      </c>
      <c r="BF71" s="122">
        <f>BF66/BF73</f>
        <v>312.21374045801525</v>
      </c>
      <c r="BG71" s="122">
        <f>BG66/BG73</f>
        <v>315.89635854341736</v>
      </c>
      <c r="BH71" s="122">
        <f>AVERAGE(R71:U71)</f>
        <v>305.62781543987444</v>
      </c>
      <c r="BI71" s="122">
        <f>BI61/BI73</f>
        <v>303.53211009174311</v>
      </c>
      <c r="BJ71" s="122">
        <f>AVERAGE(W71:Z71)</f>
        <v>303.76205857836339</v>
      </c>
      <c r="BK71" s="122">
        <f>BK61/BK73</f>
        <v>311.69526267840871</v>
      </c>
      <c r="BL71" s="122">
        <f>BL66/24.41</f>
        <v>332.6915198689062</v>
      </c>
      <c r="BM71" s="122">
        <f>AVERAGE(AL71:AO71)</f>
        <v>338.9760932079825</v>
      </c>
      <c r="BN71" s="695">
        <f t="shared" si="276"/>
        <v>445.82089824390243</v>
      </c>
      <c r="BO71" s="695">
        <f t="shared" si="276"/>
        <v>445.82089824390243</v>
      </c>
      <c r="BP71" s="695">
        <f t="shared" si="276"/>
        <v>445.82089824390243</v>
      </c>
    </row>
    <row r="72" spans="1:70">
      <c r="A72" s="24">
        <f>ROWS($A$2:A72)</f>
        <v>71</v>
      </c>
      <c r="B72" s="4" t="s">
        <v>200</v>
      </c>
      <c r="C72" s="565"/>
      <c r="D72" s="99"/>
      <c r="E72" s="99"/>
      <c r="F72" s="565">
        <v>1.6800000000000002</v>
      </c>
      <c r="G72" s="100">
        <f t="shared" ref="G72:AJ72" si="277">G66/G70</f>
        <v>2.2000000000000002</v>
      </c>
      <c r="H72" s="685">
        <f t="shared" si="277"/>
        <v>2.4600000000000004</v>
      </c>
      <c r="I72" s="685">
        <f t="shared" si="277"/>
        <v>2.8</v>
      </c>
      <c r="J72" s="686">
        <v>2.74</v>
      </c>
      <c r="K72" s="685">
        <f t="shared" si="277"/>
        <v>3.4600000000000004</v>
      </c>
      <c r="L72" s="685">
        <f t="shared" si="277"/>
        <v>2.9999999999999996</v>
      </c>
      <c r="M72" s="685">
        <f t="shared" si="277"/>
        <v>3.5019178082191784</v>
      </c>
      <c r="N72" s="686">
        <f t="shared" si="277"/>
        <v>2.695964125560538</v>
      </c>
      <c r="O72" s="685">
        <f t="shared" si="277"/>
        <v>3.86</v>
      </c>
      <c r="P72" s="685">
        <f t="shared" si="277"/>
        <v>3.96</v>
      </c>
      <c r="Q72" s="685">
        <f t="shared" si="277"/>
        <v>4.0497801231310468</v>
      </c>
      <c r="R72" s="686">
        <f t="shared" si="277"/>
        <v>3.1367209011264081</v>
      </c>
      <c r="S72" s="685">
        <f t="shared" si="277"/>
        <v>3.98</v>
      </c>
      <c r="T72" s="685">
        <f t="shared" si="277"/>
        <v>4.0199999999999996</v>
      </c>
      <c r="U72" s="685">
        <f t="shared" si="277"/>
        <v>4.379999999999999</v>
      </c>
      <c r="V72" s="686">
        <f t="shared" si="277"/>
        <v>4.0799999999999992</v>
      </c>
      <c r="W72" s="685">
        <f t="shared" si="277"/>
        <v>4.84</v>
      </c>
      <c r="X72" s="685">
        <f t="shared" si="277"/>
        <v>6.0600000000000005</v>
      </c>
      <c r="Y72" s="685">
        <f t="shared" si="277"/>
        <v>6.8200000000000012</v>
      </c>
      <c r="Z72" s="686">
        <f t="shared" si="277"/>
        <v>4.92</v>
      </c>
      <c r="AA72" s="685">
        <f t="shared" si="277"/>
        <v>6.6000000000000005</v>
      </c>
      <c r="AB72" s="685">
        <f t="shared" si="277"/>
        <v>7.4819999999999993</v>
      </c>
      <c r="AC72" s="685">
        <f t="shared" si="277"/>
        <v>7.6295416301489913</v>
      </c>
      <c r="AD72" s="686">
        <f t="shared" si="277"/>
        <v>5.2360885188431192</v>
      </c>
      <c r="AE72" s="685">
        <f t="shared" si="277"/>
        <v>5.9180000000000001</v>
      </c>
      <c r="AF72" s="753">
        <f t="shared" si="277"/>
        <v>8.0754139272776051</v>
      </c>
      <c r="AG72" s="753">
        <f t="shared" si="277"/>
        <v>7.2411560693641617</v>
      </c>
      <c r="AH72" s="898">
        <f t="shared" si="277"/>
        <v>9.4807547169811315</v>
      </c>
      <c r="AI72" s="909">
        <f t="shared" si="277"/>
        <v>6.06</v>
      </c>
      <c r="AJ72" s="753">
        <f t="shared" si="277"/>
        <v>6.4508223684210533</v>
      </c>
      <c r="AK72" s="935">
        <f>AK66/AK70</f>
        <v>7.8</v>
      </c>
      <c r="AL72" s="909">
        <f>AL66/AL70</f>
        <v>9.4670163831127923</v>
      </c>
      <c r="AM72" s="935">
        <f>AM66/AM70</f>
        <v>11.207017030335287</v>
      </c>
      <c r="AN72" s="935">
        <f>AN66/AN70</f>
        <v>7.4470223820943247</v>
      </c>
      <c r="AO72" s="935">
        <f>AO66/AO70</f>
        <v>12.842466027178258</v>
      </c>
      <c r="AP72" s="1153">
        <f t="shared" ref="AP72:AS72" si="278">AP66/AP70</f>
        <v>11.341556158777083</v>
      </c>
      <c r="AQ72" s="747">
        <f t="shared" si="278"/>
        <v>15.110595297428317</v>
      </c>
      <c r="AR72" s="747">
        <f t="shared" si="278"/>
        <v>14.363225015846277</v>
      </c>
      <c r="AS72" s="1154">
        <f t="shared" si="278"/>
        <v>15.622809810721625</v>
      </c>
      <c r="AT72" s="1153">
        <f t="shared" ref="AT72:AW72" si="279">AT66/AT70</f>
        <v>18.090259028265031</v>
      </c>
      <c r="AU72" s="747">
        <f t="shared" si="279"/>
        <v>17.436203957388749</v>
      </c>
      <c r="AV72" s="747">
        <f t="shared" si="279"/>
        <v>17.359126863591055</v>
      </c>
      <c r="AW72" s="1154">
        <f t="shared" si="279"/>
        <v>17.289604739837827</v>
      </c>
      <c r="AX72" s="1153">
        <f t="shared" ref="AX72:BA72" si="280">AX66/AX70</f>
        <v>20.602928430510094</v>
      </c>
      <c r="AY72" s="747">
        <f t="shared" si="280"/>
        <v>19.45554154844627</v>
      </c>
      <c r="AZ72" s="747">
        <f t="shared" si="280"/>
        <v>20.900304537172449</v>
      </c>
      <c r="BA72" s="1154">
        <f t="shared" si="280"/>
        <v>21.237961989739237</v>
      </c>
      <c r="BB72" s="685"/>
      <c r="BC72" s="685"/>
      <c r="BD72" s="685"/>
      <c r="BE72" s="754">
        <v>9.120000000000001</v>
      </c>
      <c r="BF72" s="754">
        <v>13.1</v>
      </c>
      <c r="BG72" s="754">
        <v>14.280000000000001</v>
      </c>
      <c r="BH72" s="754">
        <v>14.940000000000001</v>
      </c>
      <c r="BI72" s="754">
        <v>21.8</v>
      </c>
      <c r="BJ72" s="754">
        <v>26.619999999999997</v>
      </c>
      <c r="BK72" s="754">
        <v>26.745999999999999</v>
      </c>
      <c r="BL72" s="936">
        <f>BL66/BL70</f>
        <v>24.6</v>
      </c>
      <c r="BM72" s="936">
        <f>BM66/BM70</f>
        <v>40.969305172279498</v>
      </c>
      <c r="BN72" s="690">
        <f t="shared" ref="BN72" si="281">BN66/BN70</f>
        <v>56.438186282773401</v>
      </c>
      <c r="BO72" s="690">
        <f>BO66/BO70</f>
        <v>70.175194589082679</v>
      </c>
      <c r="BP72" s="690">
        <f t="shared" ref="BP72" si="282">BP66/BP70</f>
        <v>81.744897397295574</v>
      </c>
    </row>
    <row r="73" spans="1:70">
      <c r="A73" s="24">
        <f>ROWS($A$2:A73)</f>
        <v>72</v>
      </c>
      <c r="B73" s="4" t="s">
        <v>41</v>
      </c>
      <c r="C73" s="565"/>
      <c r="D73" s="99"/>
      <c r="E73" s="99"/>
      <c r="F73" s="565">
        <v>1.6800000000000002</v>
      </c>
      <c r="G73" s="100">
        <f t="shared" ref="G73:AJ73" si="283">G66/G71</f>
        <v>2.2000000000000002</v>
      </c>
      <c r="H73" s="685">
        <f t="shared" si="283"/>
        <v>2.4600000000000004</v>
      </c>
      <c r="I73" s="685">
        <f t="shared" si="283"/>
        <v>2.8</v>
      </c>
      <c r="J73" s="686">
        <v>2.74</v>
      </c>
      <c r="K73" s="685">
        <f t="shared" si="283"/>
        <v>3.4600000000000004</v>
      </c>
      <c r="L73" s="685">
        <f t="shared" si="283"/>
        <v>2.9999999999999996</v>
      </c>
      <c r="M73" s="685">
        <f t="shared" si="283"/>
        <v>3.5019178082191784</v>
      </c>
      <c r="N73" s="686">
        <f t="shared" si="283"/>
        <v>2.695964125560538</v>
      </c>
      <c r="O73" s="685">
        <f t="shared" si="283"/>
        <v>3.86</v>
      </c>
      <c r="P73" s="685">
        <f t="shared" si="283"/>
        <v>3.96</v>
      </c>
      <c r="Q73" s="685">
        <f t="shared" si="283"/>
        <v>4.0497801231310468</v>
      </c>
      <c r="R73" s="686">
        <f t="shared" si="283"/>
        <v>3.1367209011264081</v>
      </c>
      <c r="S73" s="685">
        <f t="shared" si="283"/>
        <v>3.98</v>
      </c>
      <c r="T73" s="685">
        <f t="shared" si="283"/>
        <v>4.0199999999999996</v>
      </c>
      <c r="U73" s="685">
        <f t="shared" si="283"/>
        <v>4.379999999999999</v>
      </c>
      <c r="V73" s="686">
        <f t="shared" si="283"/>
        <v>4.0799999999999992</v>
      </c>
      <c r="W73" s="685">
        <f t="shared" si="283"/>
        <v>4.84</v>
      </c>
      <c r="X73" s="685">
        <f t="shared" si="283"/>
        <v>6.0600000000000005</v>
      </c>
      <c r="Y73" s="685">
        <f t="shared" si="283"/>
        <v>6.8200000000000012</v>
      </c>
      <c r="Z73" s="686">
        <f t="shared" si="283"/>
        <v>4.92</v>
      </c>
      <c r="AA73" s="685">
        <f t="shared" si="283"/>
        <v>6.6000000000000005</v>
      </c>
      <c r="AB73" s="685">
        <f t="shared" si="283"/>
        <v>7.48</v>
      </c>
      <c r="AC73" s="685">
        <f t="shared" si="283"/>
        <v>7.6170212765957448</v>
      </c>
      <c r="AD73" s="686">
        <f t="shared" si="283"/>
        <v>5.2274959083469721</v>
      </c>
      <c r="AE73" s="685">
        <f t="shared" si="283"/>
        <v>5.7960000000000003</v>
      </c>
      <c r="AF73" s="753">
        <f t="shared" si="283"/>
        <v>6.657937806873977</v>
      </c>
      <c r="AG73" s="753">
        <f t="shared" si="283"/>
        <v>7.1814762116496214</v>
      </c>
      <c r="AH73" s="898">
        <f t="shared" si="283"/>
        <v>9.4807547169811315</v>
      </c>
      <c r="AI73" s="909">
        <f t="shared" si="283"/>
        <v>6.03</v>
      </c>
      <c r="AJ73" s="753">
        <f t="shared" si="283"/>
        <v>6.386010338345864</v>
      </c>
      <c r="AK73" s="935">
        <f>AK66/AK71</f>
        <v>7.73</v>
      </c>
      <c r="AL73" s="909">
        <f>AL66/AL71</f>
        <v>9.3770447385003166</v>
      </c>
      <c r="AM73" s="935">
        <f>AM66/AM71</f>
        <v>11.067054284193722</v>
      </c>
      <c r="AN73" s="935">
        <f>AN66/AN71</f>
        <v>7.3770503597122303</v>
      </c>
      <c r="AO73" s="935">
        <f>AO66/AO71</f>
        <v>12.721798561151079</v>
      </c>
      <c r="AP73" s="1153">
        <f t="shared" ref="AP73:AS73" si="284">AP66/AP71</f>
        <v>11.260518863806745</v>
      </c>
      <c r="AQ73" s="747">
        <f t="shared" si="284"/>
        <v>15.002627594306071</v>
      </c>
      <c r="AR73" s="747">
        <f t="shared" si="284"/>
        <v>14.260597397022233</v>
      </c>
      <c r="AS73" s="1154">
        <f t="shared" si="284"/>
        <v>15.511182250167055</v>
      </c>
      <c r="AT73" s="1153">
        <f t="shared" ref="AT73:AW73" si="285">AT66/AT71</f>
        <v>17.961001134864855</v>
      </c>
      <c r="AU73" s="747">
        <f t="shared" si="285"/>
        <v>17.31161939566929</v>
      </c>
      <c r="AV73" s="747">
        <f t="shared" si="285"/>
        <v>17.235093030457524</v>
      </c>
      <c r="AW73" s="1154">
        <f t="shared" si="285"/>
        <v>17.166067653779447</v>
      </c>
      <c r="AX73" s="1153">
        <f t="shared" ref="AX73:BA73" si="286">AX66/AX71</f>
        <v>20.455717098563913</v>
      </c>
      <c r="AY73" s="747">
        <f t="shared" si="286"/>
        <v>19.316528485582847</v>
      </c>
      <c r="AZ73" s="747">
        <f t="shared" si="286"/>
        <v>20.750968403749699</v>
      </c>
      <c r="BA73" s="1154">
        <f t="shared" si="286"/>
        <v>21.086213237959754</v>
      </c>
      <c r="BB73" s="685"/>
      <c r="BC73" s="685"/>
      <c r="BD73" s="685"/>
      <c r="BE73" s="754">
        <v>9.120000000000001</v>
      </c>
      <c r="BF73" s="754">
        <v>13.1</v>
      </c>
      <c r="BG73" s="754">
        <v>14.280000000000001</v>
      </c>
      <c r="BH73" s="754">
        <v>14.940000000000001</v>
      </c>
      <c r="BI73" s="754">
        <v>21.8</v>
      </c>
      <c r="BJ73" s="754">
        <v>26.619999999999997</v>
      </c>
      <c r="BK73" s="754">
        <v>26.344000000000001</v>
      </c>
      <c r="BL73" s="936">
        <f>BL66/BL71</f>
        <v>24.41</v>
      </c>
      <c r="BM73" s="936">
        <f>BM66/BM71</f>
        <v>40.551532321679069</v>
      </c>
      <c r="BN73" s="690">
        <f>BN66/BN71</f>
        <v>56.034926105302205</v>
      </c>
      <c r="BO73" s="690">
        <f>BO66/BO71</f>
        <v>69.673781214771125</v>
      </c>
      <c r="BP73" s="690">
        <f t="shared" ref="BP73" si="287">BP66/BP71</f>
        <v>81.160816582461521</v>
      </c>
    </row>
    <row r="74" spans="1:70">
      <c r="A74" s="24">
        <f>ROWS($A$2:A74)</f>
        <v>73</v>
      </c>
      <c r="C74" s="281"/>
      <c r="F74" s="281"/>
      <c r="J74" s="680"/>
      <c r="N74" s="680"/>
      <c r="R74" s="680"/>
      <c r="V74" s="680"/>
      <c r="Z74" s="680"/>
      <c r="AC74" s="1120"/>
      <c r="AD74" s="680"/>
      <c r="AG74" s="1120"/>
      <c r="AH74" s="680"/>
      <c r="AP74" s="680"/>
      <c r="AS74" s="1120"/>
      <c r="AT74" s="680"/>
      <c r="AW74" s="1120"/>
      <c r="AX74" s="680"/>
      <c r="BA74" s="1120"/>
      <c r="BN74" s="681"/>
      <c r="BO74" s="681"/>
      <c r="BP74" s="681"/>
    </row>
    <row r="75" spans="1:70" hidden="1">
      <c r="A75" s="24">
        <v>65</v>
      </c>
      <c r="B75" s="4" t="s">
        <v>198</v>
      </c>
      <c r="C75" s="565"/>
      <c r="D75" s="99"/>
      <c r="E75" s="99"/>
      <c r="F75" s="565">
        <v>61.071428571428569</v>
      </c>
      <c r="G75" s="100">
        <v>61</v>
      </c>
      <c r="H75" s="685">
        <v>61.544715447154466</v>
      </c>
      <c r="I75" s="685">
        <v>61.5</v>
      </c>
      <c r="J75" s="686">
        <v>61.386861313868614</v>
      </c>
      <c r="K75" s="685">
        <v>61.560693641618492</v>
      </c>
      <c r="L75" s="685">
        <v>61.466666666666669</v>
      </c>
      <c r="M75" s="685">
        <v>61.566265060240958</v>
      </c>
      <c r="N75" s="686">
        <v>61.944444444444443</v>
      </c>
      <c r="O75" s="685">
        <v>61.917098445595855</v>
      </c>
      <c r="P75" s="685">
        <v>62.272727272727273</v>
      </c>
      <c r="Q75" s="685">
        <v>62.472527472527474</v>
      </c>
      <c r="R75" s="686">
        <v>62.421875</v>
      </c>
      <c r="S75" s="685">
        <v>60.653266331658294</v>
      </c>
      <c r="T75" s="685">
        <v>60.696517412935322</v>
      </c>
      <c r="U75" s="685">
        <v>60.730593607305941</v>
      </c>
      <c r="V75" s="686">
        <v>59.705882352941181</v>
      </c>
      <c r="W75" s="685">
        <v>60.619834710743802</v>
      </c>
      <c r="X75" s="685">
        <v>60.627062706270628</v>
      </c>
      <c r="Y75" s="685">
        <v>60.909090909090907</v>
      </c>
      <c r="Z75" s="686">
        <v>60.853658536585364</v>
      </c>
      <c r="AA75" s="685">
        <v>60.939393939393938</v>
      </c>
      <c r="AB75" s="685">
        <v>60.999732691793646</v>
      </c>
      <c r="AC75" s="685">
        <v>60.999732691793646</v>
      </c>
      <c r="AD75" s="686">
        <v>60.999732691793646</v>
      </c>
      <c r="AE75" s="685">
        <v>50.375126732004063</v>
      </c>
      <c r="AF75" s="685">
        <v>50.375126732004063</v>
      </c>
      <c r="AG75" s="685">
        <v>61.785714285714285</v>
      </c>
      <c r="AH75" s="686">
        <v>48.181818181818187</v>
      </c>
      <c r="AI75" s="685">
        <v>56.686282508250798</v>
      </c>
      <c r="AJ75" s="685">
        <v>66.813186813186803</v>
      </c>
      <c r="AK75" s="685">
        <v>66.9242658423493</v>
      </c>
      <c r="AL75" s="686">
        <v>66.9242658423493</v>
      </c>
      <c r="AM75" s="685">
        <v>66.9242658423493</v>
      </c>
      <c r="AN75" s="685">
        <v>66.9242658423493</v>
      </c>
      <c r="AO75" s="685">
        <v>66.9242658423493</v>
      </c>
      <c r="AP75" s="1158"/>
      <c r="AQ75" s="755"/>
      <c r="AR75" s="755"/>
      <c r="AS75" s="1126"/>
      <c r="AT75" s="1158"/>
      <c r="AU75" s="755"/>
      <c r="AV75" s="755"/>
      <c r="AW75" s="1126"/>
      <c r="AX75" s="1158"/>
      <c r="AY75" s="755"/>
      <c r="AZ75" s="755"/>
      <c r="BA75" s="1126"/>
      <c r="BB75" s="685"/>
      <c r="BC75" s="685"/>
      <c r="BD75" s="685"/>
      <c r="BE75" s="754">
        <v>61.425438596491226</v>
      </c>
      <c r="BF75" s="754">
        <v>62.44274809160305</v>
      </c>
      <c r="BG75" s="754">
        <v>63.179271708683466</v>
      </c>
      <c r="BH75" s="754">
        <v>61.125563087974889</v>
      </c>
      <c r="BI75" s="754">
        <v>60.46546766976163</v>
      </c>
      <c r="BJ75" s="754">
        <v>60.752411715672672</v>
      </c>
      <c r="BK75" s="754">
        <v>61.402078815523815</v>
      </c>
      <c r="BL75" s="754">
        <v>66.01918842403272</v>
      </c>
      <c r="BM75" s="754">
        <v>66.019188424032706</v>
      </c>
      <c r="BN75" s="690">
        <v>67.533142708604103</v>
      </c>
      <c r="BO75" s="690">
        <v>67.533142708604103</v>
      </c>
      <c r="BP75" s="690">
        <v>67.533142708604103</v>
      </c>
    </row>
    <row r="76" spans="1:70" hidden="1">
      <c r="A76" s="24">
        <v>66</v>
      </c>
      <c r="B76" s="4" t="s">
        <v>199</v>
      </c>
      <c r="C76" s="565"/>
      <c r="D76" s="99"/>
      <c r="E76" s="99"/>
      <c r="F76" s="565">
        <v>61.071428571428569</v>
      </c>
      <c r="G76" s="100">
        <v>61</v>
      </c>
      <c r="H76" s="685">
        <v>61.544715447154466</v>
      </c>
      <c r="I76" s="685">
        <v>61.5</v>
      </c>
      <c r="J76" s="686">
        <v>61.386861313868614</v>
      </c>
      <c r="K76" s="685">
        <v>61.560693641618492</v>
      </c>
      <c r="L76" s="685">
        <v>61.466666666666669</v>
      </c>
      <c r="M76" s="685">
        <v>61.566265060240958</v>
      </c>
      <c r="N76" s="686">
        <v>61.944444444444443</v>
      </c>
      <c r="O76" s="685">
        <v>61.917098445595855</v>
      </c>
      <c r="P76" s="685">
        <v>62.272727272727273</v>
      </c>
      <c r="Q76" s="685">
        <v>62.472527472527474</v>
      </c>
      <c r="R76" s="686">
        <v>62.421875</v>
      </c>
      <c r="S76" s="685">
        <v>60.653266331658294</v>
      </c>
      <c r="T76" s="685">
        <v>60.696517412935322</v>
      </c>
      <c r="U76" s="685">
        <v>60.730593607305941</v>
      </c>
      <c r="V76" s="686">
        <v>59.705882352941181</v>
      </c>
      <c r="W76" s="685">
        <v>60.619834710743802</v>
      </c>
      <c r="X76" s="685">
        <v>60.627062706270628</v>
      </c>
      <c r="Y76" s="685">
        <v>60.909090909090907</v>
      </c>
      <c r="Z76" s="686">
        <v>60.853658536585364</v>
      </c>
      <c r="AA76" s="685">
        <v>60.939393939393938</v>
      </c>
      <c r="AB76" s="685">
        <v>61.016042780748663</v>
      </c>
      <c r="AC76" s="685">
        <v>61.1</v>
      </c>
      <c r="AD76" s="686">
        <v>61.1</v>
      </c>
      <c r="AE76" s="685">
        <v>51.435472739820568</v>
      </c>
      <c r="AF76" s="685">
        <v>61.1</v>
      </c>
      <c r="AG76" s="685">
        <v>62.29916897506925</v>
      </c>
      <c r="AH76" s="686">
        <v>48.181818181818187</v>
      </c>
      <c r="AI76" s="685">
        <v>66.631853785900788</v>
      </c>
      <c r="AJ76" s="685">
        <v>67.491278147795754</v>
      </c>
      <c r="AK76" s="685">
        <v>67.533142708604103</v>
      </c>
      <c r="AL76" s="686">
        <v>67.533142708604103</v>
      </c>
      <c r="AM76" s="685">
        <v>67.533142708604103</v>
      </c>
      <c r="AN76" s="685">
        <v>67.533142708604103</v>
      </c>
      <c r="AO76" s="685">
        <v>67.533142708604103</v>
      </c>
      <c r="AP76" s="701"/>
      <c r="AQ76" s="700"/>
      <c r="AR76" s="700"/>
      <c r="AS76" s="1126"/>
      <c r="AT76" s="701"/>
      <c r="AU76" s="700"/>
      <c r="AV76" s="700"/>
      <c r="AW76" s="1126"/>
      <c r="AX76" s="701"/>
      <c r="AY76" s="700"/>
      <c r="AZ76" s="700"/>
      <c r="BA76" s="1126"/>
      <c r="BB76" s="685"/>
      <c r="BC76" s="685"/>
      <c r="BD76" s="685"/>
      <c r="BE76" s="754">
        <v>61.425438596491226</v>
      </c>
      <c r="BF76" s="754">
        <v>62.44274809160305</v>
      </c>
      <c r="BG76" s="754">
        <v>63.179271708683466</v>
      </c>
      <c r="BH76" s="754">
        <v>61.125563087974889</v>
      </c>
      <c r="BI76" s="754">
        <v>60.46546766976163</v>
      </c>
      <c r="BJ76" s="754">
        <v>61.1</v>
      </c>
      <c r="BK76" s="754">
        <v>62.339052535681745</v>
      </c>
      <c r="BL76" s="754">
        <v>66.547760602457387</v>
      </c>
      <c r="BM76" s="754">
        <v>66.547760602457387</v>
      </c>
      <c r="BN76" s="690">
        <v>67.533142708604103</v>
      </c>
      <c r="BO76" s="690">
        <v>67.533142708604103</v>
      </c>
      <c r="BP76" s="690">
        <v>67.533142708604103</v>
      </c>
    </row>
    <row r="77" spans="1:70">
      <c r="A77" s="24">
        <f>ROWS($A$2:A77)</f>
        <v>76</v>
      </c>
      <c r="B77" s="4" t="s">
        <v>201</v>
      </c>
      <c r="C77" s="281"/>
      <c r="F77" s="281"/>
      <c r="J77" s="680"/>
      <c r="N77" s="680"/>
      <c r="R77" s="680"/>
      <c r="V77" s="680"/>
      <c r="Z77" s="680"/>
      <c r="AC77" s="1120"/>
      <c r="AD77" s="680"/>
      <c r="AG77" s="1120"/>
      <c r="AH77" s="680"/>
      <c r="AJ77" s="244">
        <f>AJ76-AH76</f>
        <v>19.309459965977567</v>
      </c>
      <c r="AP77" s="680"/>
      <c r="AS77" s="1120"/>
      <c r="AT77" s="680"/>
      <c r="AW77" s="1120"/>
      <c r="AX77" s="680"/>
      <c r="BA77" s="1120"/>
      <c r="BE77" s="864">
        <v>0.11764705882352944</v>
      </c>
      <c r="BF77" s="864">
        <f t="shared" ref="BF77:BP77" si="288">BF72/BE72-1</f>
        <v>0.43640350877192957</v>
      </c>
      <c r="BG77" s="864">
        <f t="shared" si="288"/>
        <v>9.0076335877862679E-2</v>
      </c>
      <c r="BH77" s="864">
        <f t="shared" si="288"/>
        <v>4.6218487394958041E-2</v>
      </c>
      <c r="BI77" s="864">
        <f>BI72/BH72-1</f>
        <v>0.45917001338688079</v>
      </c>
      <c r="BJ77" s="864">
        <f>BJ72/BI72-1</f>
        <v>0.22110091743119242</v>
      </c>
      <c r="BK77" s="864">
        <f t="shared" si="288"/>
        <v>4.7332832456798979E-3</v>
      </c>
      <c r="BL77" s="864">
        <f t="shared" si="288"/>
        <v>-8.0236297016376135E-2</v>
      </c>
      <c r="BM77" s="864">
        <f t="shared" si="288"/>
        <v>0.66541890944225601</v>
      </c>
      <c r="BN77" s="866">
        <f>BN72/BM72-1</f>
        <v>0.3775724544374357</v>
      </c>
      <c r="BO77" s="866">
        <f>BO72/BN72-1</f>
        <v>0.24339918078661249</v>
      </c>
      <c r="BP77" s="866">
        <f t="shared" si="288"/>
        <v>0.16486883828339005</v>
      </c>
    </row>
    <row r="78" spans="1:70">
      <c r="A78" s="24">
        <f>ROWS($A$2:A78)</f>
        <v>77</v>
      </c>
      <c r="B78" s="4" t="s">
        <v>202</v>
      </c>
      <c r="C78" s="281"/>
      <c r="F78" s="281"/>
      <c r="J78" s="680"/>
      <c r="N78" s="680"/>
      <c r="R78" s="680"/>
      <c r="V78" s="680"/>
      <c r="Z78" s="680"/>
      <c r="AC78" s="1120"/>
      <c r="AD78" s="680"/>
      <c r="AG78" s="1120"/>
      <c r="AH78" s="680"/>
      <c r="AP78" s="680"/>
      <c r="AS78" s="1120"/>
      <c r="AT78" s="680"/>
      <c r="AW78" s="1120"/>
      <c r="AX78" s="680"/>
      <c r="BA78" s="1120"/>
      <c r="BE78" s="864">
        <v>0.11764705882352944</v>
      </c>
      <c r="BF78" s="864">
        <f t="shared" ref="BF78:BP78" si="289">BF73/BE73-1</f>
        <v>0.43640350877192957</v>
      </c>
      <c r="BG78" s="864">
        <f t="shared" si="289"/>
        <v>9.0076335877862679E-2</v>
      </c>
      <c r="BH78" s="864">
        <f t="shared" si="289"/>
        <v>4.6218487394958041E-2</v>
      </c>
      <c r="BI78" s="864">
        <f>BI73/BH73-1</f>
        <v>0.45917001338688079</v>
      </c>
      <c r="BJ78" s="864">
        <f t="shared" si="289"/>
        <v>0.22110091743119242</v>
      </c>
      <c r="BK78" s="864">
        <f t="shared" si="289"/>
        <v>-1.0368144252441591E-2</v>
      </c>
      <c r="BL78" s="864">
        <f>BL73/BK73-1</f>
        <v>-7.3413300941390869E-2</v>
      </c>
      <c r="BM78" s="864">
        <f>BM73/BL73-1</f>
        <v>0.66126719875784801</v>
      </c>
      <c r="BN78" s="866">
        <f t="shared" si="289"/>
        <v>0.38182019019157076</v>
      </c>
      <c r="BO78" s="866">
        <f t="shared" si="289"/>
        <v>0.24339918078661249</v>
      </c>
      <c r="BP78" s="866">
        <f t="shared" si="289"/>
        <v>0.16486883828339005</v>
      </c>
    </row>
    <row r="79" spans="1:70">
      <c r="A79" s="24"/>
      <c r="C79" s="281"/>
      <c r="F79" s="281"/>
      <c r="J79" s="680"/>
      <c r="N79" s="680"/>
      <c r="R79" s="680"/>
      <c r="V79" s="680"/>
      <c r="Z79" s="680"/>
      <c r="AD79" s="680"/>
      <c r="AH79" s="680"/>
      <c r="AP79" s="680"/>
      <c r="AS79" s="1120"/>
      <c r="AT79" s="680"/>
      <c r="AW79" s="1120"/>
      <c r="AX79" s="680"/>
      <c r="BA79" s="1120"/>
      <c r="BN79" s="681"/>
      <c r="BO79" s="681"/>
      <c r="BP79" s="681"/>
    </row>
    <row r="80" spans="1:70">
      <c r="A80" s="24">
        <f>ROWS($A$2:A80)</f>
        <v>79</v>
      </c>
      <c r="B80" s="4" t="s">
        <v>203</v>
      </c>
      <c r="C80" s="281"/>
      <c r="F80" s="510">
        <v>0.35435181266751303</v>
      </c>
      <c r="G80" s="78">
        <f t="shared" ref="G80:AC80" si="290">(G12-G15)/G12</f>
        <v>0.35010851871947912</v>
      </c>
      <c r="H80" s="835">
        <f t="shared" si="290"/>
        <v>0.36404494382022473</v>
      </c>
      <c r="I80" s="835">
        <f t="shared" si="290"/>
        <v>0.3661257606490872</v>
      </c>
      <c r="J80" s="836">
        <v>0.33778888194878204</v>
      </c>
      <c r="K80" s="835">
        <f t="shared" si="290"/>
        <v>0.34426229508196721</v>
      </c>
      <c r="L80" s="835">
        <f t="shared" si="290"/>
        <v>0.34782138609579416</v>
      </c>
      <c r="M80" s="835">
        <f t="shared" si="290"/>
        <v>0.34435025217297993</v>
      </c>
      <c r="N80" s="836">
        <f t="shared" si="290"/>
        <v>0.33854329477961864</v>
      </c>
      <c r="O80" s="835">
        <f t="shared" si="290"/>
        <v>0.34559460760712568</v>
      </c>
      <c r="P80" s="835">
        <f t="shared" si="290"/>
        <v>0.34143841997391466</v>
      </c>
      <c r="Q80" s="835">
        <f t="shared" si="290"/>
        <v>0.34291895790137927</v>
      </c>
      <c r="R80" s="836">
        <f t="shared" si="290"/>
        <v>0.31494796594134344</v>
      </c>
      <c r="S80" s="835">
        <f t="shared" si="290"/>
        <v>0.32599462598595824</v>
      </c>
      <c r="T80" s="835">
        <f t="shared" si="290"/>
        <v>0.32000671930119268</v>
      </c>
      <c r="U80" s="835">
        <f t="shared" si="290"/>
        <v>0.31985731272294887</v>
      </c>
      <c r="V80" s="836">
        <f t="shared" si="290"/>
        <v>0.2987137383689108</v>
      </c>
      <c r="W80" s="835">
        <f t="shared" si="290"/>
        <v>0.32101440040779916</v>
      </c>
      <c r="X80" s="835">
        <f t="shared" si="290"/>
        <v>0.32392497436825279</v>
      </c>
      <c r="Y80" s="835">
        <f t="shared" si="290"/>
        <v>0.33329508290779736</v>
      </c>
      <c r="Z80" s="836">
        <f t="shared" si="290"/>
        <v>0.30365147042746254</v>
      </c>
      <c r="AA80" s="835">
        <f t="shared" si="290"/>
        <v>0.3204042053689905</v>
      </c>
      <c r="AB80" s="835">
        <f t="shared" si="290"/>
        <v>0.33369004767000682</v>
      </c>
      <c r="AC80" s="835">
        <f t="shared" si="290"/>
        <v>0.34073732718894006</v>
      </c>
      <c r="AD80" s="836">
        <f t="shared" ref="AD80:AW80" si="291">(AD12-AD15)/AD12</f>
        <v>0.30657361548851869</v>
      </c>
      <c r="AE80" s="835">
        <f t="shared" si="291"/>
        <v>0.32457604779896321</v>
      </c>
      <c r="AF80" s="835">
        <f t="shared" si="291"/>
        <v>0.33047819911333015</v>
      </c>
      <c r="AG80" s="835">
        <f t="shared" si="291"/>
        <v>0.34700000000000009</v>
      </c>
      <c r="AH80" s="836">
        <f t="shared" si="291"/>
        <v>0.32226040473463152</v>
      </c>
      <c r="AI80" s="835">
        <f t="shared" si="291"/>
        <v>0.31164066631411952</v>
      </c>
      <c r="AJ80" s="835">
        <f t="shared" si="291"/>
        <v>0.33399999999999991</v>
      </c>
      <c r="AK80" s="835">
        <f t="shared" si="291"/>
        <v>0.34302495470749811</v>
      </c>
      <c r="AL80" s="836">
        <f t="shared" si="291"/>
        <v>0.33701133221276364</v>
      </c>
      <c r="AM80" s="835">
        <f t="shared" si="291"/>
        <v>0.3401660937852824</v>
      </c>
      <c r="AN80" s="835">
        <f t="shared" ref="AN80" si="292">(AN12-AN15)/AN12</f>
        <v>0.33564929693961953</v>
      </c>
      <c r="AO80" s="835">
        <f t="shared" ref="AO80" si="293">(AO12-AO15)/AO12</f>
        <v>0.34378932230810716</v>
      </c>
      <c r="AP80" s="836">
        <f t="shared" si="291"/>
        <v>0.3255297056622441</v>
      </c>
      <c r="AQ80" s="835">
        <f t="shared" si="291"/>
        <v>0.36214324346772547</v>
      </c>
      <c r="AR80" s="835">
        <f t="shared" si="291"/>
        <v>0.3490005512164075</v>
      </c>
      <c r="AS80" s="1159">
        <f t="shared" si="291"/>
        <v>0.34932861059479747</v>
      </c>
      <c r="AT80" s="836">
        <f t="shared" si="291"/>
        <v>0.36424484704087173</v>
      </c>
      <c r="AU80" s="835">
        <f t="shared" si="291"/>
        <v>0.35422976834669817</v>
      </c>
      <c r="AV80" s="835">
        <f t="shared" si="291"/>
        <v>0.33808502061220536</v>
      </c>
      <c r="AW80" s="1159">
        <f t="shared" si="291"/>
        <v>0.34451930588142921</v>
      </c>
      <c r="AX80" s="836">
        <f t="shared" ref="AX80:BA80" si="294">(AX12-AX15)/AX12</f>
        <v>0.35692180285058206</v>
      </c>
      <c r="AY80" s="835">
        <f t="shared" si="294"/>
        <v>0.33939846784391381</v>
      </c>
      <c r="AZ80" s="835">
        <f t="shared" si="294"/>
        <v>0.33785317015345617</v>
      </c>
      <c r="BA80" s="1159">
        <f t="shared" si="294"/>
        <v>0.32515113587807215</v>
      </c>
      <c r="BB80" s="835"/>
      <c r="BC80" s="679"/>
      <c r="BD80" s="679"/>
      <c r="BE80" s="864">
        <v>0.3588620712709768</v>
      </c>
      <c r="BF80" s="864">
        <f t="shared" ref="BF80:BO80" si="295">(BF12-BF15)/BF12</f>
        <v>0.34965453457374462</v>
      </c>
      <c r="BG80" s="864">
        <f t="shared" si="295"/>
        <v>0.34204928416071129</v>
      </c>
      <c r="BH80" s="864">
        <f t="shared" si="295"/>
        <v>0.3203011066312087</v>
      </c>
      <c r="BI80" s="864">
        <f t="shared" si="295"/>
        <v>0.32000932835820894</v>
      </c>
      <c r="BJ80" s="864">
        <f t="shared" si="295"/>
        <v>0.32549347440920323</v>
      </c>
      <c r="BK80" s="864">
        <f t="shared" si="295"/>
        <v>0.33200000000000002</v>
      </c>
      <c r="BL80" s="864">
        <f t="shared" si="295"/>
        <v>0.33738911482361905</v>
      </c>
      <c r="BM80" s="864">
        <f t="shared" ref="BM80" si="296">(BM12-BM15)/BM12</f>
        <v>0.33835892871295581</v>
      </c>
      <c r="BN80" s="866">
        <f t="shared" si="295"/>
        <v>0.34716305242012629</v>
      </c>
      <c r="BO80" s="866">
        <f t="shared" si="295"/>
        <v>0.34999864143917087</v>
      </c>
      <c r="BP80" s="866">
        <f t="shared" ref="BP80" si="297">(BP12-BP15)/BP12</f>
        <v>0.3394335694363661</v>
      </c>
      <c r="BQ80" s="833"/>
    </row>
    <row r="81" spans="1:69">
      <c r="A81" s="24">
        <f>ROWS($A$2:A81)</f>
        <v>80</v>
      </c>
      <c r="B81" s="4" t="s">
        <v>178</v>
      </c>
      <c r="C81" s="281"/>
      <c r="F81" s="510"/>
      <c r="G81" s="78"/>
      <c r="H81" s="835"/>
      <c r="I81" s="835"/>
      <c r="J81" s="836"/>
      <c r="K81" s="835"/>
      <c r="L81" s="835"/>
      <c r="M81" s="835"/>
      <c r="N81" s="836"/>
      <c r="O81" s="835"/>
      <c r="P81" s="835"/>
      <c r="Q81" s="835"/>
      <c r="R81" s="836"/>
      <c r="S81" s="835"/>
      <c r="T81" s="835"/>
      <c r="U81" s="1159">
        <f t="shared" ref="U81:AW81" si="298">(U12-U15-U20)/U12</f>
        <v>0.17978596908442332</v>
      </c>
      <c r="V81" s="836">
        <f t="shared" si="298"/>
        <v>0.16139846743295019</v>
      </c>
      <c r="W81" s="835">
        <f t="shared" si="298"/>
        <v>0.18624952211036064</v>
      </c>
      <c r="X81" s="835">
        <f t="shared" si="298"/>
        <v>0.19456003859839574</v>
      </c>
      <c r="Y81" s="835">
        <f t="shared" si="298"/>
        <v>0.20362614034081128</v>
      </c>
      <c r="Z81" s="836">
        <f t="shared" si="298"/>
        <v>0.16464414562151525</v>
      </c>
      <c r="AA81" s="835">
        <f t="shared" si="298"/>
        <v>0.18352556905175055</v>
      </c>
      <c r="AB81" s="835">
        <f t="shared" si="298"/>
        <v>0.18469695495670785</v>
      </c>
      <c r="AC81" s="835">
        <f t="shared" si="298"/>
        <v>0.19557603686635944</v>
      </c>
      <c r="AD81" s="836">
        <f t="shared" si="298"/>
        <v>0.15961278703286808</v>
      </c>
      <c r="AE81" s="835">
        <f t="shared" si="298"/>
        <v>0.17555575081275809</v>
      </c>
      <c r="AF81" s="835">
        <f t="shared" si="298"/>
        <v>0.17948607584039944</v>
      </c>
      <c r="AG81" s="835">
        <f t="shared" si="298"/>
        <v>0.19211525189786061</v>
      </c>
      <c r="AH81" s="836">
        <f t="shared" si="298"/>
        <v>0.18811251113656613</v>
      </c>
      <c r="AI81" s="835">
        <f t="shared" si="298"/>
        <v>0.17008196721311475</v>
      </c>
      <c r="AJ81" s="835">
        <f t="shared" si="298"/>
        <v>0.1627038457996991</v>
      </c>
      <c r="AK81" s="835">
        <f t="shared" si="298"/>
        <v>0.18955642569107592</v>
      </c>
      <c r="AL81" s="836">
        <f t="shared" si="298"/>
        <v>0.18722550561188528</v>
      </c>
      <c r="AM81" s="835">
        <f t="shared" si="298"/>
        <v>0.19677848307700027</v>
      </c>
      <c r="AN81" s="835">
        <f t="shared" ref="AN81" si="299">(AN12-AN15-AN20)/AN12</f>
        <v>0.19328843199810941</v>
      </c>
      <c r="AO81" s="835">
        <f t="shared" ref="AO81" si="300">(AO12-AO15-AO20)/AO12</f>
        <v>0.21456498292288334</v>
      </c>
      <c r="AP81" s="836">
        <f t="shared" si="298"/>
        <v>0.2055297056622441</v>
      </c>
      <c r="AQ81" s="835">
        <f t="shared" si="298"/>
        <v>0.22214324346772546</v>
      </c>
      <c r="AR81" s="835">
        <f t="shared" si="298"/>
        <v>0.20900055121640748</v>
      </c>
      <c r="AS81" s="1159">
        <f t="shared" si="298"/>
        <v>0.21432861059479749</v>
      </c>
      <c r="AT81" s="836">
        <f t="shared" si="298"/>
        <v>0.22424484704087172</v>
      </c>
      <c r="AU81" s="835">
        <f t="shared" si="298"/>
        <v>0.21422976834669816</v>
      </c>
      <c r="AV81" s="835">
        <f t="shared" si="298"/>
        <v>0.19808502061220537</v>
      </c>
      <c r="AW81" s="1159">
        <f t="shared" si="298"/>
        <v>0.20451930588142922</v>
      </c>
      <c r="AX81" s="836">
        <f t="shared" ref="AX81:BA81" si="301">(AX12-AX15-AX20)/AX12</f>
        <v>0.21692180285058202</v>
      </c>
      <c r="AY81" s="835">
        <f t="shared" si="301"/>
        <v>0.20439846784391386</v>
      </c>
      <c r="AZ81" s="835">
        <f t="shared" si="301"/>
        <v>0.19785317015345619</v>
      </c>
      <c r="BA81" s="1159">
        <f t="shared" si="301"/>
        <v>0.19515113587807217</v>
      </c>
      <c r="BB81" s="835"/>
      <c r="BC81" s="679"/>
      <c r="BD81" s="679"/>
      <c r="BE81" s="864">
        <v>0.16754696797486127</v>
      </c>
      <c r="BF81" s="864">
        <f t="shared" ref="BF81:BO81" si="302">(BF12-BF15-BF20)/BF12</f>
        <v>0.17550731733855612</v>
      </c>
      <c r="BG81" s="864">
        <f t="shared" si="302"/>
        <v>0.17242285905494872</v>
      </c>
      <c r="BH81" s="864">
        <f t="shared" si="302"/>
        <v>0.17995624946384148</v>
      </c>
      <c r="BI81" s="864">
        <f t="shared" si="302"/>
        <v>0.18743781094527362</v>
      </c>
      <c r="BJ81" s="864">
        <f t="shared" si="302"/>
        <v>0.18277892845556859</v>
      </c>
      <c r="BK81" s="864">
        <f t="shared" si="302"/>
        <v>0.17997757772869052</v>
      </c>
      <c r="BL81" s="864">
        <f t="shared" si="302"/>
        <v>0.15704074279608723</v>
      </c>
      <c r="BM81" s="864">
        <f t="shared" ref="BM81" si="303">(BM12-BM15-BM20)/BM12</f>
        <v>0.1977906076438635</v>
      </c>
      <c r="BN81" s="866">
        <f t="shared" si="302"/>
        <v>0.21294592717656907</v>
      </c>
      <c r="BO81" s="866">
        <f t="shared" si="302"/>
        <v>0.20999864143917085</v>
      </c>
      <c r="BP81" s="866">
        <f t="shared" ref="BP81" si="304">(BP12-BP15-BP20)/BP12</f>
        <v>0.2032862559590895</v>
      </c>
      <c r="BQ81" s="833"/>
    </row>
    <row r="82" spans="1:69">
      <c r="A82" s="24">
        <f>ROWS($A$2:A82)</f>
        <v>81</v>
      </c>
      <c r="B82" s="4" t="s">
        <v>51</v>
      </c>
      <c r="C82" s="281"/>
      <c r="F82" s="510">
        <v>0.15629849061926929</v>
      </c>
      <c r="G82" s="78">
        <f t="shared" ref="G82:AC82" si="305">G30</f>
        <v>0.16142159522517635</v>
      </c>
      <c r="H82" s="835">
        <f t="shared" si="305"/>
        <v>0.17131526768010574</v>
      </c>
      <c r="I82" s="835">
        <f t="shared" si="305"/>
        <v>0.17976673427991888</v>
      </c>
      <c r="J82" s="836">
        <v>0.1607745159275453</v>
      </c>
      <c r="K82" s="835">
        <f t="shared" si="305"/>
        <v>0.17803507967442395</v>
      </c>
      <c r="L82" s="835">
        <f t="shared" si="305"/>
        <v>0.18131689912422966</v>
      </c>
      <c r="M82" s="835">
        <f t="shared" si="305"/>
        <v>0.17008262689129736</v>
      </c>
      <c r="N82" s="836">
        <f t="shared" si="305"/>
        <v>0.14650411586954257</v>
      </c>
      <c r="O82" s="835">
        <f t="shared" si="305"/>
        <v>0.18276360134809821</v>
      </c>
      <c r="P82" s="835">
        <f t="shared" si="305"/>
        <v>0.18073411589342278</v>
      </c>
      <c r="Q82" s="835">
        <f t="shared" si="305"/>
        <v>0.17767961777697647</v>
      </c>
      <c r="R82" s="836">
        <f t="shared" si="305"/>
        <v>0.15950804162724694</v>
      </c>
      <c r="S82" s="835">
        <f t="shared" si="305"/>
        <v>0.17751581867036492</v>
      </c>
      <c r="T82" s="835">
        <f t="shared" si="305"/>
        <v>0.16873845120107508</v>
      </c>
      <c r="U82" s="835">
        <f t="shared" si="305"/>
        <v>0.16821244550138723</v>
      </c>
      <c r="V82" s="836">
        <f t="shared" si="305"/>
        <v>0.14402025177887248</v>
      </c>
      <c r="W82" s="835">
        <f t="shared" si="305"/>
        <v>0.17439785905441571</v>
      </c>
      <c r="X82" s="835">
        <f t="shared" si="305"/>
        <v>0.18213617996502021</v>
      </c>
      <c r="Y82" s="835">
        <f t="shared" si="305"/>
        <v>0.1889379769349934</v>
      </c>
      <c r="Z82" s="836">
        <f t="shared" si="305"/>
        <v>0.15950584891221165</v>
      </c>
      <c r="AA82" s="835">
        <f t="shared" si="305"/>
        <v>0.17576809227314483</v>
      </c>
      <c r="AB82" s="835">
        <f t="shared" si="305"/>
        <v>0.17584395369199338</v>
      </c>
      <c r="AC82" s="835">
        <f t="shared" si="305"/>
        <v>0.18783410138248849</v>
      </c>
      <c r="AD82" s="836">
        <f t="shared" ref="AD82:AW82" si="306">AD30</f>
        <v>0.14930211616389014</v>
      </c>
      <c r="AE82" s="835">
        <f t="shared" si="306"/>
        <v>0.15257885950267991</v>
      </c>
      <c r="AF82" s="835">
        <f t="shared" si="306"/>
        <v>0.17268540438169844</v>
      </c>
      <c r="AG82" s="835">
        <f t="shared" si="306"/>
        <v>0.18253968253968253</v>
      </c>
      <c r="AH82" s="836">
        <f t="shared" si="306"/>
        <v>0.17966993339272835</v>
      </c>
      <c r="AI82" s="835">
        <f t="shared" si="306"/>
        <v>0.15322580645161291</v>
      </c>
      <c r="AJ82" s="835">
        <f t="shared" si="306"/>
        <v>0.1552131610447807</v>
      </c>
      <c r="AK82" s="835">
        <f t="shared" si="306"/>
        <v>0.15922505990298638</v>
      </c>
      <c r="AL82" s="836">
        <f t="shared" si="306"/>
        <v>0.15756655641706882</v>
      </c>
      <c r="AM82" s="835">
        <f t="shared" si="306"/>
        <v>0.18270316381062299</v>
      </c>
      <c r="AN82" s="835">
        <f t="shared" ref="AN82" si="307">AN30</f>
        <v>0.18279569892473119</v>
      </c>
      <c r="AO82" s="835">
        <f t="shared" ref="AO82" si="308">AO30</f>
        <v>0.20600395470070107</v>
      </c>
      <c r="AP82" s="836">
        <f t="shared" si="306"/>
        <v>0.19852970566224407</v>
      </c>
      <c r="AQ82" s="835">
        <f t="shared" si="306"/>
        <v>0.21514324346772551</v>
      </c>
      <c r="AR82" s="835">
        <f t="shared" si="306"/>
        <v>0.20200055121640742</v>
      </c>
      <c r="AS82" s="1159">
        <f t="shared" si="306"/>
        <v>0.20732861059479746</v>
      </c>
      <c r="AT82" s="836">
        <f t="shared" si="306"/>
        <v>0.21724484704087174</v>
      </c>
      <c r="AU82" s="835">
        <f t="shared" si="306"/>
        <v>0.20722976834669815</v>
      </c>
      <c r="AV82" s="835">
        <f t="shared" si="306"/>
        <v>0.19108502061220536</v>
      </c>
      <c r="AW82" s="1159">
        <f t="shared" si="306"/>
        <v>0.19751930588142921</v>
      </c>
      <c r="AX82" s="836">
        <f t="shared" ref="AX82:BA82" si="309">AX30</f>
        <v>0.20992180285058198</v>
      </c>
      <c r="AY82" s="835">
        <f t="shared" si="309"/>
        <v>0.19739846784391385</v>
      </c>
      <c r="AZ82" s="835">
        <f t="shared" si="309"/>
        <v>0.19085317015345604</v>
      </c>
      <c r="BA82" s="1159">
        <f t="shared" si="309"/>
        <v>0.18815113587807222</v>
      </c>
      <c r="BB82" s="835"/>
      <c r="BC82" s="679"/>
      <c r="BD82" s="679"/>
      <c r="BE82" s="864">
        <v>0.16754696797486127</v>
      </c>
      <c r="BF82" s="864">
        <f t="shared" ref="BF82:BO82" si="310">BF30</f>
        <v>0.17550731733855612</v>
      </c>
      <c r="BG82" s="864">
        <f t="shared" si="310"/>
        <v>0.17201653959224647</v>
      </c>
      <c r="BH82" s="864">
        <f t="shared" si="310"/>
        <v>0.16865402762288753</v>
      </c>
      <c r="BI82" s="864">
        <f t="shared" si="310"/>
        <v>0.17341417910447762</v>
      </c>
      <c r="BJ82" s="864">
        <f t="shared" si="310"/>
        <v>0.17534249993761386</v>
      </c>
      <c r="BK82" s="864">
        <f t="shared" si="310"/>
        <v>0.16836683723873058</v>
      </c>
      <c r="BL82" s="864">
        <f t="shared" si="310"/>
        <v>0.14261221041471678</v>
      </c>
      <c r="BM82" s="864">
        <f t="shared" ref="BM82" si="311">BM30</f>
        <v>0.18572552079840515</v>
      </c>
      <c r="BN82" s="866">
        <f t="shared" si="310"/>
        <v>0.20594592717656912</v>
      </c>
      <c r="BO82" s="866">
        <f t="shared" si="310"/>
        <v>0.20299864143917085</v>
      </c>
      <c r="BP82" s="866">
        <f t="shared" ref="BP82" si="312">BP30</f>
        <v>0.19628625595908952</v>
      </c>
      <c r="BQ82" s="833"/>
    </row>
    <row r="83" spans="1:69">
      <c r="A83" s="24">
        <f>ROWS($A$2:A83)</f>
        <v>82</v>
      </c>
      <c r="B83" s="4" t="s">
        <v>204</v>
      </c>
      <c r="C83" s="281"/>
      <c r="F83" s="510">
        <v>0.11172238679644519</v>
      </c>
      <c r="G83" s="78">
        <f t="shared" ref="G83:AC83" si="313">G40</f>
        <v>0.11516549104720564</v>
      </c>
      <c r="H83" s="835">
        <f t="shared" si="313"/>
        <v>0.13020489094514209</v>
      </c>
      <c r="I83" s="835">
        <f t="shared" si="313"/>
        <v>0.14110040567951318</v>
      </c>
      <c r="J83" s="836">
        <v>0.12242348532167395</v>
      </c>
      <c r="K83" s="835">
        <f t="shared" si="313"/>
        <v>0.1420382895792732</v>
      </c>
      <c r="L83" s="835">
        <f t="shared" si="313"/>
        <v>0.14790788193318197</v>
      </c>
      <c r="M83" s="835">
        <f t="shared" si="313"/>
        <v>0.13810494688271274</v>
      </c>
      <c r="N83" s="836">
        <f t="shared" si="313"/>
        <v>0.10472022507033447</v>
      </c>
      <c r="O83" s="835">
        <f t="shared" si="313"/>
        <v>0.13972075108329321</v>
      </c>
      <c r="P83" s="835">
        <f t="shared" si="313"/>
        <v>0.13890441587479038</v>
      </c>
      <c r="Q83" s="835">
        <f t="shared" si="313"/>
        <v>0.13864599296853872</v>
      </c>
      <c r="R83" s="836">
        <f t="shared" si="313"/>
        <v>0.11551561021759697</v>
      </c>
      <c r="S83" s="835">
        <f t="shared" si="313"/>
        <v>0.13764410158620091</v>
      </c>
      <c r="T83" s="835">
        <f t="shared" si="313"/>
        <v>0.12993448681337141</v>
      </c>
      <c r="U83" s="835">
        <f t="shared" si="313"/>
        <v>0.13261989694807769</v>
      </c>
      <c r="V83" s="836">
        <f t="shared" si="313"/>
        <v>0.10816912972085387</v>
      </c>
      <c r="W83" s="835">
        <f t="shared" si="313"/>
        <v>0.13629412514336689</v>
      </c>
      <c r="X83" s="835">
        <f t="shared" si="313"/>
        <v>0.1480007237199204</v>
      </c>
      <c r="Y83" s="835">
        <f t="shared" si="313"/>
        <v>0.15543060416547133</v>
      </c>
      <c r="Z83" s="836">
        <f t="shared" si="313"/>
        <v>0.12506832841368754</v>
      </c>
      <c r="AA83" s="835">
        <f t="shared" si="313"/>
        <v>0.14443196897009289</v>
      </c>
      <c r="AB83" s="835">
        <f t="shared" si="313"/>
        <v>0.14549080649868665</v>
      </c>
      <c r="AC83" s="835">
        <f t="shared" si="313"/>
        <v>0.15479262672811059</v>
      </c>
      <c r="AD83" s="836">
        <f t="shared" ref="AD83:AW83" si="314">AD40</f>
        <v>0.11521837010355696</v>
      </c>
      <c r="AE83" s="835">
        <f t="shared" si="314"/>
        <v>0.11866268341973464</v>
      </c>
      <c r="AF83" s="835">
        <f t="shared" si="314"/>
        <v>0.1377781603753282</v>
      </c>
      <c r="AG83" s="835">
        <f t="shared" si="314"/>
        <v>0.14837819185645273</v>
      </c>
      <c r="AH83" s="836">
        <f t="shared" si="314"/>
        <v>0.14925119850663951</v>
      </c>
      <c r="AI83" s="835">
        <f t="shared" si="314"/>
        <v>0.11554732945531465</v>
      </c>
      <c r="AJ83" s="835">
        <f t="shared" si="314"/>
        <v>0.11945612473527516</v>
      </c>
      <c r="AK83" s="835">
        <f t="shared" si="314"/>
        <v>0.12258196481795336</v>
      </c>
      <c r="AL83" s="884">
        <f t="shared" si="314"/>
        <v>0.11440654991053516</v>
      </c>
      <c r="AM83" s="903">
        <f t="shared" ref="AM83:AN83" si="315">AM40</f>
        <v>0.13957397696765939</v>
      </c>
      <c r="AN83" s="903">
        <f t="shared" si="315"/>
        <v>0.1424317617866005</v>
      </c>
      <c r="AO83" s="903">
        <f t="shared" ref="AO83" si="316">AO40</f>
        <v>0.16555815207621788</v>
      </c>
      <c r="AP83" s="836">
        <f t="shared" si="314"/>
        <v>0.14352970566224407</v>
      </c>
      <c r="AQ83" s="835">
        <f t="shared" si="314"/>
        <v>0.16414324346772552</v>
      </c>
      <c r="AR83" s="835">
        <f t="shared" si="314"/>
        <v>0.1510005512164074</v>
      </c>
      <c r="AS83" s="1159">
        <f t="shared" si="314"/>
        <v>0.15632861059479747</v>
      </c>
      <c r="AT83" s="836">
        <f t="shared" si="314"/>
        <v>0.16624484704087172</v>
      </c>
      <c r="AU83" s="835">
        <f t="shared" si="314"/>
        <v>0.15622976834669816</v>
      </c>
      <c r="AV83" s="835">
        <f t="shared" si="314"/>
        <v>0.15108502061220536</v>
      </c>
      <c r="AW83" s="1159">
        <f t="shared" si="314"/>
        <v>0.14651930588142922</v>
      </c>
      <c r="AX83" s="836">
        <f t="shared" ref="AX83:BA83" si="317">AX40</f>
        <v>0.15892180285058199</v>
      </c>
      <c r="AY83" s="835">
        <f t="shared" si="317"/>
        <v>0.14639846784391386</v>
      </c>
      <c r="AZ83" s="835">
        <f t="shared" si="317"/>
        <v>0.15085317015345603</v>
      </c>
      <c r="BA83" s="1159">
        <f t="shared" si="317"/>
        <v>0.14815113587807224</v>
      </c>
      <c r="BB83" s="835"/>
      <c r="BC83" s="679"/>
      <c r="BD83" s="679"/>
      <c r="BE83" s="864">
        <v>0.12495821354549709</v>
      </c>
      <c r="BF83" s="864">
        <f t="shared" ref="BF83:BO83" si="318">BF40</f>
        <v>0.14155921875850064</v>
      </c>
      <c r="BG83" s="864">
        <f t="shared" si="318"/>
        <v>0.13066755897607496</v>
      </c>
      <c r="BH83" s="864">
        <f t="shared" si="318"/>
        <v>0.12927854508020931</v>
      </c>
      <c r="BI83" s="864">
        <f t="shared" si="318"/>
        <v>0.13809079601990049</v>
      </c>
      <c r="BJ83" s="864">
        <f t="shared" si="318"/>
        <v>0.14308886282534375</v>
      </c>
      <c r="BK83" s="864">
        <f t="shared" si="318"/>
        <v>0.13537723806458057</v>
      </c>
      <c r="BL83" s="864">
        <f t="shared" si="318"/>
        <v>0.10719521588960765</v>
      </c>
      <c r="BM83" s="864">
        <f t="shared" ref="BM83" si="319">BM40</f>
        <v>0.14415309674626739</v>
      </c>
      <c r="BN83" s="866">
        <f t="shared" si="318"/>
        <v>0.15405916683965146</v>
      </c>
      <c r="BO83" s="866">
        <f t="shared" si="318"/>
        <v>0.154789418698246</v>
      </c>
      <c r="BP83" s="866">
        <f t="shared" ref="BP83" si="320">BP40</f>
        <v>0.1509717107374586</v>
      </c>
      <c r="BQ83" s="833"/>
    </row>
    <row r="84" spans="1:69">
      <c r="A84" s="24">
        <f>ROWS($A$2:A84)</f>
        <v>83</v>
      </c>
      <c r="B84" s="4" t="s">
        <v>197</v>
      </c>
      <c r="C84" s="281"/>
      <c r="F84" s="510">
        <v>7.2365636902242916E-2</v>
      </c>
      <c r="G84" s="78">
        <f t="shared" ref="G84:I84" si="321">G67</f>
        <v>9.102007596310363E-2</v>
      </c>
      <c r="H84" s="835">
        <f t="shared" si="321"/>
        <v>0.10006609385327164</v>
      </c>
      <c r="I84" s="835">
        <f t="shared" si="321"/>
        <v>0.10915314401622718</v>
      </c>
      <c r="J84" s="836">
        <v>0.10505933791380387</v>
      </c>
      <c r="K84" s="835">
        <f t="shared" ref="K84:Q84" si="322">K67</f>
        <v>0.122091023730368</v>
      </c>
      <c r="L84" s="835">
        <f t="shared" si="322"/>
        <v>9.9686452589469135E-2</v>
      </c>
      <c r="M84" s="835">
        <f t="shared" si="322"/>
        <v>0.11567764781628929</v>
      </c>
      <c r="N84" s="836">
        <f t="shared" si="322"/>
        <v>8.7006356152964467E-2</v>
      </c>
      <c r="O84" s="835">
        <f t="shared" si="322"/>
        <v>0.1150698122291767</v>
      </c>
      <c r="P84" s="835">
        <f t="shared" si="322"/>
        <v>0.11486864169927334</v>
      </c>
      <c r="Q84" s="835">
        <f t="shared" si="322"/>
        <v>0.11403587848192553</v>
      </c>
      <c r="R84" s="836">
        <f t="shared" ref="R84:AG84" si="323">R67</f>
        <v>9.2620624408703875E-2</v>
      </c>
      <c r="S84" s="835">
        <f t="shared" si="323"/>
        <v>0.10461991852301292</v>
      </c>
      <c r="T84" s="835">
        <f t="shared" si="323"/>
        <v>0.10246934318830841</v>
      </c>
      <c r="U84" s="835">
        <f t="shared" si="323"/>
        <v>0.10543004359889022</v>
      </c>
      <c r="V84" s="836">
        <f t="shared" si="323"/>
        <v>8.3333333333333329E-2</v>
      </c>
      <c r="W84" s="835">
        <f t="shared" si="323"/>
        <v>9.3475213457372239E-2</v>
      </c>
      <c r="X84" s="835">
        <f t="shared" si="323"/>
        <v>0.11078945781315964</v>
      </c>
      <c r="Y84" s="835">
        <f t="shared" si="323"/>
        <v>0.11916920075735843</v>
      </c>
      <c r="Z84" s="836">
        <f t="shared" si="323"/>
        <v>8.183010823220728E-2</v>
      </c>
      <c r="AA84" s="835">
        <f t="shared" si="323"/>
        <v>0.10263345922221088</v>
      </c>
      <c r="AB84" s="835">
        <f t="shared" si="323"/>
        <v>0.11100301585757369</v>
      </c>
      <c r="AC84" s="835">
        <f t="shared" si="323"/>
        <v>0.10723502304147466</v>
      </c>
      <c r="AD84" s="836">
        <f t="shared" si="323"/>
        <v>7.1904547501125612E-2</v>
      </c>
      <c r="AE84" s="835">
        <f t="shared" si="323"/>
        <v>6.5486336877251569E-2</v>
      </c>
      <c r="AF84" s="835">
        <f t="shared" si="323"/>
        <v>8.7547884474669657E-2</v>
      </c>
      <c r="AG84" s="835">
        <f t="shared" si="323"/>
        <v>9.6488957902001377E-2</v>
      </c>
      <c r="AH84" s="836">
        <f t="shared" ref="AH84:AI84" si="324">AH67</f>
        <v>9.6898731492087734E-2</v>
      </c>
      <c r="AI84" s="903">
        <f t="shared" si="324"/>
        <v>6.6796668429402434E-2</v>
      </c>
      <c r="AJ84" s="835">
        <f t="shared" ref="AJ84:AO84" si="325">AJ67</f>
        <v>6.6142843988827846E-2</v>
      </c>
      <c r="AK84" s="835">
        <f t="shared" si="325"/>
        <v>7.6325170942668455E-2</v>
      </c>
      <c r="AL84" s="884">
        <f t="shared" si="325"/>
        <v>8.6021796887708071E-2</v>
      </c>
      <c r="AM84" s="903">
        <f t="shared" si="325"/>
        <v>9.4261986602102513E-2</v>
      </c>
      <c r="AN84" s="903">
        <f t="shared" si="325"/>
        <v>5.9104336523691361E-2</v>
      </c>
      <c r="AO84" s="903">
        <f t="shared" si="325"/>
        <v>9.6912637066331117E-2</v>
      </c>
      <c r="AP84" s="836">
        <f t="shared" ref="AP84:AS84" si="326">AP67</f>
        <v>9.1343733265261073E-2</v>
      </c>
      <c r="AQ84" s="835">
        <f t="shared" si="326"/>
        <v>0.10819572007267868</v>
      </c>
      <c r="AR84" s="835">
        <f t="shared" si="326"/>
        <v>9.896347900410013E-2</v>
      </c>
      <c r="AS84" s="1159">
        <f t="shared" si="326"/>
        <v>0.10338226782528721</v>
      </c>
      <c r="AT84" s="836">
        <f t="shared" ref="AT84:AW84" si="327">AT67</f>
        <v>0.11152671559903962</v>
      </c>
      <c r="AU84" s="835">
        <f t="shared" si="327"/>
        <v>0.10443340683484285</v>
      </c>
      <c r="AV84" s="835">
        <f t="shared" si="327"/>
        <v>0.10093657650349183</v>
      </c>
      <c r="AW84" s="1159">
        <f t="shared" si="327"/>
        <v>9.7833685409585203E-2</v>
      </c>
      <c r="AX84" s="836">
        <f t="shared" ref="AX84:BA84" si="328">AX67</f>
        <v>0.10817362723042143</v>
      </c>
      <c r="AY84" s="835">
        <f t="shared" si="328"/>
        <v>9.9177936330719585E-2</v>
      </c>
      <c r="AZ84" s="835">
        <f t="shared" si="328"/>
        <v>0.10276041531686167</v>
      </c>
      <c r="BA84" s="1159">
        <f t="shared" si="328"/>
        <v>0.10102517317488158</v>
      </c>
      <c r="BB84" s="835"/>
      <c r="BC84" s="679"/>
      <c r="BD84" s="679"/>
      <c r="BE84" s="864">
        <v>9.3635087250117002E-2</v>
      </c>
      <c r="BF84" s="864">
        <f t="shared" ref="BF84:BK84" si="329">BF67</f>
        <v>0.11125618845547032</v>
      </c>
      <c r="BG84" s="864">
        <f t="shared" si="329"/>
        <v>0.10781806448528884</v>
      </c>
      <c r="BH84" s="864">
        <f t="shared" si="329"/>
        <v>0.10154842583855195</v>
      </c>
      <c r="BI84" s="864">
        <f t="shared" ref="BI84" si="330">BI67</f>
        <v>0.10287624378109453</v>
      </c>
      <c r="BJ84" s="864">
        <f t="shared" si="329"/>
        <v>0.10127766825543383</v>
      </c>
      <c r="BK84" s="864">
        <f t="shared" si="329"/>
        <v>9.4199069808744679E-2</v>
      </c>
      <c r="BL84" s="864">
        <f t="shared" ref="BL84:BM84" si="331">BL67</f>
        <v>6.7264128283070906E-2</v>
      </c>
      <c r="BM84" s="864">
        <f t="shared" si="331"/>
        <v>8.3803276289879103E-2</v>
      </c>
      <c r="BN84" s="866">
        <f t="shared" ref="BN84" si="332">BN67</f>
        <v>0.10076864689383504</v>
      </c>
      <c r="BO84" s="866">
        <f t="shared" ref="BO84:BP84" si="333">BO67</f>
        <v>0.10352299055116153</v>
      </c>
      <c r="BP84" s="866">
        <f t="shared" si="333"/>
        <v>0.10215011555009093</v>
      </c>
      <c r="BQ84" s="833"/>
    </row>
    <row r="85" spans="1:69">
      <c r="A85" s="24">
        <f>ROWS($A$2:A85)</f>
        <v>84</v>
      </c>
      <c r="C85" s="281"/>
      <c r="F85" s="281"/>
      <c r="I85" s="1120"/>
      <c r="J85" s="680"/>
      <c r="N85" s="680"/>
      <c r="R85" s="680"/>
      <c r="V85" s="680"/>
      <c r="Y85" s="243">
        <f>Y83-U83</f>
        <v>2.2810707217393644E-2</v>
      </c>
      <c r="Z85" s="680"/>
      <c r="AC85" s="1120"/>
      <c r="AD85" s="680"/>
      <c r="AG85" s="1120"/>
      <c r="AH85" s="680"/>
      <c r="AP85" s="680"/>
      <c r="AS85" s="1120"/>
      <c r="AT85" s="680"/>
      <c r="AW85" s="1120"/>
      <c r="AX85" s="680"/>
      <c r="BA85" s="1120"/>
      <c r="BN85" s="681"/>
      <c r="BO85" s="681"/>
      <c r="BP85" s="681"/>
    </row>
    <row r="86" spans="1:69">
      <c r="A86" s="24">
        <f>ROWS($A$2:A86)</f>
        <v>85</v>
      </c>
      <c r="C86" s="281"/>
      <c r="F86" s="281"/>
      <c r="I86" s="1120"/>
      <c r="J86" s="680"/>
      <c r="N86" s="680"/>
      <c r="R86" s="680"/>
      <c r="V86" s="680"/>
      <c r="Z86" s="680"/>
      <c r="AC86" s="1120"/>
      <c r="AD86" s="680"/>
      <c r="AG86" s="1120"/>
      <c r="AH86" s="680"/>
      <c r="AP86" s="680"/>
      <c r="AS86" s="1120"/>
      <c r="AT86" s="680"/>
      <c r="AW86" s="1120"/>
      <c r="AX86" s="680"/>
      <c r="BA86" s="1120"/>
      <c r="BN86" s="681"/>
      <c r="BO86" s="681"/>
      <c r="BP86" s="681"/>
    </row>
    <row r="87" spans="1:69" ht="14.25" customHeight="1">
      <c r="A87" s="24">
        <f>ROWS($A$2:A87)</f>
        <v>86</v>
      </c>
      <c r="B87" s="4" t="s">
        <v>31</v>
      </c>
      <c r="C87" s="281"/>
      <c r="F87" s="281"/>
      <c r="I87" s="1120"/>
      <c r="J87" s="680"/>
      <c r="N87" s="680"/>
      <c r="R87" s="680"/>
      <c r="V87" s="680">
        <v>13</v>
      </c>
      <c r="W87" s="243">
        <v>13</v>
      </c>
      <c r="X87" s="243">
        <v>13</v>
      </c>
      <c r="Y87" s="243">
        <v>13</v>
      </c>
      <c r="Z87" s="680"/>
      <c r="AA87" s="325">
        <v>13</v>
      </c>
      <c r="AB87" s="325">
        <v>19</v>
      </c>
      <c r="AC87" s="1152">
        <v>19</v>
      </c>
      <c r="AD87" s="680">
        <v>19</v>
      </c>
      <c r="AE87" s="325">
        <v>19</v>
      </c>
      <c r="AF87" s="325">
        <v>19</v>
      </c>
      <c r="AG87" s="1152"/>
      <c r="AH87" s="680"/>
      <c r="AI87" s="325">
        <v>19</v>
      </c>
      <c r="AJ87" s="325">
        <v>19</v>
      </c>
      <c r="AK87" s="325"/>
      <c r="AL87" s="709"/>
      <c r="AM87" s="707"/>
      <c r="AN87" s="707"/>
      <c r="AO87" s="707"/>
      <c r="AP87" s="680"/>
      <c r="AS87" s="1120"/>
      <c r="AT87" s="680"/>
      <c r="AW87" s="1120"/>
      <c r="AX87" s="680"/>
      <c r="BA87" s="1120"/>
      <c r="BB87" s="325"/>
      <c r="BC87" s="325"/>
      <c r="BD87" s="325"/>
      <c r="BE87" s="703">
        <v>922.5</v>
      </c>
      <c r="BF87" s="703">
        <v>0</v>
      </c>
      <c r="BG87" s="703">
        <v>1937.5</v>
      </c>
      <c r="BH87" s="703">
        <v>787.8</v>
      </c>
      <c r="BI87" s="874">
        <f>-'Cashflow consol'!K72</f>
        <v>3152</v>
      </c>
      <c r="BJ87" s="874">
        <f>-'Cashflow consol'!L72</f>
        <v>3534</v>
      </c>
      <c r="BK87" s="703">
        <v>4664</v>
      </c>
      <c r="BL87" s="874">
        <f>-'Cashflow consol'!N72</f>
        <v>4976</v>
      </c>
      <c r="BM87" s="874">
        <f>-'Cashflow consol'!O72</f>
        <v>5277</v>
      </c>
      <c r="BN87" s="876">
        <f t="shared" ref="BN87" si="334">BN71*BN91</f>
        <v>6245.3852723241316</v>
      </c>
      <c r="BO87" s="876">
        <f t="shared" ref="BO87:BP87" si="335">BO71*BO91</f>
        <v>7765.5069313045997</v>
      </c>
      <c r="BP87" s="876">
        <f t="shared" si="335"/>
        <v>9045.7970377504025</v>
      </c>
    </row>
    <row r="88" spans="1:69">
      <c r="A88" s="24">
        <f>ROWS($A$2:A88)</f>
        <v>87</v>
      </c>
      <c r="B88" s="4" t="s">
        <v>205</v>
      </c>
      <c r="C88" s="281"/>
      <c r="F88" s="281"/>
      <c r="I88" s="1120"/>
      <c r="J88" s="680"/>
      <c r="N88" s="680"/>
      <c r="R88" s="680"/>
      <c r="V88" s="680"/>
      <c r="Z88" s="680"/>
      <c r="AC88" s="1120"/>
      <c r="AD88" s="680">
        <v>13.5</v>
      </c>
      <c r="AE88" s="243">
        <v>11.7</v>
      </c>
      <c r="AF88" s="243">
        <f>AE88-AD88</f>
        <v>-1.8000000000000007</v>
      </c>
      <c r="AG88" s="1120"/>
      <c r="AH88" s="680"/>
      <c r="AI88" s="243">
        <v>11.7</v>
      </c>
      <c r="AJ88" s="243">
        <v>11.7</v>
      </c>
      <c r="AP88" s="680"/>
      <c r="AS88" s="1120"/>
      <c r="AT88" s="680"/>
      <c r="AW88" s="1120"/>
      <c r="AX88" s="680"/>
      <c r="BA88" s="1120"/>
      <c r="BE88" s="703">
        <v>43</v>
      </c>
      <c r="BF88" s="703">
        <v>0</v>
      </c>
      <c r="BG88" s="703">
        <v>219</v>
      </c>
      <c r="BH88" s="703">
        <f t="shared" ref="BH88:BM88" si="336">BH87*BH90</f>
        <v>0</v>
      </c>
      <c r="BI88" s="703">
        <f t="shared" si="336"/>
        <v>0</v>
      </c>
      <c r="BJ88" s="703">
        <f t="shared" si="336"/>
        <v>0</v>
      </c>
      <c r="BK88" s="703">
        <f t="shared" si="336"/>
        <v>0</v>
      </c>
      <c r="BL88" s="703">
        <f t="shared" si="336"/>
        <v>0</v>
      </c>
      <c r="BM88" s="703">
        <f t="shared" si="336"/>
        <v>0</v>
      </c>
      <c r="BN88" s="695">
        <f t="shared" ref="BN88" si="337">BN87*BN90</f>
        <v>0</v>
      </c>
      <c r="BO88" s="695">
        <f t="shared" ref="BO88:BP88" si="338">BO87*BO90</f>
        <v>0</v>
      </c>
      <c r="BP88" s="695">
        <f t="shared" si="338"/>
        <v>0</v>
      </c>
    </row>
    <row r="89" spans="1:69">
      <c r="A89" s="24">
        <f>ROWS($A$2:A89)</f>
        <v>88</v>
      </c>
      <c r="B89" s="4" t="s">
        <v>206</v>
      </c>
      <c r="C89" s="281"/>
      <c r="F89" s="281"/>
      <c r="I89" s="1120"/>
      <c r="J89" s="680"/>
      <c r="N89" s="680"/>
      <c r="R89" s="680"/>
      <c r="V89" s="680"/>
      <c r="Z89" s="680"/>
      <c r="AC89" s="1120"/>
      <c r="AD89" s="680"/>
      <c r="AG89" s="1120"/>
      <c r="AH89" s="680"/>
      <c r="AP89" s="680"/>
      <c r="AS89" s="1120"/>
      <c r="AT89" s="680"/>
      <c r="AW89" s="1120"/>
      <c r="AX89" s="680"/>
      <c r="BA89" s="1120"/>
      <c r="BE89" s="122">
        <v>965.5</v>
      </c>
      <c r="BF89" s="122">
        <f>SUM(BF87:BF88)</f>
        <v>0</v>
      </c>
      <c r="BG89" s="703">
        <f t="shared" ref="BG89:BL89" si="339">SUM(BG87:BG88)</f>
        <v>2156.5</v>
      </c>
      <c r="BH89" s="703">
        <f t="shared" si="339"/>
        <v>787.8</v>
      </c>
      <c r="BI89" s="703">
        <f t="shared" si="339"/>
        <v>3152</v>
      </c>
      <c r="BJ89" s="703">
        <f t="shared" si="339"/>
        <v>3534</v>
      </c>
      <c r="BK89" s="703">
        <f t="shared" si="339"/>
        <v>4664</v>
      </c>
      <c r="BL89" s="703">
        <f t="shared" si="339"/>
        <v>4976</v>
      </c>
      <c r="BM89" s="703">
        <f>SUM(BM87:BM88)</f>
        <v>5277</v>
      </c>
      <c r="BN89" s="695">
        <f t="shared" ref="BN89" si="340">SUM(BN87:BN88)</f>
        <v>6245.3852723241316</v>
      </c>
      <c r="BO89" s="695">
        <f t="shared" ref="BO89:BP89" si="341">SUM(BO87:BO88)</f>
        <v>7765.5069313045997</v>
      </c>
      <c r="BP89" s="695">
        <f t="shared" si="341"/>
        <v>9045.7970377504025</v>
      </c>
    </row>
    <row r="90" spans="1:69">
      <c r="A90" s="24">
        <f>ROWS($A$2:A90)</f>
        <v>89</v>
      </c>
      <c r="B90" s="4" t="s">
        <v>207</v>
      </c>
      <c r="C90" s="281"/>
      <c r="F90" s="281"/>
      <c r="I90" s="1120"/>
      <c r="J90" s="680"/>
      <c r="N90" s="680"/>
      <c r="R90" s="680"/>
      <c r="V90" s="680"/>
      <c r="Z90" s="680"/>
      <c r="AC90" s="1120"/>
      <c r="AD90" s="680"/>
      <c r="AG90" s="1120"/>
      <c r="AH90" s="680"/>
      <c r="AP90" s="680"/>
      <c r="AS90" s="1120"/>
      <c r="AT90" s="680"/>
      <c r="AW90" s="1120"/>
      <c r="AX90" s="680"/>
      <c r="BA90" s="1120"/>
      <c r="BE90" s="122"/>
      <c r="BF90" s="122"/>
      <c r="BG90" s="122"/>
      <c r="BH90" s="122"/>
      <c r="BI90" s="122">
        <f>BH90</f>
        <v>0</v>
      </c>
      <c r="BJ90" s="122">
        <f>BI90</f>
        <v>0</v>
      </c>
      <c r="BK90" s="122">
        <f>BJ90</f>
        <v>0</v>
      </c>
      <c r="BL90" s="122">
        <f>BK90</f>
        <v>0</v>
      </c>
      <c r="BM90" s="122">
        <f>BL90</f>
        <v>0</v>
      </c>
      <c r="BN90" s="734">
        <f t="shared" ref="BN90:BP90" si="342">BM90</f>
        <v>0</v>
      </c>
      <c r="BO90" s="734">
        <f t="shared" si="342"/>
        <v>0</v>
      </c>
      <c r="BP90" s="734">
        <f t="shared" si="342"/>
        <v>0</v>
      </c>
    </row>
    <row r="91" spans="1:69">
      <c r="A91" s="24">
        <f>ROWS($A$2:A91)</f>
        <v>90</v>
      </c>
      <c r="B91" s="4" t="s">
        <v>208</v>
      </c>
      <c r="C91" s="281"/>
      <c r="F91" s="281"/>
      <c r="I91" s="1120"/>
      <c r="J91" s="680"/>
      <c r="N91" s="680"/>
      <c r="R91" s="680"/>
      <c r="V91" s="680"/>
      <c r="Z91" s="680"/>
      <c r="AC91" s="1120"/>
      <c r="AD91" s="680"/>
      <c r="AG91" s="1120"/>
      <c r="AH91" s="680"/>
      <c r="AP91" s="680"/>
      <c r="AS91" s="1120"/>
      <c r="AT91" s="680"/>
      <c r="AW91" s="1120"/>
      <c r="AX91" s="680"/>
      <c r="BA91" s="1120"/>
      <c r="BE91" s="703">
        <v>3.0036415565869334</v>
      </c>
      <c r="BF91" s="122">
        <f t="shared" ref="BF91:BH91" si="343">BF87/BF71</f>
        <v>0</v>
      </c>
      <c r="BG91" s="122">
        <f t="shared" si="343"/>
        <v>6.1333407226778984</v>
      </c>
      <c r="BH91" s="122">
        <f t="shared" si="343"/>
        <v>2.5776449662023064</v>
      </c>
      <c r="BI91" s="703">
        <f t="shared" ref="BI91:BK91" si="344">BI87/BI71</f>
        <v>10.384403808372374</v>
      </c>
      <c r="BJ91" s="703">
        <f t="shared" si="344"/>
        <v>11.634106038586488</v>
      </c>
      <c r="BK91" s="703">
        <f t="shared" si="344"/>
        <v>14.963332967983147</v>
      </c>
      <c r="BL91" s="703">
        <f>BL87/BL71</f>
        <v>14.956798423839428</v>
      </c>
      <c r="BM91" s="703">
        <v>12</v>
      </c>
      <c r="BN91" s="695">
        <f t="shared" ref="BN91" si="345">BN73*BN94</f>
        <v>14.008731526325551</v>
      </c>
      <c r="BO91" s="695">
        <f t="shared" ref="BO91:BP91" si="346">BO73*BO94</f>
        <v>17.418445303692781</v>
      </c>
      <c r="BP91" s="695">
        <f t="shared" si="346"/>
        <v>20.29020414561538</v>
      </c>
      <c r="BQ91" s="695"/>
    </row>
    <row r="92" spans="1:69">
      <c r="A92" s="24">
        <f>ROWS($A$2:A92)</f>
        <v>91</v>
      </c>
      <c r="B92" s="4" t="s">
        <v>209</v>
      </c>
      <c r="C92" s="281"/>
      <c r="F92" s="281"/>
      <c r="I92" s="1120"/>
      <c r="J92" s="680"/>
      <c r="N92" s="680"/>
      <c r="R92" s="680"/>
      <c r="V92" s="680"/>
      <c r="Z92" s="680"/>
      <c r="AC92" s="1120"/>
      <c r="AD92" s="680"/>
      <c r="AG92" s="1120"/>
      <c r="AH92" s="680"/>
      <c r="AP92" s="680"/>
      <c r="AQ92" s="243">
        <f>36896613+56899895</f>
        <v>93796508</v>
      </c>
      <c r="AS92" s="1120"/>
      <c r="AT92" s="680"/>
      <c r="AW92" s="1120"/>
      <c r="AX92" s="680"/>
      <c r="BA92" s="1120"/>
      <c r="BE92" s="122"/>
      <c r="BF92" s="122"/>
      <c r="BG92" s="122"/>
      <c r="BH92" s="122">
        <v>4166</v>
      </c>
      <c r="BI92" s="122"/>
      <c r="BJ92" s="122"/>
      <c r="BK92" s="122"/>
      <c r="BL92" s="122"/>
      <c r="BM92" s="122"/>
      <c r="BN92" s="695"/>
      <c r="BO92" s="695"/>
      <c r="BP92" s="695"/>
    </row>
    <row r="93" spans="1:69">
      <c r="A93" s="24">
        <f>ROWS($A$2:A93)</f>
        <v>92</v>
      </c>
      <c r="B93" s="4" t="s">
        <v>210</v>
      </c>
      <c r="C93" s="281"/>
      <c r="F93" s="281"/>
      <c r="I93" s="1120"/>
      <c r="J93" s="680"/>
      <c r="N93" s="680"/>
      <c r="R93" s="680"/>
      <c r="V93" s="680"/>
      <c r="Z93" s="680"/>
      <c r="AC93" s="1120"/>
      <c r="AD93" s="680"/>
      <c r="AG93" s="1120"/>
      <c r="AH93" s="680"/>
      <c r="AP93" s="680"/>
      <c r="AS93" s="1120"/>
      <c r="AT93" s="680"/>
      <c r="AW93" s="1120"/>
      <c r="AX93" s="680"/>
      <c r="BA93" s="1120"/>
      <c r="BE93" s="122">
        <v>965.5</v>
      </c>
      <c r="BF93" s="122">
        <f t="shared" ref="BF93" si="347">BF92+BF89</f>
        <v>0</v>
      </c>
      <c r="BG93" s="122">
        <f t="shared" ref="BG93:BL93" si="348">BG92+BG89</f>
        <v>2156.5</v>
      </c>
      <c r="BH93" s="122">
        <f t="shared" si="348"/>
        <v>4953.8</v>
      </c>
      <c r="BI93" s="122">
        <f t="shared" si="348"/>
        <v>3152</v>
      </c>
      <c r="BJ93" s="122">
        <f t="shared" si="348"/>
        <v>3534</v>
      </c>
      <c r="BK93" s="122">
        <f t="shared" si="348"/>
        <v>4664</v>
      </c>
      <c r="BL93" s="122">
        <f t="shared" si="348"/>
        <v>4976</v>
      </c>
      <c r="BM93" s="122">
        <f t="shared" ref="BM93" si="349">BM92+BM89</f>
        <v>5277</v>
      </c>
      <c r="BN93" s="695">
        <f t="shared" ref="BN93" si="350">BN92+BN89</f>
        <v>6245.3852723241316</v>
      </c>
      <c r="BO93" s="695">
        <f t="shared" ref="BO93:BP93" si="351">BO92+BO89</f>
        <v>7765.5069313045997</v>
      </c>
      <c r="BP93" s="695">
        <f t="shared" si="351"/>
        <v>9045.7970377504025</v>
      </c>
    </row>
    <row r="94" spans="1:69">
      <c r="A94" s="24">
        <f>ROWS($A$2:A94)</f>
        <v>93</v>
      </c>
      <c r="B94" s="4" t="s">
        <v>211</v>
      </c>
      <c r="C94" s="281"/>
      <c r="F94" s="281"/>
      <c r="I94" s="1120"/>
      <c r="J94" s="680"/>
      <c r="N94" s="680"/>
      <c r="R94" s="680"/>
      <c r="V94" s="680"/>
      <c r="Z94" s="680"/>
      <c r="AC94" s="1120"/>
      <c r="AD94" s="680"/>
      <c r="AG94" s="1120"/>
      <c r="AH94" s="680"/>
      <c r="AP94" s="680"/>
      <c r="AS94" s="1120"/>
      <c r="AT94" s="680"/>
      <c r="AW94" s="1120"/>
      <c r="AX94" s="680"/>
      <c r="BA94" s="1120"/>
      <c r="BE94" s="9">
        <v>0.329346661906462</v>
      </c>
      <c r="BF94" s="9">
        <f t="shared" ref="BF94:BL94" si="352">(BF92+BF87)/BF66</f>
        <v>0</v>
      </c>
      <c r="BG94" s="9">
        <f t="shared" si="352"/>
        <v>0.42950565284859232</v>
      </c>
      <c r="BH94" s="9">
        <f t="shared" si="352"/>
        <v>1.046209081309398</v>
      </c>
      <c r="BI94" s="9">
        <f t="shared" si="352"/>
        <v>0.47634879854919149</v>
      </c>
      <c r="BJ94" s="9">
        <f t="shared" si="352"/>
        <v>0.43538253049156095</v>
      </c>
      <c r="BK94" s="9">
        <v>0.5</v>
      </c>
      <c r="BL94" s="9">
        <f t="shared" si="352"/>
        <v>0.61273242211550305</v>
      </c>
      <c r="BM94" s="9">
        <f>(BM92+BM87)/BM66</f>
        <v>0.38389349628982977</v>
      </c>
      <c r="BN94" s="875">
        <v>0.25</v>
      </c>
      <c r="BO94" s="875">
        <v>0.25</v>
      </c>
      <c r="BP94" s="875">
        <v>0.25</v>
      </c>
    </row>
    <row r="95" spans="1:69">
      <c r="A95" s="24">
        <f>ROWS($A$2:A95)</f>
        <v>94</v>
      </c>
      <c r="C95" s="281"/>
      <c r="F95" s="281"/>
      <c r="I95" s="1120"/>
      <c r="J95" s="680"/>
      <c r="N95" s="680"/>
      <c r="R95" s="680"/>
      <c r="V95" s="680"/>
      <c r="Z95" s="680"/>
      <c r="AC95" s="1120"/>
      <c r="AD95" s="680"/>
      <c r="AG95" s="1120"/>
      <c r="AH95" s="680"/>
      <c r="AP95" s="680"/>
      <c r="AS95" s="1120"/>
      <c r="AT95" s="680"/>
      <c r="AW95" s="1120"/>
      <c r="AX95" s="680"/>
      <c r="BA95" s="1120"/>
      <c r="BE95" s="243">
        <v>0.56000000000000005</v>
      </c>
      <c r="BF95" s="243">
        <v>0.57999999999999996</v>
      </c>
      <c r="BG95" s="243">
        <v>0.55000000000000004</v>
      </c>
    </row>
    <row r="96" spans="1:69">
      <c r="A96" s="24">
        <f>ROWS($A$2:A96)</f>
        <v>95</v>
      </c>
      <c r="C96" s="281"/>
      <c r="F96" s="281"/>
      <c r="I96" s="1120"/>
      <c r="J96" s="680"/>
      <c r="N96" s="680"/>
      <c r="R96" s="680"/>
      <c r="V96" s="680"/>
      <c r="Z96" s="680"/>
      <c r="AC96" s="1120"/>
      <c r="AD96" s="680"/>
      <c r="AG96" s="1120"/>
      <c r="AH96" s="680"/>
      <c r="AP96" s="680"/>
      <c r="AS96" s="1120"/>
      <c r="AT96" s="680"/>
      <c r="AW96" s="1120"/>
      <c r="AX96" s="680"/>
      <c r="BA96" s="1120"/>
      <c r="BG96" s="243">
        <f>BG87/BG66</f>
        <v>0.42950565284859232</v>
      </c>
      <c r="BH96" s="243">
        <f>BH87/BH66</f>
        <v>0.16637803590285111</v>
      </c>
    </row>
    <row r="97" spans="1:68">
      <c r="A97" s="24">
        <f>ROWS($A$2:A97)</f>
        <v>96</v>
      </c>
      <c r="C97" s="281"/>
      <c r="F97" s="281"/>
      <c r="I97" s="1120"/>
      <c r="J97" s="680"/>
      <c r="N97" s="680"/>
      <c r="R97" s="680"/>
      <c r="V97" s="680"/>
      <c r="Z97" s="680"/>
      <c r="AC97" s="1120"/>
      <c r="AD97" s="680"/>
      <c r="AG97" s="1120"/>
      <c r="AH97" s="680"/>
      <c r="AP97" s="680"/>
      <c r="AS97" s="1120"/>
      <c r="AT97" s="680"/>
      <c r="AW97" s="1120"/>
      <c r="AX97" s="680"/>
      <c r="BA97" s="1120"/>
    </row>
    <row r="98" spans="1:68">
      <c r="A98" s="24">
        <f>ROWS($A$2:A98)</f>
        <v>97</v>
      </c>
      <c r="B98" s="10" t="s">
        <v>183</v>
      </c>
      <c r="C98" s="284"/>
      <c r="D98" s="104"/>
      <c r="E98" s="104"/>
      <c r="F98" s="284"/>
      <c r="G98" s="104"/>
      <c r="H98" s="756"/>
      <c r="I98" s="1160"/>
      <c r="J98" s="757"/>
      <c r="K98" s="756"/>
      <c r="L98" s="756"/>
      <c r="M98" s="756"/>
      <c r="N98" s="757"/>
      <c r="O98" s="756"/>
      <c r="P98" s="756"/>
      <c r="Q98" s="756"/>
      <c r="R98" s="757"/>
      <c r="S98" s="756"/>
      <c r="T98" s="756"/>
      <c r="U98" s="756"/>
      <c r="V98" s="757"/>
      <c r="W98" s="756"/>
      <c r="X98" s="756"/>
      <c r="Y98" s="756"/>
      <c r="Z98" s="757"/>
      <c r="AA98" s="756"/>
      <c r="AB98" s="756"/>
      <c r="AC98" s="1160"/>
      <c r="AD98" s="757"/>
      <c r="AE98" s="756"/>
      <c r="AF98" s="756"/>
      <c r="AG98" s="1160"/>
      <c r="AH98" s="757"/>
      <c r="AI98" s="756"/>
      <c r="AJ98" s="756"/>
      <c r="AK98" s="756"/>
      <c r="AL98" s="757"/>
      <c r="AM98" s="904"/>
      <c r="AN98" s="904"/>
      <c r="AO98" s="904"/>
      <c r="AP98" s="757"/>
      <c r="AQ98" s="756"/>
      <c r="AR98" s="756"/>
      <c r="AS98" s="1160"/>
      <c r="AT98" s="757"/>
      <c r="AU98" s="756"/>
      <c r="AV98" s="756"/>
      <c r="AW98" s="1160"/>
      <c r="AX98" s="757"/>
      <c r="AY98" s="756"/>
      <c r="AZ98" s="756"/>
      <c r="BA98" s="1160"/>
      <c r="BB98" s="756"/>
      <c r="BC98" s="756"/>
      <c r="BD98" s="756"/>
      <c r="BE98" s="756"/>
      <c r="BF98" s="756"/>
      <c r="BG98" s="756"/>
      <c r="BH98" s="756"/>
      <c r="BI98" s="756"/>
      <c r="BJ98" s="756"/>
      <c r="BK98" s="756"/>
      <c r="BL98" s="756"/>
      <c r="BM98" s="756"/>
      <c r="BN98" s="756"/>
      <c r="BO98" s="756"/>
      <c r="BP98" s="756"/>
    </row>
    <row r="99" spans="1:68">
      <c r="A99" s="24">
        <f>ROWS($A$2:A99)</f>
        <v>98</v>
      </c>
      <c r="B99" s="4" t="s">
        <v>212</v>
      </c>
      <c r="C99" s="281"/>
      <c r="F99" s="281"/>
      <c r="I99" s="1120"/>
      <c r="J99" s="680">
        <v>0</v>
      </c>
      <c r="K99" s="243">
        <f t="shared" ref="K99:AL99" si="353">K45</f>
        <v>0</v>
      </c>
      <c r="L99" s="243">
        <f t="shared" si="353"/>
        <v>0</v>
      </c>
      <c r="M99" s="243">
        <f t="shared" si="353"/>
        <v>90</v>
      </c>
      <c r="N99" s="680">
        <f t="shared" si="353"/>
        <v>183</v>
      </c>
      <c r="O99" s="243">
        <f t="shared" si="353"/>
        <v>52</v>
      </c>
      <c r="P99" s="243">
        <f t="shared" si="353"/>
        <v>67</v>
      </c>
      <c r="Q99" s="243">
        <f t="shared" si="353"/>
        <v>83</v>
      </c>
      <c r="R99" s="680">
        <f t="shared" si="353"/>
        <v>11</v>
      </c>
      <c r="S99" s="243">
        <f t="shared" si="353"/>
        <v>-81</v>
      </c>
      <c r="T99" s="243">
        <f t="shared" si="353"/>
        <v>23</v>
      </c>
      <c r="U99" s="243">
        <f t="shared" si="353"/>
        <v>141</v>
      </c>
      <c r="V99" s="680">
        <f t="shared" si="353"/>
        <v>74</v>
      </c>
      <c r="W99" s="243">
        <f t="shared" si="353"/>
        <v>-110</v>
      </c>
      <c r="X99" s="243">
        <f t="shared" si="353"/>
        <v>48</v>
      </c>
      <c r="Y99" s="243">
        <f t="shared" si="353"/>
        <v>232</v>
      </c>
      <c r="Z99" s="680">
        <f t="shared" si="353"/>
        <v>140</v>
      </c>
      <c r="AA99" s="243">
        <f t="shared" si="353"/>
        <v>135</v>
      </c>
      <c r="AB99" s="243">
        <f t="shared" si="353"/>
        <v>318</v>
      </c>
      <c r="AC99" s="243">
        <f t="shared" si="353"/>
        <v>26</v>
      </c>
      <c r="AD99" s="680">
        <f t="shared" si="353"/>
        <v>160</v>
      </c>
      <c r="AE99" s="243">
        <f t="shared" si="353"/>
        <v>89</v>
      </c>
      <c r="AF99" s="243">
        <f t="shared" si="353"/>
        <v>150</v>
      </c>
      <c r="AG99" s="243">
        <f t="shared" si="353"/>
        <v>-82</v>
      </c>
      <c r="AH99" s="680">
        <f t="shared" si="353"/>
        <v>61</v>
      </c>
      <c r="AI99" s="243">
        <f t="shared" si="353"/>
        <v>0</v>
      </c>
      <c r="AJ99" s="243">
        <f t="shared" si="353"/>
        <v>-6</v>
      </c>
      <c r="AK99" s="243">
        <f t="shared" si="353"/>
        <v>0</v>
      </c>
      <c r="AL99" s="680">
        <f t="shared" si="353"/>
        <v>0</v>
      </c>
      <c r="AM99" s="679">
        <f t="shared" ref="AM99:AN99" si="354">AM45</f>
        <v>0</v>
      </c>
      <c r="AN99" s="679">
        <f t="shared" si="354"/>
        <v>0</v>
      </c>
      <c r="AO99" s="679">
        <f t="shared" ref="AO99" si="355">AO45</f>
        <v>0</v>
      </c>
      <c r="AP99" s="1161">
        <f t="shared" ref="AP99" si="356">AVERAGE(AO100:AP100)*AP102%</f>
        <v>0</v>
      </c>
      <c r="AQ99" s="758">
        <f t="shared" ref="AQ99" si="357">AVERAGE(AP100:AQ100)*AQ102%</f>
        <v>0</v>
      </c>
      <c r="AR99" s="758">
        <f t="shared" ref="AR99" si="358">AVERAGE(AQ100:AR100)*AR102%</f>
        <v>0</v>
      </c>
      <c r="AS99" s="1162">
        <f t="shared" ref="AS99" si="359">AVERAGE(AR100:AS100)*AS102%</f>
        <v>0</v>
      </c>
      <c r="AT99" s="1161">
        <f t="shared" ref="AT99" si="360">AVERAGE(AS100:AT100)*AT102%</f>
        <v>0</v>
      </c>
      <c r="AU99" s="758">
        <f t="shared" ref="AU99" si="361">AVERAGE(AT100:AU100)*AU102%</f>
        <v>0</v>
      </c>
      <c r="AV99" s="758">
        <f t="shared" ref="AV99" si="362">AVERAGE(AU100:AV100)*AV102%</f>
        <v>0</v>
      </c>
      <c r="AW99" s="1162">
        <f t="shared" ref="AW99" si="363">AVERAGE(AV100:AW100)*AW102%</f>
        <v>0</v>
      </c>
      <c r="AX99" s="1161">
        <f t="shared" ref="AX99" si="364">AVERAGE(AW100:AX100)*AX102%</f>
        <v>0</v>
      </c>
      <c r="AY99" s="758">
        <f t="shared" ref="AY99" si="365">AVERAGE(AX100:AY100)*AY102%</f>
        <v>0</v>
      </c>
      <c r="AZ99" s="758">
        <f t="shared" ref="AZ99" si="366">AVERAGE(AY100:AZ100)*AZ102%</f>
        <v>0</v>
      </c>
      <c r="BA99" s="1162">
        <f t="shared" ref="BA99" si="367">AVERAGE(AZ100:BA100)*BA102%</f>
        <v>0</v>
      </c>
    </row>
    <row r="100" spans="1:68">
      <c r="A100" s="24">
        <f>ROWS($A$2:A100)</f>
        <v>99</v>
      </c>
      <c r="B100" s="4" t="s">
        <v>213</v>
      </c>
      <c r="C100" s="281"/>
      <c r="F100" s="281"/>
      <c r="I100" s="1120"/>
      <c r="J100" s="680"/>
      <c r="K100" s="679"/>
      <c r="L100" s="679"/>
      <c r="M100" s="679"/>
      <c r="N100" s="680"/>
      <c r="O100" s="679"/>
      <c r="P100" s="679"/>
      <c r="Q100" s="679"/>
      <c r="R100" s="709"/>
      <c r="S100" s="707"/>
      <c r="T100" s="707"/>
      <c r="U100" s="707"/>
      <c r="V100" s="709"/>
      <c r="W100" s="707">
        <f>'BS Consol'!X60</f>
        <v>2988</v>
      </c>
      <c r="X100" s="707">
        <f>'BS Consol'!Y60</f>
        <v>3036</v>
      </c>
      <c r="Y100" s="707">
        <f>'BS Consol'!E60</f>
        <v>4468</v>
      </c>
      <c r="Z100" s="709">
        <f>'BS Consol'!AB60</f>
        <v>3351</v>
      </c>
      <c r="AA100" s="707">
        <f>'BS Consol'!AC60</f>
        <v>4090</v>
      </c>
      <c r="AB100" s="707">
        <f>'BS Consol'!AD60</f>
        <v>3351</v>
      </c>
      <c r="AC100" s="707">
        <v>5699</v>
      </c>
      <c r="AD100" s="709">
        <v>3708</v>
      </c>
      <c r="AE100" s="325">
        <v>3259</v>
      </c>
      <c r="AF100" s="646">
        <v>4719</v>
      </c>
      <c r="AG100" s="759">
        <f>'BS Consol'!G60+'BS Consol'!G61</f>
        <v>3352</v>
      </c>
      <c r="AH100" s="760">
        <v>25766</v>
      </c>
      <c r="AI100" s="325">
        <v>17882</v>
      </c>
      <c r="AJ100" s="325">
        <v>9471</v>
      </c>
      <c r="AK100" s="325">
        <v>10705</v>
      </c>
      <c r="AL100" s="709">
        <v>6909</v>
      </c>
      <c r="AM100" s="707">
        <v>5178</v>
      </c>
      <c r="AN100" s="707">
        <v>8424</v>
      </c>
      <c r="AO100" s="707">
        <v>10936</v>
      </c>
      <c r="AP100" s="1161">
        <f t="shared" ref="AP100" si="368">AO100+AP101</f>
        <v>11436</v>
      </c>
      <c r="AQ100" s="758">
        <f t="shared" ref="AQ100" si="369">AP100+AQ101</f>
        <v>11936</v>
      </c>
      <c r="AR100" s="758">
        <f t="shared" ref="AR100" si="370">AQ100+AR101</f>
        <v>12436</v>
      </c>
      <c r="AS100" s="1163">
        <f t="shared" ref="AS100" si="371">AR100+AS101</f>
        <v>12936</v>
      </c>
      <c r="AT100" s="1161">
        <f t="shared" ref="AT100" si="372">AS100+AT101</f>
        <v>13436</v>
      </c>
      <c r="AU100" s="758">
        <f t="shared" ref="AU100" si="373">AT100+AU101</f>
        <v>13936</v>
      </c>
      <c r="AV100" s="758">
        <f t="shared" ref="AV100" si="374">AU100+AV101</f>
        <v>14436</v>
      </c>
      <c r="AW100" s="1163">
        <f t="shared" ref="AW100" si="375">AV100+AW101</f>
        <v>14936</v>
      </c>
      <c r="AX100" s="1161">
        <f t="shared" ref="AX100" si="376">AW100+AX101</f>
        <v>15436</v>
      </c>
      <c r="AY100" s="758">
        <f t="shared" ref="AY100" si="377">AX100+AY101</f>
        <v>15936</v>
      </c>
      <c r="AZ100" s="758">
        <f t="shared" ref="AZ100" si="378">AY100+AZ101</f>
        <v>16436</v>
      </c>
      <c r="BA100" s="1163">
        <f t="shared" ref="BA100" si="379">AZ100+BA101</f>
        <v>16936</v>
      </c>
      <c r="BB100" s="325"/>
      <c r="BC100" s="325"/>
      <c r="BD100" s="325"/>
    </row>
    <row r="101" spans="1:68">
      <c r="A101" s="24">
        <f>ROWS($A$2:A101)</f>
        <v>100</v>
      </c>
      <c r="B101" s="4" t="s">
        <v>214</v>
      </c>
      <c r="C101" s="281"/>
      <c r="F101" s="281"/>
      <c r="I101" s="1120"/>
      <c r="J101" s="680"/>
      <c r="K101" s="679"/>
      <c r="L101" s="679"/>
      <c r="M101" s="679"/>
      <c r="N101" s="680"/>
      <c r="O101" s="679"/>
      <c r="P101" s="679"/>
      <c r="Q101" s="679"/>
      <c r="R101" s="680"/>
      <c r="S101" s="679"/>
      <c r="T101" s="679"/>
      <c r="U101" s="679"/>
      <c r="V101" s="680"/>
      <c r="W101" s="679"/>
      <c r="X101" s="679"/>
      <c r="Y101" s="679"/>
      <c r="Z101" s="680">
        <f t="shared" ref="Z101:AE101" si="380">Z100-Y100</f>
        <v>-1117</v>
      </c>
      <c r="AA101" s="679">
        <f t="shared" si="380"/>
        <v>739</v>
      </c>
      <c r="AB101" s="679">
        <f t="shared" si="380"/>
        <v>-739</v>
      </c>
      <c r="AC101" s="679">
        <f t="shared" si="380"/>
        <v>2348</v>
      </c>
      <c r="AD101" s="680">
        <f t="shared" si="380"/>
        <v>-1991</v>
      </c>
      <c r="AE101" s="679">
        <f t="shared" si="380"/>
        <v>-449</v>
      </c>
      <c r="AF101" s="679">
        <f t="shared" ref="AF101" si="381">AF100-AE100</f>
        <v>1460</v>
      </c>
      <c r="AG101" s="679">
        <f t="shared" ref="AG101" si="382">AG100-AF100</f>
        <v>-1367</v>
      </c>
      <c r="AH101" s="680">
        <f t="shared" ref="AH101:AO101" si="383">AH100-AG100</f>
        <v>22414</v>
      </c>
      <c r="AI101" s="679">
        <f t="shared" si="383"/>
        <v>-7884</v>
      </c>
      <c r="AJ101" s="679">
        <f t="shared" si="383"/>
        <v>-8411</v>
      </c>
      <c r="AK101" s="679">
        <f t="shared" si="383"/>
        <v>1234</v>
      </c>
      <c r="AL101" s="680">
        <f t="shared" si="383"/>
        <v>-3796</v>
      </c>
      <c r="AM101" s="679">
        <f t="shared" si="383"/>
        <v>-1731</v>
      </c>
      <c r="AN101" s="679">
        <f t="shared" si="383"/>
        <v>3246</v>
      </c>
      <c r="AO101" s="679">
        <f t="shared" si="383"/>
        <v>2512</v>
      </c>
      <c r="AP101" s="680">
        <v>500</v>
      </c>
      <c r="AQ101" s="679">
        <v>500</v>
      </c>
      <c r="AR101" s="243">
        <v>500</v>
      </c>
      <c r="AS101" s="1120">
        <v>500</v>
      </c>
      <c r="AT101" s="680">
        <v>500</v>
      </c>
      <c r="AU101" s="679">
        <v>500</v>
      </c>
      <c r="AV101" s="243">
        <v>500</v>
      </c>
      <c r="AW101" s="1120">
        <v>500</v>
      </c>
      <c r="AX101" s="680">
        <v>500</v>
      </c>
      <c r="AY101" s="679">
        <v>500</v>
      </c>
      <c r="AZ101" s="243">
        <v>500</v>
      </c>
      <c r="BA101" s="1120">
        <v>500</v>
      </c>
      <c r="BB101" s="679"/>
      <c r="BC101" s="679"/>
      <c r="BD101" s="679"/>
    </row>
    <row r="102" spans="1:68">
      <c r="A102" s="24">
        <f>ROWS($A$2:A102)</f>
        <v>101</v>
      </c>
      <c r="B102" s="4" t="s">
        <v>215</v>
      </c>
      <c r="C102" s="281"/>
      <c r="F102" s="281"/>
      <c r="I102" s="1120"/>
      <c r="J102" s="680"/>
      <c r="M102" s="243" t="e">
        <f>M99/L100*100</f>
        <v>#DIV/0!</v>
      </c>
      <c r="N102" s="680" t="e">
        <f t="shared" ref="N102:S102" si="384">N99/M100*100</f>
        <v>#DIV/0!</v>
      </c>
      <c r="O102" s="243" t="e">
        <f t="shared" si="384"/>
        <v>#DIV/0!</v>
      </c>
      <c r="P102" s="243" t="e">
        <f t="shared" si="384"/>
        <v>#DIV/0!</v>
      </c>
      <c r="Q102" s="243" t="e">
        <f t="shared" si="384"/>
        <v>#DIV/0!</v>
      </c>
      <c r="R102" s="680" t="e">
        <f t="shared" si="384"/>
        <v>#DIV/0!</v>
      </c>
      <c r="S102" s="243" t="e">
        <f t="shared" si="384"/>
        <v>#DIV/0!</v>
      </c>
      <c r="T102" s="243" t="e">
        <f t="shared" ref="T102:AE102" si="385">T99/S100*100</f>
        <v>#DIV/0!</v>
      </c>
      <c r="U102" s="243" t="e">
        <f t="shared" si="385"/>
        <v>#DIV/0!</v>
      </c>
      <c r="V102" s="680" t="e">
        <f t="shared" si="385"/>
        <v>#DIV/0!</v>
      </c>
      <c r="W102" s="243" t="e">
        <f t="shared" si="385"/>
        <v>#DIV/0!</v>
      </c>
      <c r="X102" s="679">
        <f t="shared" si="385"/>
        <v>1.6064257028112447</v>
      </c>
      <c r="Y102" s="243">
        <f t="shared" si="385"/>
        <v>7.64163372859025</v>
      </c>
      <c r="Z102" s="680">
        <f t="shared" si="385"/>
        <v>3.1333930170098481</v>
      </c>
      <c r="AA102" s="243">
        <f t="shared" si="385"/>
        <v>4.0286481647269472</v>
      </c>
      <c r="AB102" s="243">
        <f t="shared" si="385"/>
        <v>7.7750611246943766</v>
      </c>
      <c r="AC102" s="243">
        <f t="shared" si="385"/>
        <v>0.77588779468815283</v>
      </c>
      <c r="AD102" s="680">
        <f t="shared" si="385"/>
        <v>2.8075100894893841</v>
      </c>
      <c r="AE102" s="243">
        <f t="shared" si="385"/>
        <v>2.4002157497303127</v>
      </c>
      <c r="AF102" s="243">
        <f t="shared" ref="AF102" si="386">AF99/AE100*100</f>
        <v>4.602638846271863</v>
      </c>
      <c r="AG102" s="243">
        <f t="shared" ref="AG102" si="387">AG99/AF100*100</f>
        <v>-1.7376562831108284</v>
      </c>
      <c r="AH102" s="680">
        <f t="shared" ref="AH102:AO102" si="388">AH99/AG100*100</f>
        <v>1.8198090692124105</v>
      </c>
      <c r="AI102" s="243">
        <f t="shared" si="388"/>
        <v>0</v>
      </c>
      <c r="AJ102" s="243">
        <f t="shared" si="388"/>
        <v>-3.3553293815009509E-2</v>
      </c>
      <c r="AK102" s="243">
        <f t="shared" si="388"/>
        <v>0</v>
      </c>
      <c r="AL102" s="680">
        <f t="shared" si="388"/>
        <v>0</v>
      </c>
      <c r="AM102" s="679">
        <f t="shared" si="388"/>
        <v>0</v>
      </c>
      <c r="AN102" s="679">
        <f t="shared" si="388"/>
        <v>0</v>
      </c>
      <c r="AO102" s="679">
        <f t="shared" si="388"/>
        <v>0</v>
      </c>
      <c r="AP102" s="709">
        <v>0</v>
      </c>
      <c r="AQ102" s="325">
        <v>0</v>
      </c>
      <c r="AR102" s="325">
        <v>0</v>
      </c>
      <c r="AS102" s="1152">
        <v>0</v>
      </c>
      <c r="AT102" s="709">
        <v>0</v>
      </c>
      <c r="AU102" s="325">
        <v>0</v>
      </c>
      <c r="AV102" s="325">
        <v>0</v>
      </c>
      <c r="AW102" s="1152">
        <v>0</v>
      </c>
      <c r="AX102" s="709">
        <v>0</v>
      </c>
      <c r="AY102" s="325">
        <v>0</v>
      </c>
      <c r="AZ102" s="325">
        <v>0</v>
      </c>
      <c r="BA102" s="1152">
        <v>0</v>
      </c>
    </row>
    <row r="103" spans="1:68">
      <c r="A103" s="24">
        <f>ROWS($A$2:A103)</f>
        <v>102</v>
      </c>
      <c r="C103" s="281"/>
      <c r="F103" s="281"/>
      <c r="I103" s="1120"/>
      <c r="J103" s="680"/>
      <c r="N103" s="680"/>
      <c r="R103" s="680"/>
      <c r="V103" s="680"/>
      <c r="Z103" s="680"/>
      <c r="AC103" s="1120">
        <f>'BS Consol'!F60</f>
        <v>5699</v>
      </c>
      <c r="AD103" s="680"/>
      <c r="AG103" s="1120">
        <f>'BS Consol'!G60</f>
        <v>3213</v>
      </c>
      <c r="AH103" s="680"/>
      <c r="AP103" s="680"/>
      <c r="AS103" s="1120">
        <f>'BS Consol'!J60</f>
        <v>68745.833723512318</v>
      </c>
      <c r="AT103" s="680"/>
      <c r="AW103" s="1120">
        <f>'BS Consol'!P60</f>
        <v>0</v>
      </c>
      <c r="AX103" s="680"/>
      <c r="BA103" s="1120">
        <f>'BS Consol'!T60</f>
        <v>5365</v>
      </c>
    </row>
    <row r="104" spans="1:68">
      <c r="A104" s="24"/>
      <c r="C104" s="281"/>
      <c r="F104" s="281"/>
      <c r="I104" s="1120"/>
      <c r="J104" s="680"/>
      <c r="N104" s="680"/>
      <c r="R104" s="680"/>
      <c r="V104" s="680"/>
      <c r="Z104" s="680"/>
      <c r="AC104" s="1120"/>
      <c r="AD104" s="680"/>
      <c r="AG104" s="1120"/>
      <c r="AH104" s="680"/>
      <c r="AP104" s="680"/>
      <c r="AS104" s="1120"/>
      <c r="AT104" s="680"/>
      <c r="AW104" s="1120"/>
      <c r="AX104" s="680"/>
      <c r="BA104" s="1120"/>
    </row>
    <row r="105" spans="1:68">
      <c r="A105" s="24"/>
      <c r="B105" s="4" t="s">
        <v>216</v>
      </c>
      <c r="C105" s="281"/>
      <c r="F105" s="281"/>
      <c r="I105" s="1120"/>
      <c r="J105" s="680"/>
      <c r="N105" s="680"/>
      <c r="R105" s="680"/>
      <c r="V105" s="680"/>
      <c r="Z105" s="680"/>
      <c r="AC105" s="1120"/>
      <c r="AD105" s="680"/>
      <c r="AG105" s="1120"/>
      <c r="AH105" s="680"/>
      <c r="AP105" s="680"/>
      <c r="AS105" s="1120"/>
      <c r="AT105" s="680"/>
      <c r="AW105" s="1120"/>
      <c r="AX105" s="680"/>
      <c r="BA105" s="1120"/>
      <c r="BE105" s="243">
        <v>41</v>
      </c>
      <c r="BF105" s="243">
        <v>0</v>
      </c>
      <c r="BG105" s="243">
        <v>12</v>
      </c>
    </row>
    <row r="106" spans="1:68">
      <c r="A106" s="24"/>
      <c r="B106" s="4" t="s">
        <v>217</v>
      </c>
      <c r="C106" s="281"/>
      <c r="F106" s="281"/>
      <c r="I106" s="1120"/>
      <c r="J106" s="680"/>
      <c r="N106" s="680"/>
      <c r="R106" s="680"/>
      <c r="V106" s="680"/>
      <c r="Z106" s="680"/>
      <c r="AC106" s="1120"/>
      <c r="AD106" s="680"/>
      <c r="AG106" s="1120"/>
      <c r="AH106" s="680"/>
      <c r="AP106" s="680"/>
      <c r="AS106" s="1120"/>
      <c r="AT106" s="680"/>
      <c r="AW106" s="1120"/>
      <c r="AX106" s="680"/>
      <c r="BA106" s="1120"/>
      <c r="BE106" s="243">
        <v>40</v>
      </c>
      <c r="BF106" s="243">
        <v>55</v>
      </c>
      <c r="BG106" s="243">
        <v>116</v>
      </c>
    </row>
    <row r="107" spans="1:68">
      <c r="A107" s="24"/>
      <c r="B107" s="4" t="s">
        <v>218</v>
      </c>
      <c r="C107" s="281"/>
      <c r="F107" s="281"/>
      <c r="I107" s="1120"/>
      <c r="J107" s="680"/>
      <c r="N107" s="680"/>
      <c r="R107" s="680"/>
      <c r="V107" s="680"/>
      <c r="Z107" s="680"/>
      <c r="AC107" s="1120"/>
      <c r="AD107" s="680"/>
      <c r="AG107" s="1120"/>
      <c r="AH107" s="680"/>
      <c r="AP107" s="680"/>
      <c r="AS107" s="1120"/>
      <c r="AT107" s="680"/>
      <c r="AW107" s="1120"/>
      <c r="AX107" s="680"/>
      <c r="BA107" s="1120"/>
      <c r="BE107" s="243">
        <v>64</v>
      </c>
      <c r="BF107" s="243">
        <v>140</v>
      </c>
      <c r="BG107" s="243">
        <v>93</v>
      </c>
      <c r="BH107" s="243">
        <v>109</v>
      </c>
      <c r="BI107" s="243">
        <v>110</v>
      </c>
      <c r="BJ107" s="243">
        <v>157</v>
      </c>
      <c r="BK107" s="243">
        <v>259</v>
      </c>
    </row>
    <row r="108" spans="1:68">
      <c r="A108" s="24"/>
      <c r="B108" s="4" t="s">
        <v>219</v>
      </c>
      <c r="C108" s="281"/>
      <c r="F108" s="281"/>
      <c r="I108" s="1120"/>
      <c r="J108" s="680"/>
      <c r="N108" s="680"/>
      <c r="R108" s="680"/>
      <c r="V108" s="680"/>
      <c r="Z108" s="680"/>
      <c r="AC108" s="1120"/>
      <c r="AD108" s="680"/>
      <c r="AG108" s="1120"/>
      <c r="AH108" s="680"/>
      <c r="AP108" s="680"/>
      <c r="AS108" s="1120"/>
      <c r="AT108" s="680"/>
      <c r="AW108" s="1120"/>
      <c r="AX108" s="680"/>
      <c r="BA108" s="1120"/>
      <c r="BE108" s="243">
        <v>163</v>
      </c>
      <c r="BF108" s="243">
        <v>187</v>
      </c>
      <c r="BG108" s="243">
        <v>188</v>
      </c>
      <c r="BH108" s="243">
        <v>8</v>
      </c>
      <c r="BI108" s="243">
        <f>2+3</f>
        <v>5</v>
      </c>
    </row>
    <row r="109" spans="1:68">
      <c r="A109" s="24"/>
      <c r="B109" s="4" t="s">
        <v>220</v>
      </c>
      <c r="C109" s="281"/>
      <c r="F109" s="281"/>
      <c r="I109" s="1120"/>
      <c r="J109" s="680"/>
      <c r="N109" s="680"/>
      <c r="R109" s="680"/>
      <c r="V109" s="680"/>
      <c r="Z109" s="680"/>
      <c r="AC109" s="1120"/>
      <c r="AD109" s="680"/>
      <c r="AG109" s="1120"/>
      <c r="AH109" s="680"/>
      <c r="AP109" s="680"/>
      <c r="AS109" s="1120"/>
      <c r="AT109" s="680"/>
      <c r="AW109" s="1120"/>
      <c r="AX109" s="680"/>
      <c r="BA109" s="1120"/>
      <c r="BJ109" s="243">
        <v>5</v>
      </c>
      <c r="BK109" s="243">
        <v>0</v>
      </c>
    </row>
    <row r="110" spans="1:68">
      <c r="A110" s="24"/>
      <c r="B110" s="4" t="s">
        <v>221</v>
      </c>
      <c r="C110" s="281"/>
      <c r="F110" s="281"/>
      <c r="I110" s="1120"/>
      <c r="J110" s="680"/>
      <c r="N110" s="680"/>
      <c r="R110" s="680"/>
      <c r="V110" s="680"/>
      <c r="Z110" s="680"/>
      <c r="AC110" s="1120"/>
      <c r="AD110" s="680"/>
      <c r="AG110" s="1120"/>
      <c r="AH110" s="680"/>
      <c r="AP110" s="680"/>
      <c r="AS110" s="1120"/>
      <c r="AT110" s="680"/>
      <c r="AW110" s="1120"/>
      <c r="AX110" s="680"/>
      <c r="BA110" s="1120"/>
      <c r="BH110" s="243">
        <v>52</v>
      </c>
      <c r="BI110" s="243">
        <v>170</v>
      </c>
      <c r="BJ110" s="243">
        <v>121</v>
      </c>
      <c r="BK110" s="243">
        <v>145</v>
      </c>
    </row>
    <row r="111" spans="1:68">
      <c r="A111" s="24"/>
      <c r="B111" s="4" t="s">
        <v>222</v>
      </c>
      <c r="C111" s="281"/>
      <c r="F111" s="281"/>
      <c r="I111" s="1120"/>
      <c r="J111" s="680"/>
      <c r="N111" s="680"/>
      <c r="R111" s="680"/>
      <c r="V111" s="680"/>
      <c r="Z111" s="680"/>
      <c r="AC111" s="1120"/>
      <c r="AD111" s="680"/>
      <c r="AG111" s="1120"/>
      <c r="AH111" s="680"/>
      <c r="AP111" s="680"/>
      <c r="AS111" s="1120"/>
      <c r="AT111" s="680"/>
      <c r="AW111" s="1120"/>
      <c r="AX111" s="680"/>
      <c r="BA111" s="1120"/>
      <c r="BI111" s="243">
        <v>161</v>
      </c>
      <c r="BJ111" s="243">
        <v>259</v>
      </c>
      <c r="BK111" s="243">
        <v>59</v>
      </c>
    </row>
    <row r="112" spans="1:68">
      <c r="A112" s="24"/>
      <c r="B112" s="4" t="s">
        <v>223</v>
      </c>
      <c r="C112" s="281"/>
      <c r="F112" s="281"/>
      <c r="I112" s="1120"/>
      <c r="J112" s="680"/>
      <c r="N112" s="680"/>
      <c r="R112" s="680"/>
      <c r="V112" s="680"/>
      <c r="Z112" s="680"/>
      <c r="AC112" s="1120"/>
      <c r="AD112" s="680"/>
      <c r="AG112" s="1120"/>
      <c r="AH112" s="680"/>
      <c r="AP112" s="680"/>
      <c r="AS112" s="1120"/>
      <c r="AT112" s="680"/>
      <c r="AW112" s="1120"/>
      <c r="AX112" s="680"/>
      <c r="BA112" s="1120"/>
      <c r="BI112" s="243">
        <v>6</v>
      </c>
      <c r="BJ112" s="243">
        <v>0</v>
      </c>
    </row>
    <row r="113" spans="1:68">
      <c r="A113" s="24"/>
      <c r="B113" s="4" t="s">
        <v>224</v>
      </c>
      <c r="C113" s="281"/>
      <c r="F113" s="281"/>
      <c r="I113" s="1120"/>
      <c r="J113" s="680"/>
      <c r="N113" s="680"/>
      <c r="R113" s="680"/>
      <c r="V113" s="680"/>
      <c r="Z113" s="680"/>
      <c r="AC113" s="1120"/>
      <c r="AD113" s="680"/>
      <c r="AG113" s="1120"/>
      <c r="AH113" s="680"/>
      <c r="AP113" s="680"/>
      <c r="AS113" s="1120"/>
      <c r="AT113" s="680"/>
      <c r="AW113" s="1120"/>
      <c r="AX113" s="680"/>
      <c r="BA113" s="1120"/>
      <c r="BK113" s="243">
        <v>116</v>
      </c>
    </row>
    <row r="114" spans="1:68">
      <c r="A114" s="24"/>
      <c r="B114" s="4" t="s">
        <v>185</v>
      </c>
      <c r="C114" s="281"/>
      <c r="F114" s="281"/>
      <c r="I114" s="1120"/>
      <c r="J114" s="680"/>
      <c r="N114" s="680"/>
      <c r="R114" s="680"/>
      <c r="V114" s="680"/>
      <c r="Z114" s="680"/>
      <c r="AC114" s="1120"/>
      <c r="AD114" s="680"/>
      <c r="AG114" s="1120"/>
      <c r="AH114" s="680"/>
      <c r="AP114" s="680"/>
      <c r="AS114" s="1120"/>
      <c r="AT114" s="680"/>
      <c r="AW114" s="1120"/>
      <c r="AX114" s="680"/>
      <c r="BA114" s="1120"/>
      <c r="BE114" s="243">
        <v>83</v>
      </c>
      <c r="BF114" s="243">
        <f>93+60</f>
        <v>153</v>
      </c>
      <c r="BG114" s="243">
        <f>174+94</f>
        <v>268</v>
      </c>
      <c r="BH114" s="243">
        <v>157</v>
      </c>
      <c r="BI114" s="243">
        <v>66</v>
      </c>
      <c r="BJ114" s="243">
        <v>77</v>
      </c>
      <c r="BK114" s="243">
        <v>35</v>
      </c>
    </row>
    <row r="115" spans="1:68">
      <c r="A115" s="24"/>
      <c r="B115" s="61" t="s">
        <v>225</v>
      </c>
      <c r="C115" s="501"/>
      <c r="D115" s="61"/>
      <c r="E115" s="61"/>
      <c r="F115" s="501"/>
      <c r="G115" s="61"/>
      <c r="H115" s="500"/>
      <c r="I115" s="502"/>
      <c r="J115" s="650"/>
      <c r="K115" s="500"/>
      <c r="L115" s="500"/>
      <c r="M115" s="500"/>
      <c r="N115" s="650"/>
      <c r="O115" s="500"/>
      <c r="P115" s="500"/>
      <c r="Q115" s="500"/>
      <c r="R115" s="650"/>
      <c r="S115" s="500"/>
      <c r="T115" s="500"/>
      <c r="U115" s="500"/>
      <c r="V115" s="650"/>
      <c r="W115" s="500"/>
      <c r="X115" s="500"/>
      <c r="Y115" s="500"/>
      <c r="Z115" s="650"/>
      <c r="AA115" s="500"/>
      <c r="AB115" s="500"/>
      <c r="AC115" s="502"/>
      <c r="AD115" s="650"/>
      <c r="AE115" s="500"/>
      <c r="AF115" s="500"/>
      <c r="AG115" s="502"/>
      <c r="AH115" s="650"/>
      <c r="AI115" s="500"/>
      <c r="AJ115" s="500"/>
      <c r="AK115" s="500"/>
      <c r="AL115" s="650"/>
      <c r="AM115" s="500"/>
      <c r="AN115" s="500"/>
      <c r="AO115" s="500"/>
      <c r="AP115" s="650"/>
      <c r="AQ115" s="500"/>
      <c r="AR115" s="500"/>
      <c r="AS115" s="502"/>
      <c r="AT115" s="650"/>
      <c r="AU115" s="500"/>
      <c r="AV115" s="500"/>
      <c r="AW115" s="502"/>
      <c r="AX115" s="650"/>
      <c r="AY115" s="500"/>
      <c r="AZ115" s="500"/>
      <c r="BA115" s="502"/>
      <c r="BB115" s="500"/>
      <c r="BC115" s="500"/>
      <c r="BD115" s="500"/>
      <c r="BE115" s="500">
        <v>391</v>
      </c>
      <c r="BF115" s="500">
        <f t="shared" ref="BF115:BJ115" si="389">SUM(BF105:BF114)</f>
        <v>535</v>
      </c>
      <c r="BG115" s="500">
        <f t="shared" si="389"/>
        <v>677</v>
      </c>
      <c r="BH115" s="500">
        <f t="shared" si="389"/>
        <v>326</v>
      </c>
      <c r="BI115" s="500">
        <f t="shared" si="389"/>
        <v>518</v>
      </c>
      <c r="BJ115" s="500">
        <f t="shared" si="389"/>
        <v>619</v>
      </c>
      <c r="BK115" s="500">
        <f>SUM(BK105:BK114)</f>
        <v>614</v>
      </c>
      <c r="BL115" s="500"/>
      <c r="BM115" s="500"/>
      <c r="BN115" s="500"/>
      <c r="BO115" s="500"/>
      <c r="BP115" s="500"/>
    </row>
    <row r="116" spans="1:68">
      <c r="A116" s="24">
        <f>ROWS($A$2:A116)</f>
        <v>115</v>
      </c>
      <c r="C116" s="281"/>
      <c r="F116" s="281"/>
      <c r="I116" s="1120"/>
      <c r="J116" s="680"/>
      <c r="N116" s="680"/>
      <c r="R116" s="680"/>
      <c r="V116" s="680"/>
      <c r="Z116" s="680"/>
      <c r="AC116" s="1120"/>
      <c r="AD116" s="680"/>
      <c r="AG116" s="1120"/>
      <c r="AH116" s="680"/>
      <c r="AP116" s="680"/>
      <c r="AS116" s="1120"/>
      <c r="AT116" s="680"/>
      <c r="AW116" s="1120"/>
      <c r="AX116" s="680"/>
      <c r="BA116" s="1120"/>
    </row>
    <row r="117" spans="1:68">
      <c r="A117" s="24">
        <f>ROWS($A$2:A117)</f>
        <v>116</v>
      </c>
      <c r="B117" s="10" t="s">
        <v>226</v>
      </c>
      <c r="C117" s="284"/>
      <c r="D117" s="104"/>
      <c r="E117" s="104"/>
      <c r="F117" s="284"/>
      <c r="G117" s="104"/>
      <c r="H117" s="756"/>
      <c r="I117" s="1160"/>
      <c r="J117" s="757"/>
      <c r="K117" s="756"/>
      <c r="L117" s="756"/>
      <c r="M117" s="756"/>
      <c r="N117" s="757"/>
      <c r="O117" s="756"/>
      <c r="P117" s="756"/>
      <c r="Q117" s="756"/>
      <c r="R117" s="757"/>
      <c r="S117" s="756"/>
      <c r="T117" s="756"/>
      <c r="U117" s="756"/>
      <c r="V117" s="757"/>
      <c r="W117" s="756"/>
      <c r="X117" s="756"/>
      <c r="Y117" s="756"/>
      <c r="Z117" s="757"/>
      <c r="AA117" s="756"/>
      <c r="AB117" s="756"/>
      <c r="AC117" s="1160"/>
      <c r="AD117" s="757"/>
      <c r="AE117" s="756"/>
      <c r="AF117" s="756"/>
      <c r="AG117" s="1160"/>
      <c r="AH117" s="757"/>
      <c r="AI117" s="756"/>
      <c r="AJ117" s="756"/>
      <c r="AK117" s="756"/>
      <c r="AL117" s="757"/>
      <c r="AM117" s="904"/>
      <c r="AN117" s="904"/>
      <c r="AO117" s="904"/>
      <c r="AP117" s="757"/>
      <c r="AQ117" s="756"/>
      <c r="AR117" s="756"/>
      <c r="AS117" s="1160"/>
      <c r="AT117" s="757"/>
      <c r="AU117" s="756"/>
      <c r="AV117" s="756"/>
      <c r="AW117" s="1160"/>
      <c r="AX117" s="757"/>
      <c r="AY117" s="756"/>
      <c r="AZ117" s="756"/>
      <c r="BA117" s="1160"/>
      <c r="BB117" s="756"/>
      <c r="BC117" s="756"/>
      <c r="BD117" s="756"/>
      <c r="BE117" s="756"/>
      <c r="BF117" s="756"/>
      <c r="BG117" s="756"/>
      <c r="BH117" s="756"/>
      <c r="BI117" s="756"/>
      <c r="BJ117" s="756"/>
      <c r="BK117" s="756"/>
      <c r="BL117" s="756"/>
      <c r="BM117" s="756"/>
      <c r="BN117" s="756"/>
      <c r="BO117" s="756"/>
      <c r="BP117" s="756"/>
    </row>
    <row r="118" spans="1:68">
      <c r="A118" s="24">
        <f>ROWS($A$2:A118)</f>
        <v>117</v>
      </c>
      <c r="B118" s="4" t="s">
        <v>227</v>
      </c>
      <c r="AA118" s="325">
        <v>13</v>
      </c>
      <c r="AB118" s="325">
        <v>19</v>
      </c>
      <c r="AC118" s="325">
        <v>19</v>
      </c>
      <c r="AG118" s="325"/>
    </row>
    <row r="119" spans="1:68">
      <c r="B119" s="4" t="s">
        <v>228</v>
      </c>
      <c r="Q119" s="243">
        <v>35</v>
      </c>
      <c r="U119" s="243">
        <v>7711.44</v>
      </c>
      <c r="BE119" s="325">
        <v>15</v>
      </c>
      <c r="BF119" s="243">
        <v>0</v>
      </c>
      <c r="BG119" s="325">
        <v>31</v>
      </c>
      <c r="BH119" s="325">
        <v>13</v>
      </c>
      <c r="BI119" s="325">
        <v>52</v>
      </c>
      <c r="BJ119" s="325"/>
      <c r="BK119" s="325"/>
      <c r="BL119" s="325"/>
      <c r="BM119" s="325"/>
    </row>
    <row r="120" spans="1:68">
      <c r="B120" s="4" t="s">
        <v>229</v>
      </c>
      <c r="U120" s="243">
        <v>2910.98</v>
      </c>
    </row>
    <row r="121" spans="1:68">
      <c r="B121" s="4" t="s">
        <v>230</v>
      </c>
      <c r="BE121" s="325">
        <v>922</v>
      </c>
      <c r="BG121" s="325">
        <v>1936</v>
      </c>
      <c r="BH121" s="325">
        <v>787.7</v>
      </c>
    </row>
    <row r="123" spans="1:68">
      <c r="A123" s="24"/>
      <c r="B123" s="10" t="s">
        <v>231</v>
      </c>
      <c r="C123" s="284"/>
      <c r="D123" s="104"/>
      <c r="E123" s="104"/>
      <c r="F123" s="284"/>
      <c r="G123" s="104"/>
      <c r="H123" s="756"/>
      <c r="I123" s="1160"/>
      <c r="J123" s="757"/>
      <c r="K123" s="756"/>
      <c r="L123" s="756"/>
      <c r="M123" s="756"/>
      <c r="N123" s="757"/>
      <c r="O123" s="756"/>
      <c r="P123" s="756"/>
      <c r="Q123" s="756"/>
      <c r="R123" s="757"/>
      <c r="S123" s="756"/>
      <c r="T123" s="756"/>
      <c r="U123" s="756"/>
      <c r="V123" s="757"/>
      <c r="W123" s="756"/>
      <c r="X123" s="756"/>
      <c r="Y123" s="756"/>
      <c r="Z123" s="757"/>
      <c r="AA123" s="756"/>
      <c r="AB123" s="756"/>
      <c r="AC123" s="1160"/>
      <c r="AD123" s="757"/>
      <c r="AE123" s="756"/>
      <c r="AF123" s="756"/>
      <c r="AG123" s="1160"/>
      <c r="AH123" s="757"/>
      <c r="AI123" s="756"/>
      <c r="AJ123" s="756"/>
      <c r="AK123" s="756"/>
      <c r="AL123" s="757"/>
      <c r="AM123" s="904"/>
      <c r="AN123" s="904"/>
      <c r="AO123" s="904"/>
      <c r="AP123" s="757"/>
      <c r="AQ123" s="756"/>
      <c r="AR123" s="756"/>
      <c r="AS123" s="1160"/>
      <c r="AT123" s="757"/>
      <c r="AU123" s="756"/>
      <c r="AV123" s="756"/>
      <c r="AW123" s="1160"/>
      <c r="AX123" s="757"/>
      <c r="AY123" s="756"/>
      <c r="AZ123" s="756"/>
      <c r="BA123" s="1160"/>
      <c r="BB123" s="756"/>
      <c r="BC123" s="756"/>
      <c r="BD123" s="756"/>
      <c r="BE123" s="756"/>
      <c r="BF123" s="756"/>
      <c r="BG123" s="756"/>
      <c r="BH123" s="756"/>
      <c r="BI123" s="756"/>
      <c r="BJ123" s="756"/>
      <c r="BK123" s="756"/>
      <c r="BL123" s="756"/>
      <c r="BM123" s="756"/>
      <c r="BN123" s="756"/>
      <c r="BO123" s="756"/>
      <c r="BP123" s="756"/>
    </row>
    <row r="124" spans="1:68">
      <c r="B124" s="4" t="s">
        <v>232</v>
      </c>
    </row>
    <row r="126" spans="1:68">
      <c r="A126" s="24"/>
      <c r="B126" s="10" t="s">
        <v>233</v>
      </c>
      <c r="C126" s="284"/>
      <c r="D126" s="104"/>
      <c r="E126" s="104"/>
      <c r="F126" s="284"/>
      <c r="G126" s="104"/>
      <c r="H126" s="756"/>
      <c r="I126" s="1160"/>
      <c r="J126" s="757"/>
      <c r="K126" s="756"/>
      <c r="L126" s="756"/>
      <c r="M126" s="756"/>
      <c r="N126" s="757"/>
      <c r="O126" s="756"/>
      <c r="P126" s="756"/>
      <c r="Q126" s="756"/>
      <c r="R126" s="757"/>
      <c r="S126" s="756"/>
      <c r="T126" s="756"/>
      <c r="U126" s="756"/>
      <c r="V126" s="757"/>
      <c r="W126" s="756"/>
      <c r="X126" s="756"/>
      <c r="Y126" s="756"/>
      <c r="Z126" s="757"/>
      <c r="AA126" s="756"/>
      <c r="AB126" s="756"/>
      <c r="AC126" s="1160"/>
      <c r="AD126" s="757"/>
      <c r="AE126" s="756"/>
      <c r="AF126" s="756"/>
      <c r="AG126" s="1160"/>
      <c r="AH126" s="757"/>
      <c r="AI126" s="756"/>
      <c r="AJ126" s="756"/>
      <c r="AK126" s="756"/>
      <c r="AL126" s="757"/>
      <c r="AM126" s="904"/>
      <c r="AN126" s="904"/>
      <c r="AO126" s="904"/>
      <c r="AP126" s="757"/>
      <c r="AQ126" s="756"/>
      <c r="AR126" s="756"/>
      <c r="AS126" s="1160"/>
      <c r="AT126" s="757"/>
      <c r="AU126" s="756"/>
      <c r="AV126" s="756"/>
      <c r="AW126" s="1160"/>
      <c r="AX126" s="757"/>
      <c r="AY126" s="756"/>
      <c r="AZ126" s="756"/>
      <c r="BA126" s="1160"/>
      <c r="BB126" s="756"/>
      <c r="BC126" s="756"/>
      <c r="BD126" s="756"/>
      <c r="BE126" s="756"/>
      <c r="BF126" s="756"/>
      <c r="BG126" s="756"/>
      <c r="BH126" s="756"/>
      <c r="BI126" s="756"/>
      <c r="BJ126" s="756"/>
      <c r="BK126" s="756"/>
      <c r="BL126" s="756"/>
      <c r="BM126" s="756"/>
      <c r="BN126" s="756"/>
      <c r="BO126" s="756"/>
      <c r="BP126" s="756"/>
    </row>
    <row r="127" spans="1:68">
      <c r="B127" s="4" t="s">
        <v>234</v>
      </c>
      <c r="BE127" s="243">
        <v>16299</v>
      </c>
      <c r="BF127" s="243">
        <v>20097</v>
      </c>
      <c r="BG127" s="243">
        <v>23691</v>
      </c>
      <c r="BH127" s="243">
        <v>26062</v>
      </c>
      <c r="BI127" s="243">
        <v>35561</v>
      </c>
      <c r="BJ127" s="243">
        <v>43895</v>
      </c>
      <c r="BK127" s="243">
        <v>49744</v>
      </c>
      <c r="BL127" s="243">
        <v>66713</v>
      </c>
    </row>
    <row r="128" spans="1:68">
      <c r="B128" s="4" t="s">
        <v>235</v>
      </c>
      <c r="BE128" s="243">
        <v>806</v>
      </c>
      <c r="BF128" s="243">
        <v>966</v>
      </c>
      <c r="BG128" s="243">
        <v>1151</v>
      </c>
      <c r="BH128" s="243">
        <v>1303</v>
      </c>
      <c r="BI128" s="243">
        <v>1924</v>
      </c>
      <c r="BJ128" s="243">
        <v>2408</v>
      </c>
      <c r="BK128" s="243">
        <v>2589</v>
      </c>
      <c r="BL128" s="243">
        <v>2981</v>
      </c>
    </row>
    <row r="129" spans="1:68">
      <c r="B129" s="4" t="s">
        <v>236</v>
      </c>
      <c r="BE129" s="243">
        <v>97</v>
      </c>
      <c r="BF129" s="243">
        <v>76</v>
      </c>
      <c r="BG129" s="243">
        <v>63</v>
      </c>
      <c r="BH129" s="243">
        <v>464</v>
      </c>
      <c r="BI129" s="243">
        <v>382</v>
      </c>
      <c r="BJ129" s="243">
        <v>574</v>
      </c>
      <c r="BK129" s="243">
        <v>942</v>
      </c>
      <c r="BL129" s="243">
        <v>1731</v>
      </c>
    </row>
    <row r="130" spans="1:68">
      <c r="B130" s="4" t="s">
        <v>237</v>
      </c>
      <c r="BE130" s="243">
        <v>101</v>
      </c>
      <c r="BF130" s="243">
        <v>105</v>
      </c>
      <c r="BG130" s="243">
        <v>103</v>
      </c>
      <c r="BH130" s="243">
        <v>145</v>
      </c>
      <c r="BI130" s="243">
        <v>200</v>
      </c>
      <c r="BJ130" s="243">
        <v>306</v>
      </c>
      <c r="BK130" s="243">
        <v>315</v>
      </c>
      <c r="BL130" s="243">
        <v>392</v>
      </c>
    </row>
    <row r="131" spans="1:68">
      <c r="B131" s="4" t="s">
        <v>238</v>
      </c>
      <c r="BE131" s="243">
        <v>298</v>
      </c>
      <c r="BF131" s="243">
        <v>288</v>
      </c>
      <c r="BG131" s="243">
        <v>290</v>
      </c>
      <c r="BH131" s="243">
        <v>184</v>
      </c>
      <c r="BI131" s="243">
        <v>279</v>
      </c>
      <c r="BJ131" s="243">
        <v>1097</v>
      </c>
      <c r="BK131" s="243">
        <v>324</v>
      </c>
      <c r="BL131" s="243">
        <v>424</v>
      </c>
    </row>
    <row r="132" spans="1:68">
      <c r="B132" s="61" t="s">
        <v>239</v>
      </c>
      <c r="C132" s="61"/>
      <c r="D132" s="61"/>
      <c r="E132" s="61"/>
      <c r="F132" s="61"/>
      <c r="G132" s="61"/>
      <c r="H132" s="500"/>
      <c r="I132" s="500"/>
      <c r="J132" s="500"/>
      <c r="K132" s="500"/>
      <c r="L132" s="500"/>
      <c r="M132" s="500"/>
      <c r="N132" s="500"/>
      <c r="O132" s="500"/>
      <c r="P132" s="500"/>
      <c r="Q132" s="500"/>
      <c r="R132" s="500"/>
      <c r="S132" s="500"/>
      <c r="T132" s="500"/>
      <c r="U132" s="500"/>
      <c r="V132" s="500"/>
      <c r="W132" s="500"/>
      <c r="X132" s="500"/>
      <c r="Y132" s="500"/>
      <c r="Z132" s="500"/>
      <c r="AA132" s="500"/>
      <c r="AB132" s="500"/>
      <c r="AC132" s="500"/>
      <c r="AD132" s="500"/>
      <c r="AE132" s="500"/>
      <c r="AF132" s="500"/>
      <c r="AG132" s="500"/>
      <c r="AH132" s="500"/>
      <c r="AI132" s="500"/>
      <c r="AJ132" s="500"/>
      <c r="AK132" s="500"/>
      <c r="AL132" s="650"/>
      <c r="AM132" s="500"/>
      <c r="AN132" s="500"/>
      <c r="AO132" s="500"/>
      <c r="AP132" s="500"/>
      <c r="AQ132" s="500"/>
      <c r="AR132" s="500"/>
      <c r="AS132" s="500"/>
      <c r="AT132" s="500"/>
      <c r="AU132" s="500"/>
      <c r="AV132" s="500"/>
      <c r="AW132" s="500"/>
      <c r="AX132" s="500"/>
      <c r="AY132" s="500"/>
      <c r="AZ132" s="500"/>
      <c r="BA132" s="500"/>
      <c r="BB132" s="500"/>
      <c r="BC132" s="500"/>
      <c r="BD132" s="500"/>
      <c r="BE132" s="500">
        <v>17601</v>
      </c>
      <c r="BF132" s="500">
        <f>SUM(BF127:BF131)</f>
        <v>21532</v>
      </c>
      <c r="BG132" s="500">
        <f t="shared" ref="BG132:BL132" si="390">SUM(BG127:BG131)</f>
        <v>25298</v>
      </c>
      <c r="BH132" s="500">
        <f t="shared" si="390"/>
        <v>28158</v>
      </c>
      <c r="BI132" s="500">
        <f t="shared" si="390"/>
        <v>38346</v>
      </c>
      <c r="BJ132" s="500">
        <f t="shared" si="390"/>
        <v>48280</v>
      </c>
      <c r="BK132" s="500">
        <f t="shared" si="390"/>
        <v>53914</v>
      </c>
      <c r="BL132" s="500">
        <f t="shared" si="390"/>
        <v>72241</v>
      </c>
      <c r="BM132" s="500">
        <f t="shared" ref="BM132" si="391">SUM(BM127:BM131)</f>
        <v>0</v>
      </c>
      <c r="BN132" s="500"/>
      <c r="BO132" s="500"/>
      <c r="BP132" s="500"/>
    </row>
    <row r="133" spans="1:68">
      <c r="B133" s="4" t="s">
        <v>177</v>
      </c>
      <c r="C133" s="6"/>
      <c r="D133" s="6"/>
      <c r="E133" s="6"/>
      <c r="F133" s="6"/>
      <c r="G133" s="6"/>
      <c r="H133" s="885"/>
      <c r="I133" s="885"/>
      <c r="J133" s="885"/>
      <c r="K133" s="885"/>
      <c r="L133" s="885"/>
      <c r="M133" s="885"/>
      <c r="N133" s="885"/>
      <c r="O133" s="885"/>
      <c r="P133" s="885"/>
      <c r="Q133" s="885"/>
      <c r="R133" s="885"/>
      <c r="S133" s="885"/>
      <c r="T133" s="885"/>
      <c r="U133" s="885"/>
      <c r="V133" s="885"/>
      <c r="W133" s="885"/>
      <c r="X133" s="885"/>
      <c r="Y133" s="885"/>
      <c r="Z133" s="885"/>
      <c r="AA133" s="885"/>
      <c r="AB133" s="885"/>
      <c r="AC133" s="885"/>
      <c r="AD133" s="885"/>
      <c r="AE133" s="885"/>
      <c r="AF133" s="885"/>
      <c r="AG133" s="885"/>
      <c r="AH133" s="885"/>
      <c r="AI133" s="885"/>
      <c r="AJ133" s="885"/>
      <c r="AK133" s="885"/>
      <c r="AL133" s="717"/>
      <c r="AM133" s="885"/>
      <c r="AN133" s="885"/>
      <c r="AO133" s="885"/>
      <c r="AP133" s="885"/>
      <c r="AQ133" s="885"/>
      <c r="AR133" s="885"/>
      <c r="AS133" s="885"/>
      <c r="AT133" s="885"/>
      <c r="AU133" s="885"/>
      <c r="AV133" s="885"/>
      <c r="AW133" s="885"/>
      <c r="AX133" s="885"/>
      <c r="AY133" s="885"/>
      <c r="AZ133" s="885"/>
      <c r="BA133" s="885"/>
      <c r="BB133" s="885"/>
      <c r="BC133" s="885"/>
      <c r="BD133" s="885"/>
      <c r="BE133" s="36">
        <v>0.58838670856455166</v>
      </c>
      <c r="BF133" s="36">
        <f t="shared" ref="BF133:BL133" si="392">BF132/BF12</f>
        <v>0.58571350851422666</v>
      </c>
      <c r="BG133" s="36">
        <f t="shared" si="392"/>
        <v>0.60465116279069764</v>
      </c>
      <c r="BH133" s="36">
        <f t="shared" si="392"/>
        <v>0.60388607703525776</v>
      </c>
      <c r="BI133" s="36">
        <f t="shared" si="392"/>
        <v>0.59617537313432833</v>
      </c>
      <c r="BJ133" s="36">
        <f t="shared" si="392"/>
        <v>0.60240061887056118</v>
      </c>
      <c r="BK133" s="36">
        <f t="shared" si="392"/>
        <v>0.59845264127695941</v>
      </c>
      <c r="BL133" s="36">
        <f t="shared" si="392"/>
        <v>0.5983533913677288</v>
      </c>
      <c r="BM133" s="36">
        <f t="shared" ref="BM133" si="393">BM132/BM12</f>
        <v>0</v>
      </c>
      <c r="BN133" s="885"/>
      <c r="BO133" s="885"/>
      <c r="BP133" s="885"/>
    </row>
    <row r="134" spans="1:68">
      <c r="B134" s="4" t="s">
        <v>240</v>
      </c>
      <c r="C134" s="6"/>
      <c r="D134" s="6"/>
      <c r="E134" s="6"/>
      <c r="F134" s="6"/>
      <c r="G134" s="6"/>
      <c r="H134" s="885"/>
      <c r="I134" s="885"/>
      <c r="J134" s="885"/>
      <c r="K134" s="885"/>
      <c r="L134" s="885"/>
      <c r="M134" s="885"/>
      <c r="N134" s="885"/>
      <c r="O134" s="885"/>
      <c r="P134" s="885"/>
      <c r="Q134" s="885"/>
      <c r="R134" s="885"/>
      <c r="S134" s="885"/>
      <c r="T134" s="885"/>
      <c r="U134" s="885"/>
      <c r="V134" s="885"/>
      <c r="W134" s="885"/>
      <c r="X134" s="885"/>
      <c r="Y134" s="885"/>
      <c r="Z134" s="885"/>
      <c r="AA134" s="885"/>
      <c r="AB134" s="885"/>
      <c r="AC134" s="885"/>
      <c r="AD134" s="885"/>
      <c r="AE134" s="885"/>
      <c r="AF134" s="885"/>
      <c r="AG134" s="885"/>
      <c r="AH134" s="885"/>
      <c r="AI134" s="885"/>
      <c r="AJ134" s="885"/>
      <c r="AK134" s="885"/>
      <c r="AL134" s="717"/>
      <c r="AM134" s="885"/>
      <c r="AN134" s="885"/>
      <c r="AO134" s="885"/>
      <c r="AP134" s="885"/>
      <c r="AQ134" s="885"/>
      <c r="AR134" s="885"/>
      <c r="AS134" s="885"/>
      <c r="AT134" s="885"/>
      <c r="AU134" s="885"/>
      <c r="AV134" s="885"/>
      <c r="AW134" s="885"/>
      <c r="AX134" s="885"/>
      <c r="AY134" s="885"/>
      <c r="AZ134" s="885"/>
      <c r="BA134" s="885"/>
      <c r="BB134" s="885"/>
      <c r="BC134" s="885"/>
      <c r="BD134" s="885"/>
      <c r="BE134" s="36">
        <v>0.54486193755432244</v>
      </c>
      <c r="BF134" s="36">
        <f t="shared" ref="BF134:BL134" si="394">BF127/BF12</f>
        <v>0.54667863554757634</v>
      </c>
      <c r="BG134" s="36">
        <f t="shared" si="394"/>
        <v>0.56624202299290138</v>
      </c>
      <c r="BH134" s="36">
        <f t="shared" si="394"/>
        <v>0.55893454576649226</v>
      </c>
      <c r="BI134" s="36">
        <f t="shared" si="394"/>
        <v>0.55287624378109457</v>
      </c>
      <c r="BJ134" s="36">
        <f t="shared" si="394"/>
        <v>0.54768796945574327</v>
      </c>
      <c r="BK134" s="36">
        <f t="shared" si="394"/>
        <v>0.55216508119748253</v>
      </c>
      <c r="BL134" s="36">
        <f t="shared" si="394"/>
        <v>0.55256640686473457</v>
      </c>
      <c r="BM134" s="36">
        <f t="shared" ref="BM134" si="395">BM127/BM12</f>
        <v>0</v>
      </c>
      <c r="BN134" s="885"/>
      <c r="BO134" s="885"/>
      <c r="BP134" s="885"/>
    </row>
    <row r="135" spans="1:68">
      <c r="B135" s="4" t="s">
        <v>241</v>
      </c>
      <c r="C135" s="6"/>
      <c r="D135" s="6"/>
      <c r="E135" s="6"/>
      <c r="F135" s="6"/>
      <c r="G135" s="6"/>
      <c r="H135" s="885"/>
      <c r="I135" s="885"/>
      <c r="J135" s="885"/>
      <c r="K135" s="885"/>
      <c r="L135" s="885"/>
      <c r="M135" s="885"/>
      <c r="N135" s="885"/>
      <c r="O135" s="885"/>
      <c r="P135" s="885"/>
      <c r="Q135" s="885"/>
      <c r="R135" s="885"/>
      <c r="S135" s="885"/>
      <c r="T135" s="885"/>
      <c r="U135" s="885"/>
      <c r="V135" s="885"/>
      <c r="W135" s="885"/>
      <c r="X135" s="885"/>
      <c r="Y135" s="885"/>
      <c r="Z135" s="885"/>
      <c r="AA135" s="885"/>
      <c r="AB135" s="885"/>
      <c r="AC135" s="885"/>
      <c r="AD135" s="885"/>
      <c r="AE135" s="885"/>
      <c r="AF135" s="885"/>
      <c r="AG135" s="885"/>
      <c r="AH135" s="885"/>
      <c r="AI135" s="885"/>
      <c r="AJ135" s="885"/>
      <c r="AK135" s="885"/>
      <c r="AL135" s="717"/>
      <c r="AM135" s="885"/>
      <c r="AN135" s="885"/>
      <c r="AO135" s="885"/>
      <c r="AP135" s="885"/>
      <c r="AQ135" s="885"/>
      <c r="AR135" s="885"/>
      <c r="AS135" s="885"/>
      <c r="AT135" s="885"/>
      <c r="AU135" s="885"/>
      <c r="AV135" s="885"/>
      <c r="AW135" s="885"/>
      <c r="AX135" s="885"/>
      <c r="AY135" s="885"/>
      <c r="AZ135" s="885"/>
      <c r="BA135" s="885"/>
      <c r="BB135" s="885"/>
      <c r="BC135" s="885"/>
      <c r="BD135" s="885"/>
      <c r="BE135" s="679">
        <v>9423</v>
      </c>
      <c r="BF135" s="679">
        <f>'Operating Metrics'!AL233</f>
        <v>10263</v>
      </c>
      <c r="BG135" s="679">
        <f>'Operating Metrics'!AM233</f>
        <v>11156</v>
      </c>
      <c r="BH135" s="679">
        <f>'Operating Metrics'!AN233</f>
        <v>12391</v>
      </c>
      <c r="BI135" s="679">
        <f>'Operating Metrics'!AO233</f>
        <v>22500</v>
      </c>
      <c r="BJ135" s="679">
        <f>'Operating Metrics'!AP233</f>
        <v>23224</v>
      </c>
      <c r="BK135" s="679">
        <f>'Operating Metrics'!AQ233</f>
        <v>24726</v>
      </c>
      <c r="BL135" s="679">
        <f>'Operating Metrics'!AR233</f>
        <v>33023</v>
      </c>
      <c r="BM135" s="679">
        <f>'Operating Metrics'!AS233</f>
        <v>35777</v>
      </c>
      <c r="BN135" s="885"/>
      <c r="BO135" s="885"/>
      <c r="BP135" s="885"/>
    </row>
    <row r="136" spans="1:68">
      <c r="B136" s="4" t="s">
        <v>242</v>
      </c>
      <c r="C136" s="6"/>
      <c r="D136" s="6"/>
      <c r="E136" s="6"/>
      <c r="F136" s="6"/>
      <c r="G136" s="6"/>
      <c r="H136" s="885"/>
      <c r="I136" s="885"/>
      <c r="J136" s="885"/>
      <c r="K136" s="885"/>
      <c r="L136" s="885"/>
      <c r="M136" s="885"/>
      <c r="N136" s="885"/>
      <c r="O136" s="885"/>
      <c r="P136" s="885"/>
      <c r="Q136" s="885"/>
      <c r="R136" s="885"/>
      <c r="S136" s="885"/>
      <c r="T136" s="885"/>
      <c r="U136" s="885"/>
      <c r="V136" s="885"/>
      <c r="W136" s="885"/>
      <c r="X136" s="885"/>
      <c r="Y136" s="885"/>
      <c r="Z136" s="885"/>
      <c r="AA136" s="885"/>
      <c r="AB136" s="885"/>
      <c r="AC136" s="885"/>
      <c r="AD136" s="885"/>
      <c r="AE136" s="885"/>
      <c r="AF136" s="885"/>
      <c r="AG136" s="885"/>
      <c r="AH136" s="885"/>
      <c r="AI136" s="885"/>
      <c r="AJ136" s="885"/>
      <c r="AK136" s="885"/>
      <c r="AL136" s="717"/>
      <c r="AM136" s="885"/>
      <c r="AN136" s="885"/>
      <c r="AO136" s="885"/>
      <c r="AP136" s="885"/>
      <c r="AQ136" s="885"/>
      <c r="AR136" s="885"/>
      <c r="AS136" s="885"/>
      <c r="AT136" s="885"/>
      <c r="AU136" s="885"/>
      <c r="AV136" s="885"/>
      <c r="AW136" s="885"/>
      <c r="AX136" s="885"/>
      <c r="AY136" s="885"/>
      <c r="AZ136" s="885"/>
      <c r="BA136" s="885"/>
      <c r="BB136" s="885"/>
      <c r="BC136" s="885"/>
      <c r="BD136" s="885"/>
      <c r="BE136" s="679">
        <v>27596.807943817101</v>
      </c>
      <c r="BF136" s="679">
        <f t="shared" ref="BF136:BM136" si="396">((BF127/BF4)*10^6)/AVERAGE(BE135:BF135)</f>
        <v>29275.629097445006</v>
      </c>
      <c r="BG136" s="679">
        <f t="shared" si="396"/>
        <v>31401.371131903768</v>
      </c>
      <c r="BH136" s="679">
        <f t="shared" si="396"/>
        <v>29775.208288239435</v>
      </c>
      <c r="BI136" s="679">
        <f t="shared" si="396"/>
        <v>27447.374941319325</v>
      </c>
      <c r="BJ136" s="679">
        <f t="shared" si="396"/>
        <v>24018.786698416738</v>
      </c>
      <c r="BK136" s="679">
        <f t="shared" si="396"/>
        <v>25265.498837553219</v>
      </c>
      <c r="BL136" s="679">
        <f t="shared" si="396"/>
        <v>27718.291976147691</v>
      </c>
      <c r="BM136" s="679">
        <f t="shared" si="396"/>
        <v>0</v>
      </c>
      <c r="BN136" s="885"/>
      <c r="BO136" s="885"/>
      <c r="BP136" s="885"/>
    </row>
    <row r="137" spans="1:68">
      <c r="B137" s="250" t="s">
        <v>179</v>
      </c>
      <c r="BE137" s="19" t="e">
        <v>#REF!</v>
      </c>
      <c r="BF137" s="19">
        <f t="shared" ref="BF137:BJ137" si="397">BF136/BE136-1</f>
        <v>6.083388908767029E-2</v>
      </c>
      <c r="BG137" s="19">
        <f t="shared" si="397"/>
        <v>7.261131869730808E-2</v>
      </c>
      <c r="BH137" s="19">
        <f t="shared" si="397"/>
        <v>-5.1786364258857298E-2</v>
      </c>
      <c r="BI137" s="19">
        <f t="shared" si="397"/>
        <v>-7.8180254001432248E-2</v>
      </c>
      <c r="BJ137" s="19">
        <f t="shared" si="397"/>
        <v>-0.124914978216776</v>
      </c>
      <c r="BK137" s="19">
        <f>BK136/BJ136-1</f>
        <v>5.1905708426923214E-2</v>
      </c>
      <c r="BL137" s="19">
        <f>BL136/BK136-1</f>
        <v>9.708073267679862E-2</v>
      </c>
      <c r="BM137" s="19">
        <f>BM136/BL136-1</f>
        <v>-1</v>
      </c>
    </row>
    <row r="138" spans="1:68">
      <c r="B138" s="250" t="s">
        <v>243</v>
      </c>
      <c r="BE138" s="19">
        <v>6.7556475500517577E-2</v>
      </c>
      <c r="BF138" s="19">
        <f t="shared" ref="BF138:BL138" si="398">BF13</f>
        <v>0.22892291234873308</v>
      </c>
      <c r="BG138" s="19">
        <f t="shared" si="398"/>
        <v>0.13810456449594688</v>
      </c>
      <c r="BH138" s="19">
        <f t="shared" si="398"/>
        <v>0.11446258275771415</v>
      </c>
      <c r="BI138" s="19">
        <f t="shared" si="398"/>
        <v>0.37942866946898857</v>
      </c>
      <c r="BJ138" s="19">
        <f t="shared" si="398"/>
        <v>0.24605099502487571</v>
      </c>
      <c r="BK138" s="19">
        <f t="shared" si="398"/>
        <v>0.12406108851346298</v>
      </c>
      <c r="BL138" s="19">
        <f t="shared" si="398"/>
        <v>0.34015251584544171</v>
      </c>
      <c r="BM138" s="19">
        <f t="shared" ref="BM138" si="399">BM13</f>
        <v>0.35859292819693045</v>
      </c>
    </row>
    <row r="139" spans="1:68">
      <c r="BE139" s="19"/>
      <c r="BF139" s="19"/>
      <c r="BG139" s="19"/>
      <c r="BH139" s="19"/>
      <c r="BI139" s="19"/>
      <c r="BJ139" s="19"/>
      <c r="BK139" s="19"/>
      <c r="BL139" s="19"/>
      <c r="BM139" s="19"/>
    </row>
    <row r="140" spans="1:68">
      <c r="A140" s="24"/>
      <c r="B140" s="10" t="s">
        <v>244</v>
      </c>
      <c r="C140" s="284"/>
      <c r="D140" s="104"/>
      <c r="E140" s="104"/>
      <c r="F140" s="284"/>
      <c r="G140" s="104"/>
      <c r="H140" s="756"/>
      <c r="I140" s="1160"/>
      <c r="J140" s="757"/>
      <c r="K140" s="756"/>
      <c r="L140" s="756"/>
      <c r="M140" s="756"/>
      <c r="N140" s="757"/>
      <c r="O140" s="756"/>
      <c r="P140" s="756"/>
      <c r="Q140" s="756"/>
      <c r="R140" s="757"/>
      <c r="S140" s="756"/>
      <c r="T140" s="756"/>
      <c r="U140" s="756"/>
      <c r="V140" s="757"/>
      <c r="W140" s="756"/>
      <c r="X140" s="756"/>
      <c r="Y140" s="756"/>
      <c r="Z140" s="757"/>
      <c r="AA140" s="756"/>
      <c r="AB140" s="756"/>
      <c r="AC140" s="1160"/>
      <c r="AD140" s="757"/>
      <c r="AE140" s="756"/>
      <c r="AF140" s="756"/>
      <c r="AG140" s="1160"/>
      <c r="AH140" s="757"/>
      <c r="AI140" s="756"/>
      <c r="AJ140" s="756"/>
      <c r="AK140" s="756"/>
      <c r="AL140" s="757"/>
      <c r="AM140" s="904"/>
      <c r="AN140" s="904"/>
      <c r="AO140" s="904"/>
      <c r="AP140" s="757"/>
      <c r="AQ140" s="756"/>
      <c r="AR140" s="756"/>
      <c r="AS140" s="1160"/>
      <c r="AT140" s="757"/>
      <c r="AU140" s="756"/>
      <c r="AV140" s="756"/>
      <c r="AW140" s="1160"/>
      <c r="AX140" s="757"/>
      <c r="AY140" s="756"/>
      <c r="AZ140" s="756"/>
      <c r="BA140" s="1160"/>
      <c r="BB140" s="756"/>
      <c r="BC140" s="756"/>
      <c r="BD140" s="756"/>
      <c r="BE140" s="756"/>
      <c r="BF140" s="756"/>
      <c r="BG140" s="756"/>
      <c r="BH140" s="756"/>
      <c r="BI140" s="756"/>
      <c r="BJ140" s="756"/>
      <c r="BK140" s="756"/>
      <c r="BL140" s="756"/>
      <c r="BM140" s="756"/>
      <c r="BN140" s="756"/>
      <c r="BO140" s="756"/>
      <c r="BP140" s="756"/>
    </row>
    <row r="141" spans="1:68">
      <c r="B141" s="4" t="s">
        <v>245</v>
      </c>
      <c r="BK141" s="243">
        <v>710</v>
      </c>
      <c r="BL141" s="243">
        <v>1176</v>
      </c>
    </row>
    <row r="142" spans="1:68">
      <c r="B142" s="4" t="s">
        <v>246</v>
      </c>
      <c r="BK142" s="243">
        <v>653</v>
      </c>
      <c r="BL142" s="243">
        <v>985</v>
      </c>
    </row>
    <row r="143" spans="1:68">
      <c r="B143" s="4" t="s">
        <v>247</v>
      </c>
      <c r="BK143" s="243">
        <v>1608</v>
      </c>
      <c r="BL143" s="243">
        <v>2115</v>
      </c>
    </row>
    <row r="144" spans="1:68">
      <c r="B144" s="61" t="s">
        <v>248</v>
      </c>
      <c r="C144" s="61"/>
      <c r="D144" s="61"/>
      <c r="E144" s="61"/>
      <c r="F144" s="61"/>
      <c r="G144" s="61"/>
      <c r="H144" s="500"/>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0"/>
      <c r="AE144" s="500"/>
      <c r="AF144" s="500"/>
      <c r="AG144" s="500"/>
      <c r="AH144" s="500"/>
      <c r="AI144" s="500"/>
      <c r="AJ144" s="500"/>
      <c r="AK144" s="500"/>
      <c r="AL144" s="650"/>
      <c r="AM144" s="500"/>
      <c r="AN144" s="500"/>
      <c r="AO144" s="500"/>
      <c r="AP144" s="500"/>
      <c r="AQ144" s="500"/>
      <c r="AR144" s="500"/>
      <c r="AS144" s="500"/>
      <c r="AT144" s="500"/>
      <c r="AU144" s="500"/>
      <c r="AV144" s="500"/>
      <c r="AW144" s="500"/>
      <c r="AX144" s="500"/>
      <c r="AY144" s="500"/>
      <c r="AZ144" s="500"/>
      <c r="BA144" s="500"/>
      <c r="BB144" s="500"/>
      <c r="BC144" s="500"/>
      <c r="BD144" s="500"/>
      <c r="BE144" s="500">
        <v>0</v>
      </c>
      <c r="BF144" s="500">
        <f t="shared" ref="BF144:BL144" si="400">SUM(BF141:BF143)</f>
        <v>0</v>
      </c>
      <c r="BG144" s="500">
        <f t="shared" si="400"/>
        <v>0</v>
      </c>
      <c r="BH144" s="500">
        <f t="shared" si="400"/>
        <v>0</v>
      </c>
      <c r="BI144" s="500">
        <f t="shared" si="400"/>
        <v>0</v>
      </c>
      <c r="BJ144" s="500">
        <f t="shared" si="400"/>
        <v>0</v>
      </c>
      <c r="BK144" s="500">
        <f t="shared" si="400"/>
        <v>2971</v>
      </c>
      <c r="BL144" s="500">
        <f t="shared" si="400"/>
        <v>4276</v>
      </c>
      <c r="BM144" s="500">
        <f t="shared" ref="BM144" si="401">SUM(BM141:BM143)</f>
        <v>0</v>
      </c>
      <c r="BN144" s="500"/>
      <c r="BO144" s="500"/>
      <c r="BP144" s="500"/>
    </row>
    <row r="145" spans="1:68">
      <c r="B145" s="6"/>
      <c r="C145" s="6"/>
      <c r="D145" s="6"/>
      <c r="E145" s="6"/>
      <c r="F145" s="6"/>
      <c r="G145" s="6"/>
      <c r="H145" s="885"/>
      <c r="I145" s="885"/>
      <c r="J145" s="885"/>
      <c r="K145" s="885"/>
      <c r="L145" s="885"/>
      <c r="M145" s="885"/>
      <c r="N145" s="885"/>
      <c r="O145" s="885"/>
      <c r="P145" s="885"/>
      <c r="Q145" s="885"/>
      <c r="R145" s="885"/>
      <c r="S145" s="885"/>
      <c r="T145" s="885"/>
      <c r="U145" s="885"/>
      <c r="V145" s="885"/>
      <c r="W145" s="885"/>
      <c r="X145" s="885"/>
      <c r="Y145" s="885"/>
      <c r="Z145" s="885"/>
      <c r="AA145" s="885"/>
      <c r="AB145" s="885"/>
      <c r="AC145" s="885"/>
      <c r="AD145" s="885"/>
      <c r="AE145" s="885"/>
      <c r="AF145" s="885"/>
      <c r="AG145" s="885"/>
      <c r="AH145" s="885"/>
      <c r="AI145" s="885"/>
      <c r="AJ145" s="885"/>
      <c r="AK145" s="885"/>
      <c r="AL145" s="717"/>
      <c r="AM145" s="885"/>
      <c r="AN145" s="885"/>
      <c r="AO145" s="885"/>
      <c r="AP145" s="885"/>
      <c r="AQ145" s="885"/>
      <c r="AR145" s="885"/>
      <c r="AS145" s="885"/>
      <c r="AT145" s="885"/>
      <c r="AU145" s="885"/>
      <c r="AV145" s="885"/>
      <c r="AW145" s="885"/>
      <c r="AX145" s="885"/>
      <c r="AY145" s="885"/>
      <c r="AZ145" s="885"/>
      <c r="BA145" s="885"/>
      <c r="BB145" s="885"/>
      <c r="BC145" s="885"/>
      <c r="BD145" s="885"/>
      <c r="BE145" s="885"/>
      <c r="BF145" s="885"/>
      <c r="BG145" s="885"/>
      <c r="BH145" s="885"/>
      <c r="BI145" s="885"/>
      <c r="BJ145" s="885"/>
      <c r="BK145" s="885"/>
      <c r="BL145" s="885"/>
      <c r="BM145" s="885"/>
      <c r="BN145" s="885"/>
      <c r="BO145" s="885"/>
      <c r="BP145" s="885"/>
    </row>
    <row r="146" spans="1:68">
      <c r="B146" s="4" t="s">
        <v>249</v>
      </c>
      <c r="C146" s="6"/>
      <c r="D146" s="6"/>
      <c r="E146" s="6"/>
      <c r="F146" s="6"/>
      <c r="G146" s="6"/>
      <c r="H146" s="885"/>
      <c r="I146" s="885"/>
      <c r="J146" s="885"/>
      <c r="K146" s="885"/>
      <c r="L146" s="885"/>
      <c r="M146" s="885"/>
      <c r="N146" s="885"/>
      <c r="O146" s="885"/>
      <c r="P146" s="885"/>
      <c r="Q146" s="885"/>
      <c r="R146" s="885"/>
      <c r="S146" s="885"/>
      <c r="T146" s="885"/>
      <c r="U146" s="885"/>
      <c r="V146" s="885"/>
      <c r="W146" s="885"/>
      <c r="X146" s="885"/>
      <c r="Y146" s="885"/>
      <c r="Z146" s="885"/>
      <c r="AA146" s="885"/>
      <c r="AB146" s="885"/>
      <c r="AC146" s="885"/>
      <c r="AD146" s="885"/>
      <c r="AE146" s="885"/>
      <c r="AF146" s="885"/>
      <c r="AG146" s="885"/>
      <c r="AH146" s="885"/>
      <c r="AI146" s="885"/>
      <c r="AJ146" s="885"/>
      <c r="AK146" s="885"/>
      <c r="AL146" s="717"/>
      <c r="AM146" s="885"/>
      <c r="AN146" s="885"/>
      <c r="AO146" s="885"/>
      <c r="AP146" s="885"/>
      <c r="AQ146" s="885"/>
      <c r="AR146" s="885"/>
      <c r="AS146" s="885"/>
      <c r="AT146" s="885"/>
      <c r="AU146" s="885"/>
      <c r="AV146" s="885"/>
      <c r="AW146" s="885"/>
      <c r="AX146" s="885"/>
      <c r="AY146" s="885"/>
      <c r="AZ146" s="885"/>
      <c r="BA146" s="885"/>
      <c r="BB146" s="885"/>
      <c r="BC146" s="885"/>
      <c r="BD146" s="885"/>
      <c r="BE146" s="885"/>
      <c r="BF146" s="885"/>
      <c r="BG146" s="885"/>
      <c r="BH146" s="885"/>
      <c r="BI146" s="885"/>
      <c r="BJ146" s="885"/>
      <c r="BK146" s="36">
        <f t="shared" ref="BK146:BL149" si="402">BK141/BK$12</f>
        <v>7.8810953612538717E-3</v>
      </c>
      <c r="BL146" s="36">
        <f t="shared" si="402"/>
        <v>9.7405017683649051E-3</v>
      </c>
      <c r="BM146" s="36">
        <f t="shared" ref="BM146" si="403">BM141/BM$12</f>
        <v>0</v>
      </c>
      <c r="BN146" s="885"/>
      <c r="BO146" s="885"/>
      <c r="BP146" s="885"/>
    </row>
    <row r="147" spans="1:68">
      <c r="B147" s="4" t="s">
        <v>250</v>
      </c>
      <c r="C147" s="6"/>
      <c r="D147" s="6"/>
      <c r="E147" s="6"/>
      <c r="F147" s="6"/>
      <c r="G147" s="6"/>
      <c r="H147" s="885"/>
      <c r="I147" s="885"/>
      <c r="J147" s="885"/>
      <c r="K147" s="885"/>
      <c r="L147" s="885"/>
      <c r="M147" s="885"/>
      <c r="N147" s="885"/>
      <c r="O147" s="885"/>
      <c r="P147" s="885"/>
      <c r="Q147" s="885"/>
      <c r="R147" s="885"/>
      <c r="S147" s="885"/>
      <c r="T147" s="885"/>
      <c r="U147" s="885"/>
      <c r="V147" s="885"/>
      <c r="W147" s="885"/>
      <c r="X147" s="885"/>
      <c r="Y147" s="885"/>
      <c r="Z147" s="885"/>
      <c r="AA147" s="885"/>
      <c r="AB147" s="885"/>
      <c r="AC147" s="885"/>
      <c r="AD147" s="885"/>
      <c r="AE147" s="885"/>
      <c r="AF147" s="885"/>
      <c r="AG147" s="885"/>
      <c r="AH147" s="885"/>
      <c r="AI147" s="885"/>
      <c r="AJ147" s="885"/>
      <c r="AK147" s="885"/>
      <c r="AL147" s="717"/>
      <c r="AM147" s="885"/>
      <c r="AN147" s="885"/>
      <c r="AO147" s="885"/>
      <c r="AP147" s="885"/>
      <c r="AQ147" s="885"/>
      <c r="AR147" s="885"/>
      <c r="AS147" s="885"/>
      <c r="AT147" s="885"/>
      <c r="AU147" s="885"/>
      <c r="AV147" s="885"/>
      <c r="AW147" s="885"/>
      <c r="AX147" s="885"/>
      <c r="AY147" s="885"/>
      <c r="AZ147" s="885"/>
      <c r="BA147" s="885"/>
      <c r="BB147" s="885"/>
      <c r="BC147" s="885"/>
      <c r="BD147" s="885"/>
      <c r="BE147" s="885"/>
      <c r="BF147" s="885"/>
      <c r="BG147" s="885"/>
      <c r="BH147" s="885"/>
      <c r="BI147" s="885"/>
      <c r="BJ147" s="885"/>
      <c r="BK147" s="36">
        <f t="shared" si="402"/>
        <v>7.2483877054912368E-3</v>
      </c>
      <c r="BL147" s="36">
        <f t="shared" si="402"/>
        <v>8.1584985049655018E-3</v>
      </c>
      <c r="BM147" s="36">
        <f t="shared" ref="BM147" si="404">BM142/BM$12</f>
        <v>0</v>
      </c>
      <c r="BN147" s="885"/>
      <c r="BO147" s="885"/>
      <c r="BP147" s="885"/>
    </row>
    <row r="148" spans="1:68">
      <c r="B148" s="4" t="s">
        <v>251</v>
      </c>
      <c r="C148" s="6"/>
      <c r="D148" s="6"/>
      <c r="E148" s="6"/>
      <c r="F148" s="6"/>
      <c r="G148" s="6"/>
      <c r="H148" s="885"/>
      <c r="I148" s="885"/>
      <c r="J148" s="885"/>
      <c r="K148" s="885"/>
      <c r="L148" s="885"/>
      <c r="M148" s="885"/>
      <c r="N148" s="885"/>
      <c r="O148" s="885"/>
      <c r="P148" s="885"/>
      <c r="Q148" s="885"/>
      <c r="R148" s="885"/>
      <c r="S148" s="885"/>
      <c r="T148" s="885"/>
      <c r="U148" s="885"/>
      <c r="V148" s="885"/>
      <c r="W148" s="885"/>
      <c r="X148" s="885"/>
      <c r="Y148" s="885"/>
      <c r="Z148" s="885"/>
      <c r="AA148" s="885"/>
      <c r="AB148" s="885"/>
      <c r="AC148" s="885"/>
      <c r="AD148" s="885"/>
      <c r="AE148" s="885"/>
      <c r="AF148" s="885"/>
      <c r="AG148" s="885"/>
      <c r="AH148" s="885"/>
      <c r="AI148" s="885"/>
      <c r="AJ148" s="885"/>
      <c r="AK148" s="885"/>
      <c r="AL148" s="717"/>
      <c r="AM148" s="885"/>
      <c r="AN148" s="885"/>
      <c r="AO148" s="885"/>
      <c r="AP148" s="885"/>
      <c r="AQ148" s="885"/>
      <c r="AR148" s="885"/>
      <c r="AS148" s="885"/>
      <c r="AT148" s="885"/>
      <c r="AU148" s="885"/>
      <c r="AV148" s="885"/>
      <c r="AW148" s="885"/>
      <c r="AX148" s="885"/>
      <c r="AY148" s="885"/>
      <c r="AZ148" s="885"/>
      <c r="BA148" s="885"/>
      <c r="BB148" s="885"/>
      <c r="BC148" s="885"/>
      <c r="BD148" s="885"/>
      <c r="BE148" s="885"/>
      <c r="BF148" s="885"/>
      <c r="BG148" s="885"/>
      <c r="BH148" s="885"/>
      <c r="BI148" s="885"/>
      <c r="BJ148" s="885"/>
      <c r="BK148" s="36">
        <f t="shared" si="402"/>
        <v>1.7849015973093275E-2</v>
      </c>
      <c r="BL148" s="36">
        <f t="shared" si="402"/>
        <v>1.7517994251778718E-2</v>
      </c>
      <c r="BM148" s="36">
        <f t="shared" ref="BM148" si="405">BM143/BM$12</f>
        <v>0</v>
      </c>
      <c r="BN148" s="885"/>
      <c r="BO148" s="885"/>
      <c r="BP148" s="885"/>
    </row>
    <row r="149" spans="1:68">
      <c r="B149" s="61" t="s">
        <v>177</v>
      </c>
      <c r="C149" s="61"/>
      <c r="D149" s="61"/>
      <c r="E149" s="61"/>
      <c r="F149" s="61"/>
      <c r="G149" s="61"/>
      <c r="H149" s="500"/>
      <c r="I149" s="500"/>
      <c r="J149" s="500"/>
      <c r="K149" s="500"/>
      <c r="L149" s="500"/>
      <c r="M149" s="500"/>
      <c r="N149" s="500"/>
      <c r="O149" s="500"/>
      <c r="P149" s="500"/>
      <c r="Q149" s="500"/>
      <c r="R149" s="500"/>
      <c r="S149" s="500"/>
      <c r="T149" s="500"/>
      <c r="U149" s="500"/>
      <c r="V149" s="500"/>
      <c r="W149" s="500"/>
      <c r="X149" s="500"/>
      <c r="Y149" s="500"/>
      <c r="Z149" s="500"/>
      <c r="AA149" s="500"/>
      <c r="AB149" s="500"/>
      <c r="AC149" s="500"/>
      <c r="AD149" s="500"/>
      <c r="AE149" s="500"/>
      <c r="AF149" s="500"/>
      <c r="AG149" s="500"/>
      <c r="AH149" s="500"/>
      <c r="AI149" s="500"/>
      <c r="AJ149" s="500"/>
      <c r="AK149" s="500"/>
      <c r="AL149" s="650"/>
      <c r="AM149" s="500"/>
      <c r="AN149" s="500"/>
      <c r="AO149" s="500"/>
      <c r="AP149" s="500"/>
      <c r="AQ149" s="500"/>
      <c r="AR149" s="500"/>
      <c r="AS149" s="500"/>
      <c r="AT149" s="500"/>
      <c r="AU149" s="500"/>
      <c r="AV149" s="500"/>
      <c r="AW149" s="500"/>
      <c r="AX149" s="500"/>
      <c r="AY149" s="500"/>
      <c r="AZ149" s="500"/>
      <c r="BA149" s="500"/>
      <c r="BB149" s="500"/>
      <c r="BC149" s="500"/>
      <c r="BD149" s="500"/>
      <c r="BE149" s="500"/>
      <c r="BF149" s="500"/>
      <c r="BG149" s="500"/>
      <c r="BH149" s="500"/>
      <c r="BI149" s="500"/>
      <c r="BJ149" s="500"/>
      <c r="BK149" s="886">
        <f t="shared" si="402"/>
        <v>3.2978499039838384E-2</v>
      </c>
      <c r="BL149" s="886">
        <f t="shared" si="402"/>
        <v>3.5416994525109123E-2</v>
      </c>
      <c r="BM149" s="886">
        <f t="shared" ref="BM149" si="406">BM144/BM$12</f>
        <v>0</v>
      </c>
      <c r="BN149" s="500"/>
      <c r="BO149" s="500"/>
      <c r="BP149" s="500"/>
    </row>
    <row r="150" spans="1:68">
      <c r="B150" s="266"/>
    </row>
    <row r="151" spans="1:68">
      <c r="A151" s="24"/>
      <c r="B151" s="10" t="s">
        <v>252</v>
      </c>
      <c r="C151" s="284"/>
      <c r="D151" s="104"/>
      <c r="E151" s="104"/>
      <c r="F151" s="284"/>
      <c r="G151" s="104"/>
      <c r="H151" s="756"/>
      <c r="I151" s="1160"/>
      <c r="J151" s="757"/>
      <c r="K151" s="756"/>
      <c r="L151" s="756"/>
      <c r="M151" s="756"/>
      <c r="N151" s="757"/>
      <c r="O151" s="756"/>
      <c r="P151" s="756"/>
      <c r="Q151" s="756"/>
      <c r="R151" s="757"/>
      <c r="S151" s="756"/>
      <c r="T151" s="756"/>
      <c r="U151" s="756"/>
      <c r="V151" s="757"/>
      <c r="W151" s="756"/>
      <c r="X151" s="756"/>
      <c r="Y151" s="756"/>
      <c r="Z151" s="757"/>
      <c r="AA151" s="756"/>
      <c r="AB151" s="756"/>
      <c r="AC151" s="1160"/>
      <c r="AD151" s="757"/>
      <c r="AE151" s="756"/>
      <c r="AF151" s="756"/>
      <c r="AG151" s="1160"/>
      <c r="AH151" s="757"/>
      <c r="AI151" s="756"/>
      <c r="AJ151" s="756"/>
      <c r="AK151" s="756"/>
      <c r="AL151" s="757"/>
      <c r="AM151" s="904"/>
      <c r="AN151" s="904"/>
      <c r="AO151" s="904"/>
      <c r="AP151" s="757"/>
      <c r="AQ151" s="756"/>
      <c r="AR151" s="756"/>
      <c r="AS151" s="1160"/>
      <c r="AT151" s="757"/>
      <c r="AU151" s="756"/>
      <c r="AV151" s="756"/>
      <c r="AW151" s="1160"/>
      <c r="AX151" s="757"/>
      <c r="AY151" s="756"/>
      <c r="AZ151" s="756"/>
      <c r="BA151" s="1160"/>
      <c r="BB151" s="756"/>
      <c r="BC151" s="756"/>
      <c r="BD151" s="756"/>
      <c r="BE151" s="756"/>
      <c r="BF151" s="756"/>
      <c r="BG151" s="756"/>
      <c r="BH151" s="756"/>
      <c r="BI151" s="756"/>
      <c r="BJ151" s="756"/>
      <c r="BK151" s="756"/>
      <c r="BL151" s="756"/>
      <c r="BM151" s="756"/>
      <c r="BN151" s="756"/>
      <c r="BO151" s="756"/>
      <c r="BP151" s="756"/>
    </row>
    <row r="152" spans="1:68">
      <c r="B152" s="4" t="s">
        <v>253</v>
      </c>
      <c r="BE152" s="243">
        <v>438</v>
      </c>
      <c r="BF152" s="243">
        <v>495</v>
      </c>
      <c r="BG152" s="243">
        <v>157</v>
      </c>
      <c r="BH152" s="243">
        <v>182</v>
      </c>
      <c r="BI152" s="243">
        <v>231</v>
      </c>
      <c r="BJ152" s="243">
        <v>211</v>
      </c>
      <c r="BK152" s="243">
        <v>168</v>
      </c>
      <c r="BL152" s="243">
        <v>104</v>
      </c>
    </row>
    <row r="153" spans="1:68">
      <c r="B153" s="4" t="s">
        <v>254</v>
      </c>
      <c r="BE153" s="243">
        <v>44</v>
      </c>
      <c r="BF153" s="243">
        <v>8</v>
      </c>
      <c r="BH153" s="243">
        <v>11</v>
      </c>
      <c r="BI153" s="243">
        <v>20</v>
      </c>
      <c r="BJ153" s="243">
        <v>5</v>
      </c>
      <c r="BK153" s="243">
        <v>16</v>
      </c>
      <c r="BL153" s="243">
        <v>34</v>
      </c>
    </row>
    <row r="154" spans="1:68">
      <c r="B154" s="4" t="s">
        <v>255</v>
      </c>
      <c r="BE154" s="243">
        <v>185</v>
      </c>
      <c r="BF154" s="243">
        <v>177</v>
      </c>
      <c r="BG154" s="243">
        <v>169</v>
      </c>
      <c r="BH154" s="243">
        <v>124</v>
      </c>
      <c r="BI154" s="243">
        <v>139</v>
      </c>
      <c r="BJ154" s="243">
        <v>158</v>
      </c>
      <c r="BK154" s="243">
        <v>194</v>
      </c>
      <c r="BL154" s="243">
        <v>240</v>
      </c>
    </row>
    <row r="155" spans="1:68">
      <c r="B155" s="4" t="s">
        <v>256</v>
      </c>
      <c r="BE155" s="243">
        <v>305</v>
      </c>
      <c r="BF155" s="243">
        <v>282</v>
      </c>
      <c r="BG155" s="243">
        <v>268</v>
      </c>
      <c r="BH155" s="243">
        <v>229</v>
      </c>
      <c r="BI155" s="243">
        <v>341</v>
      </c>
      <c r="BJ155" s="243">
        <v>321</v>
      </c>
      <c r="BK155" s="243">
        <v>378</v>
      </c>
      <c r="BL155" s="243">
        <v>401</v>
      </c>
    </row>
    <row r="156" spans="1:68">
      <c r="B156" s="4" t="s">
        <v>257</v>
      </c>
      <c r="BE156" s="243">
        <v>748</v>
      </c>
      <c r="BF156" s="243">
        <v>835</v>
      </c>
      <c r="BG156" s="243">
        <v>971</v>
      </c>
      <c r="BH156" s="243">
        <v>816</v>
      </c>
      <c r="BI156" s="243">
        <v>960</v>
      </c>
      <c r="BJ156" s="243">
        <v>861</v>
      </c>
      <c r="BK156" s="243">
        <v>1151</v>
      </c>
      <c r="BL156" s="243">
        <v>2740</v>
      </c>
    </row>
    <row r="157" spans="1:68">
      <c r="B157" s="4" t="s">
        <v>258</v>
      </c>
      <c r="BE157" s="243">
        <v>41</v>
      </c>
    </row>
    <row r="158" spans="1:68">
      <c r="B158" s="4" t="s">
        <v>259</v>
      </c>
      <c r="BE158" s="243">
        <v>995</v>
      </c>
      <c r="BF158" s="243">
        <v>1184</v>
      </c>
      <c r="BG158" s="243">
        <v>1277</v>
      </c>
      <c r="BH158" s="243">
        <v>197</v>
      </c>
      <c r="BI158" s="243">
        <v>272</v>
      </c>
      <c r="BJ158" s="243">
        <v>828</v>
      </c>
      <c r="BK158" s="243">
        <v>1191</v>
      </c>
      <c r="BL158" s="243">
        <v>1677</v>
      </c>
    </row>
    <row r="159" spans="1:68">
      <c r="B159" s="4" t="s">
        <v>260</v>
      </c>
      <c r="BE159" s="243">
        <v>125</v>
      </c>
      <c r="BF159" s="243">
        <v>214</v>
      </c>
      <c r="BG159" s="243">
        <v>313</v>
      </c>
      <c r="BH159" s="243">
        <v>227</v>
      </c>
      <c r="BI159" s="243">
        <v>628</v>
      </c>
      <c r="BJ159" s="243">
        <v>516</v>
      </c>
      <c r="BK159" s="243">
        <v>336</v>
      </c>
      <c r="BL159" s="243">
        <v>557</v>
      </c>
    </row>
    <row r="160" spans="1:68">
      <c r="B160" s="4" t="s">
        <v>261</v>
      </c>
      <c r="BE160" s="243">
        <v>72</v>
      </c>
      <c r="BF160" s="243">
        <v>77</v>
      </c>
      <c r="BG160" s="243">
        <v>76</v>
      </c>
      <c r="BH160" s="243">
        <v>78</v>
      </c>
      <c r="BI160" s="243">
        <v>117</v>
      </c>
      <c r="BJ160" s="243">
        <v>117</v>
      </c>
      <c r="BK160" s="243">
        <v>117</v>
      </c>
      <c r="BL160" s="243">
        <v>149</v>
      </c>
    </row>
    <row r="161" spans="2:64">
      <c r="B161" s="4" t="s">
        <v>262</v>
      </c>
    </row>
    <row r="162" spans="2:64">
      <c r="B162" s="258" t="s">
        <v>263</v>
      </c>
      <c r="BE162" s="243">
        <v>289</v>
      </c>
      <c r="BF162" s="243">
        <v>428</v>
      </c>
      <c r="BG162" s="243">
        <v>329</v>
      </c>
      <c r="BH162" s="243">
        <v>391</v>
      </c>
      <c r="BI162" s="243">
        <v>633</v>
      </c>
      <c r="BJ162" s="243">
        <v>447</v>
      </c>
      <c r="BK162" s="243">
        <v>370</v>
      </c>
      <c r="BL162" s="243">
        <v>536</v>
      </c>
    </row>
    <row r="163" spans="2:64">
      <c r="B163" s="258" t="s">
        <v>264</v>
      </c>
      <c r="BE163" s="243">
        <v>17</v>
      </c>
      <c r="BF163" s="243">
        <v>12</v>
      </c>
      <c r="BG163" s="243">
        <v>6</v>
      </c>
      <c r="BH163" s="243">
        <v>9</v>
      </c>
      <c r="BI163" s="243">
        <v>60</v>
      </c>
      <c r="BJ163" s="243">
        <v>46</v>
      </c>
      <c r="BK163" s="243">
        <v>80</v>
      </c>
      <c r="BL163" s="243">
        <v>140</v>
      </c>
    </row>
    <row r="164" spans="2:64">
      <c r="B164" s="258" t="s">
        <v>265</v>
      </c>
      <c r="BE164" s="243">
        <v>246</v>
      </c>
      <c r="BF164" s="243">
        <v>199</v>
      </c>
      <c r="BG164" s="243">
        <v>196</v>
      </c>
      <c r="BH164" s="243">
        <v>130</v>
      </c>
      <c r="BI164" s="243">
        <v>158</v>
      </c>
      <c r="BJ164" s="243">
        <v>184</v>
      </c>
      <c r="BK164" s="243">
        <v>256</v>
      </c>
      <c r="BL164" s="243">
        <v>309</v>
      </c>
    </row>
    <row r="165" spans="2:64">
      <c r="B165" s="4" t="s">
        <v>266</v>
      </c>
      <c r="BE165" s="243">
        <v>32</v>
      </c>
      <c r="BH165" s="243">
        <v>106</v>
      </c>
      <c r="BI165" s="243">
        <v>0</v>
      </c>
      <c r="BL165" s="243">
        <v>55</v>
      </c>
    </row>
    <row r="166" spans="2:64">
      <c r="B166" s="4" t="s">
        <v>267</v>
      </c>
      <c r="BE166" s="243">
        <v>18</v>
      </c>
      <c r="BF166" s="243">
        <v>79</v>
      </c>
      <c r="BG166" s="243">
        <v>84</v>
      </c>
      <c r="BH166" s="243">
        <v>205</v>
      </c>
      <c r="BI166" s="243">
        <v>16</v>
      </c>
      <c r="BJ166" s="243">
        <v>72</v>
      </c>
      <c r="BK166" s="243">
        <v>104</v>
      </c>
      <c r="BL166" s="243">
        <v>68</v>
      </c>
    </row>
    <row r="167" spans="2:64">
      <c r="B167" s="4" t="s">
        <v>268</v>
      </c>
      <c r="BE167" s="243">
        <v>10</v>
      </c>
      <c r="BF167" s="243">
        <v>4</v>
      </c>
      <c r="BG167" s="243">
        <v>6</v>
      </c>
      <c r="BH167" s="243">
        <v>4</v>
      </c>
      <c r="BI167" s="243">
        <v>9</v>
      </c>
      <c r="BJ167" s="243">
        <v>11</v>
      </c>
    </row>
    <row r="168" spans="2:64">
      <c r="B168" s="4" t="s">
        <v>269</v>
      </c>
      <c r="BE168" s="243">
        <v>7</v>
      </c>
      <c r="BF168" s="243">
        <v>19</v>
      </c>
      <c r="BG168" s="243">
        <v>13</v>
      </c>
      <c r="BH168" s="243">
        <v>16</v>
      </c>
      <c r="BI168" s="243">
        <v>0</v>
      </c>
      <c r="BJ168" s="243">
        <v>13</v>
      </c>
      <c r="BK168" s="243">
        <v>0</v>
      </c>
    </row>
    <row r="169" spans="2:64">
      <c r="B169" s="4" t="s">
        <v>270</v>
      </c>
      <c r="BE169" s="243">
        <v>58</v>
      </c>
      <c r="BF169" s="243">
        <v>62</v>
      </c>
      <c r="BG169" s="243">
        <v>56</v>
      </c>
      <c r="BH169" s="243">
        <v>81</v>
      </c>
      <c r="BI169" s="243">
        <v>104</v>
      </c>
      <c r="BJ169" s="243">
        <v>128</v>
      </c>
      <c r="BK169" s="243">
        <v>129</v>
      </c>
      <c r="BL169" s="243">
        <v>185</v>
      </c>
    </row>
    <row r="170" spans="2:64">
      <c r="B170" s="4" t="s">
        <v>271</v>
      </c>
      <c r="BE170" s="243">
        <v>181</v>
      </c>
      <c r="BF170" s="243">
        <v>173</v>
      </c>
      <c r="BG170" s="243">
        <v>130</v>
      </c>
      <c r="BH170" s="243">
        <v>105</v>
      </c>
      <c r="BI170" s="243">
        <v>141</v>
      </c>
      <c r="BJ170" s="243">
        <v>93</v>
      </c>
      <c r="BK170" s="243">
        <v>72</v>
      </c>
      <c r="BL170" s="243">
        <v>112</v>
      </c>
    </row>
    <row r="171" spans="2:64">
      <c r="B171" s="4" t="s">
        <v>272</v>
      </c>
      <c r="BE171" s="243">
        <v>176</v>
      </c>
      <c r="BF171" s="243">
        <v>146</v>
      </c>
      <c r="BG171" s="243">
        <v>188</v>
      </c>
      <c r="BH171" s="243">
        <v>17</v>
      </c>
      <c r="BI171" s="243">
        <v>50</v>
      </c>
      <c r="BJ171" s="243">
        <v>164</v>
      </c>
      <c r="BK171" s="243">
        <v>387</v>
      </c>
      <c r="BL171" s="243">
        <v>498</v>
      </c>
    </row>
    <row r="172" spans="2:64">
      <c r="B172" s="4" t="s">
        <v>273</v>
      </c>
      <c r="BE172" s="243">
        <v>2117</v>
      </c>
      <c r="BF172" s="243">
        <v>3004</v>
      </c>
      <c r="BG172" s="243">
        <v>2893</v>
      </c>
      <c r="BH172" s="243">
        <v>3845</v>
      </c>
      <c r="BI172" s="243">
        <v>6572</v>
      </c>
      <c r="BJ172" s="243">
        <v>9267</v>
      </c>
      <c r="BK172" s="243">
        <v>9117</v>
      </c>
      <c r="BL172" s="243">
        <v>13902</v>
      </c>
    </row>
    <row r="173" spans="2:64">
      <c r="B173" s="4" t="s">
        <v>274</v>
      </c>
    </row>
    <row r="174" spans="2:64">
      <c r="B174" s="4" t="s">
        <v>275</v>
      </c>
      <c r="BE174" s="243">
        <v>10</v>
      </c>
      <c r="BF174" s="243">
        <v>16</v>
      </c>
      <c r="BG174" s="243">
        <v>18</v>
      </c>
      <c r="BH174" s="243">
        <v>40</v>
      </c>
      <c r="BI174" s="243">
        <v>21</v>
      </c>
      <c r="BJ174" s="243">
        <v>11</v>
      </c>
      <c r="BK174" s="243">
        <v>14</v>
      </c>
      <c r="BL174" s="243">
        <v>20</v>
      </c>
    </row>
    <row r="175" spans="2:64">
      <c r="B175" s="4" t="s">
        <v>276</v>
      </c>
      <c r="BE175" s="243">
        <v>303</v>
      </c>
      <c r="BF175" s="243">
        <v>410</v>
      </c>
      <c r="BG175" s="243">
        <v>5</v>
      </c>
    </row>
    <row r="176" spans="2:64">
      <c r="B176" s="4" t="s">
        <v>277</v>
      </c>
      <c r="BE176" s="243">
        <v>344</v>
      </c>
      <c r="BF176" s="243">
        <v>403</v>
      </c>
      <c r="BG176" s="243">
        <v>1064</v>
      </c>
      <c r="BH176" s="243">
        <v>1660</v>
      </c>
      <c r="BI176" s="243">
        <v>2352</v>
      </c>
      <c r="BJ176" s="243">
        <v>4751</v>
      </c>
      <c r="BK176" s="243">
        <v>7302</v>
      </c>
      <c r="BL176" s="243">
        <v>9149</v>
      </c>
    </row>
    <row r="177" spans="2:68">
      <c r="B177" s="4" t="s">
        <v>278</v>
      </c>
      <c r="BE177" s="243">
        <v>222</v>
      </c>
      <c r="BF177" s="243">
        <v>227</v>
      </c>
      <c r="BG177" s="243">
        <v>245</v>
      </c>
      <c r="BH177" s="243">
        <v>267</v>
      </c>
      <c r="BI177" s="243">
        <v>407</v>
      </c>
      <c r="BJ177" s="243">
        <v>304</v>
      </c>
      <c r="BK177" s="243">
        <v>228</v>
      </c>
      <c r="BL177" s="243">
        <v>352</v>
      </c>
    </row>
    <row r="178" spans="2:68">
      <c r="B178" s="61" t="s">
        <v>279</v>
      </c>
      <c r="C178" s="61"/>
      <c r="D178" s="61"/>
      <c r="E178" s="61"/>
      <c r="F178" s="61"/>
      <c r="G178" s="61"/>
      <c r="H178" s="500"/>
      <c r="I178" s="500"/>
      <c r="J178" s="500"/>
      <c r="K178" s="500"/>
      <c r="L178" s="500"/>
      <c r="M178" s="500"/>
      <c r="N178" s="500"/>
      <c r="O178" s="500"/>
      <c r="P178" s="500"/>
      <c r="Q178" s="500"/>
      <c r="R178" s="500"/>
      <c r="S178" s="500"/>
      <c r="T178" s="500"/>
      <c r="U178" s="500"/>
      <c r="V178" s="500"/>
      <c r="W178" s="500"/>
      <c r="X178" s="500"/>
      <c r="Y178" s="500"/>
      <c r="Z178" s="500"/>
      <c r="AA178" s="500"/>
      <c r="AB178" s="500"/>
      <c r="AC178" s="500"/>
      <c r="AD178" s="500"/>
      <c r="AE178" s="500"/>
      <c r="AF178" s="500"/>
      <c r="AG178" s="500"/>
      <c r="AH178" s="500"/>
      <c r="AI178" s="500"/>
      <c r="AJ178" s="500"/>
      <c r="AK178" s="500"/>
      <c r="AL178" s="650"/>
      <c r="AM178" s="500"/>
      <c r="AN178" s="500"/>
      <c r="AO178" s="500"/>
      <c r="AP178" s="500"/>
      <c r="AQ178" s="500"/>
      <c r="AR178" s="500"/>
      <c r="AS178" s="500"/>
      <c r="AT178" s="500"/>
      <c r="AU178" s="500"/>
      <c r="AV178" s="500"/>
      <c r="AW178" s="500"/>
      <c r="AX178" s="500"/>
      <c r="AY178" s="500"/>
      <c r="AZ178" s="500"/>
      <c r="BA178" s="500"/>
      <c r="BB178" s="500"/>
      <c r="BC178" s="500"/>
      <c r="BD178" s="500"/>
      <c r="BE178" s="500">
        <v>6983</v>
      </c>
      <c r="BF178" s="500">
        <f t="shared" ref="BF178:BL178" si="407">SUM(BF152:BF177)</f>
        <v>8454</v>
      </c>
      <c r="BG178" s="500">
        <f t="shared" si="407"/>
        <v>8464</v>
      </c>
      <c r="BH178" s="500">
        <f t="shared" si="407"/>
        <v>8740</v>
      </c>
      <c r="BI178" s="500">
        <f t="shared" si="407"/>
        <v>13231</v>
      </c>
      <c r="BJ178" s="500">
        <f t="shared" si="407"/>
        <v>18508</v>
      </c>
      <c r="BK178" s="500">
        <f t="shared" si="407"/>
        <v>21610</v>
      </c>
      <c r="BL178" s="500">
        <f t="shared" si="407"/>
        <v>31228</v>
      </c>
      <c r="BM178" s="500">
        <f t="shared" ref="BM178" si="408">SUM(BM152:BM177)</f>
        <v>0</v>
      </c>
      <c r="BN178" s="500"/>
      <c r="BO178" s="500"/>
      <c r="BP178" s="500"/>
    </row>
    <row r="179" spans="2:68">
      <c r="B179" s="6"/>
      <c r="C179" s="6"/>
      <c r="D179" s="6"/>
      <c r="E179" s="6"/>
      <c r="F179" s="6"/>
      <c r="G179" s="6"/>
      <c r="H179" s="885"/>
      <c r="I179" s="885"/>
      <c r="J179" s="885"/>
      <c r="K179" s="885"/>
      <c r="L179" s="885"/>
      <c r="M179" s="885"/>
      <c r="N179" s="885"/>
      <c r="O179" s="885"/>
      <c r="P179" s="885"/>
      <c r="Q179" s="885"/>
      <c r="R179" s="885"/>
      <c r="S179" s="885"/>
      <c r="T179" s="885"/>
      <c r="U179" s="885"/>
      <c r="V179" s="885"/>
      <c r="W179" s="885"/>
      <c r="X179" s="885"/>
      <c r="Y179" s="885"/>
      <c r="Z179" s="885"/>
      <c r="AA179" s="885"/>
      <c r="AB179" s="885"/>
      <c r="AC179" s="885"/>
      <c r="AD179" s="885"/>
      <c r="AE179" s="885"/>
      <c r="AF179" s="885"/>
      <c r="AG179" s="885"/>
      <c r="AH179" s="885"/>
      <c r="AI179" s="885"/>
      <c r="AJ179" s="885"/>
      <c r="AK179" s="885"/>
      <c r="AL179" s="717"/>
      <c r="AM179" s="885"/>
      <c r="AN179" s="885"/>
      <c r="AO179" s="885"/>
      <c r="AP179" s="885"/>
      <c r="AQ179" s="885"/>
      <c r="AR179" s="885"/>
      <c r="AS179" s="885"/>
      <c r="AT179" s="885"/>
      <c r="AU179" s="885"/>
      <c r="AV179" s="885"/>
      <c r="AW179" s="885"/>
      <c r="AX179" s="885"/>
      <c r="AY179" s="885"/>
      <c r="AZ179" s="885"/>
      <c r="BA179" s="885"/>
      <c r="BB179" s="885"/>
      <c r="BC179" s="885"/>
      <c r="BD179" s="885"/>
      <c r="BE179" s="885"/>
      <c r="BF179" s="885"/>
      <c r="BG179" s="885"/>
      <c r="BH179" s="36">
        <f t="shared" ref="BH179:BK179" si="409">BH178/BG178-1</f>
        <v>3.2608695652173836E-2</v>
      </c>
      <c r="BI179" s="36">
        <f t="shared" si="409"/>
        <v>0.51384439359267731</v>
      </c>
      <c r="BJ179" s="36">
        <f t="shared" si="409"/>
        <v>0.39883606681278816</v>
      </c>
      <c r="BK179" s="36">
        <f t="shared" si="409"/>
        <v>0.16760319861681428</v>
      </c>
      <c r="BL179" s="36">
        <f>BL178/BK178-1</f>
        <v>0.44507172605275325</v>
      </c>
      <c r="BM179" s="36">
        <f>BM178/BL178-1</f>
        <v>-1</v>
      </c>
      <c r="BN179" s="885"/>
      <c r="BO179" s="885"/>
      <c r="BP179" s="885"/>
    </row>
    <row r="180" spans="2:68">
      <c r="B180" s="6" t="s">
        <v>177</v>
      </c>
    </row>
    <row r="181" spans="2:68">
      <c r="B181" s="4" t="s">
        <v>253</v>
      </c>
      <c r="BE181" s="19">
        <v>1.4641973657819081E-2</v>
      </c>
      <c r="BF181" s="19">
        <f t="shared" ref="BF181:BK196" si="410">BF152/BF$12</f>
        <v>1.3464991023339317E-2</v>
      </c>
      <c r="BG181" s="19">
        <f t="shared" si="410"/>
        <v>3.752479743779727E-3</v>
      </c>
      <c r="BH181" s="19">
        <f t="shared" si="410"/>
        <v>3.9032341082611307E-3</v>
      </c>
      <c r="BI181" s="19">
        <f t="shared" si="410"/>
        <v>3.591417910447761E-3</v>
      </c>
      <c r="BJ181" s="19">
        <f t="shared" si="410"/>
        <v>2.6326953310208869E-3</v>
      </c>
      <c r="BK181" s="19">
        <f t="shared" si="410"/>
        <v>1.8648225643530286E-3</v>
      </c>
      <c r="BL181" s="19">
        <f>BL152/BL$12</f>
        <v>8.614049182907739E-4</v>
      </c>
      <c r="BM181" s="19">
        <f>BM152/BM$12</f>
        <v>0</v>
      </c>
    </row>
    <row r="182" spans="2:68">
      <c r="B182" s="4" t="s">
        <v>254</v>
      </c>
      <c r="BE182" s="19">
        <v>1.4708831985023735E-3</v>
      </c>
      <c r="BF182" s="19">
        <f t="shared" si="410"/>
        <v>2.1761601653881726E-4</v>
      </c>
      <c r="BG182" s="19">
        <f t="shared" si="410"/>
        <v>0</v>
      </c>
      <c r="BH182" s="19">
        <f t="shared" si="410"/>
        <v>2.3590975379600239E-4</v>
      </c>
      <c r="BI182" s="19">
        <f t="shared" si="410"/>
        <v>3.1094527363184079E-4</v>
      </c>
      <c r="BJ182" s="19">
        <f t="shared" si="410"/>
        <v>6.2386145284855146E-5</v>
      </c>
      <c r="BK182" s="19">
        <f t="shared" si="410"/>
        <v>1.7760214898600272E-4</v>
      </c>
      <c r="BL182" s="19">
        <f t="shared" ref="BL182:BM207" si="411">BL153/BL$12</f>
        <v>2.8161314636429146E-4</v>
      </c>
      <c r="BM182" s="19">
        <f t="shared" si="411"/>
        <v>0</v>
      </c>
    </row>
    <row r="183" spans="2:68">
      <c r="B183" s="4" t="s">
        <v>255</v>
      </c>
      <c r="BE183" s="19">
        <v>6.1843952664304338E-3</v>
      </c>
      <c r="BF183" s="19">
        <f t="shared" si="410"/>
        <v>4.8147543659213315E-3</v>
      </c>
      <c r="BG183" s="19">
        <f t="shared" si="410"/>
        <v>4.0392934821577957E-3</v>
      </c>
      <c r="BH183" s="19">
        <f t="shared" si="410"/>
        <v>2.6593463155185726E-3</v>
      </c>
      <c r="BI183" s="19">
        <f t="shared" si="410"/>
        <v>2.1610696517412936E-3</v>
      </c>
      <c r="BJ183" s="19">
        <f t="shared" si="410"/>
        <v>1.9714021910014223E-3</v>
      </c>
      <c r="BK183" s="19">
        <f t="shared" si="410"/>
        <v>2.1534260564552831E-3</v>
      </c>
      <c r="BL183" s="19">
        <f t="shared" si="411"/>
        <v>1.9878575037479396E-3</v>
      </c>
      <c r="BM183" s="19">
        <f t="shared" si="411"/>
        <v>0</v>
      </c>
    </row>
    <row r="184" spans="2:68">
      <c r="B184" s="4" t="s">
        <v>256</v>
      </c>
      <c r="BE184" s="19">
        <v>1.0195894898709635E-2</v>
      </c>
      <c r="BF184" s="19">
        <f t="shared" si="410"/>
        <v>7.6709645829933079E-3</v>
      </c>
      <c r="BG184" s="19">
        <f t="shared" si="410"/>
        <v>6.4055068237768593E-3</v>
      </c>
      <c r="BH184" s="19">
        <f t="shared" si="410"/>
        <v>4.911212147207686E-3</v>
      </c>
      <c r="BI184" s="19">
        <f t="shared" si="410"/>
        <v>5.3016169154228854E-3</v>
      </c>
      <c r="BJ184" s="19">
        <f t="shared" si="410"/>
        <v>4.0051905272877001E-3</v>
      </c>
      <c r="BK184" s="19">
        <f t="shared" si="410"/>
        <v>4.1958507697943143E-3</v>
      </c>
      <c r="BL184" s="19">
        <f t="shared" si="411"/>
        <v>3.3213785791788492E-3</v>
      </c>
      <c r="BM184" s="19">
        <f t="shared" si="411"/>
        <v>0</v>
      </c>
    </row>
    <row r="185" spans="2:68">
      <c r="B185" s="4" t="s">
        <v>257</v>
      </c>
      <c r="BE185" s="19">
        <v>2.5005014374540349E-2</v>
      </c>
      <c r="BF185" s="19">
        <f t="shared" si="410"/>
        <v>2.2713671726239053E-2</v>
      </c>
      <c r="BG185" s="19">
        <f t="shared" si="410"/>
        <v>2.3208011663758694E-2</v>
      </c>
      <c r="BH185" s="19">
        <f t="shared" si="410"/>
        <v>1.7500214463412541E-2</v>
      </c>
      <c r="BI185" s="19">
        <f t="shared" si="410"/>
        <v>1.4925373134328358E-2</v>
      </c>
      <c r="BJ185" s="19">
        <f t="shared" si="410"/>
        <v>1.0742894218052055E-2</v>
      </c>
      <c r="BK185" s="505">
        <f t="shared" si="410"/>
        <v>1.2776254592680572E-2</v>
      </c>
      <c r="BL185" s="505">
        <f t="shared" si="411"/>
        <v>2.2694706501122312E-2</v>
      </c>
      <c r="BM185" s="505">
        <f t="shared" si="411"/>
        <v>0</v>
      </c>
    </row>
    <row r="186" spans="2:68">
      <c r="B186" s="4" t="s">
        <v>258</v>
      </c>
      <c r="BE186" s="19">
        <v>1.3705957076953934E-3</v>
      </c>
      <c r="BF186" s="19">
        <f t="shared" si="410"/>
        <v>0</v>
      </c>
      <c r="BG186" s="19">
        <f t="shared" si="410"/>
        <v>0</v>
      </c>
      <c r="BH186" s="19">
        <f t="shared" si="410"/>
        <v>0</v>
      </c>
      <c r="BI186" s="19">
        <f t="shared" si="410"/>
        <v>0</v>
      </c>
      <c r="BJ186" s="19">
        <f t="shared" si="410"/>
        <v>0</v>
      </c>
      <c r="BK186" s="19">
        <f t="shared" si="410"/>
        <v>0</v>
      </c>
      <c r="BL186" s="19">
        <f t="shared" si="411"/>
        <v>0</v>
      </c>
      <c r="BM186" s="19">
        <f t="shared" si="411"/>
        <v>0</v>
      </c>
    </row>
    <row r="187" spans="2:68">
      <c r="B187" s="4" t="s">
        <v>259</v>
      </c>
      <c r="BE187" s="19">
        <v>3.3262017784315034E-2</v>
      </c>
      <c r="BF187" s="19">
        <f t="shared" si="410"/>
        <v>3.2207170447744952E-2</v>
      </c>
      <c r="BG187" s="19">
        <f t="shared" si="410"/>
        <v>3.0521761992399435E-2</v>
      </c>
      <c r="BH187" s="19">
        <f t="shared" si="410"/>
        <v>4.2249292270738611E-3</v>
      </c>
      <c r="BI187" s="19">
        <f t="shared" si="410"/>
        <v>4.2288557213930348E-3</v>
      </c>
      <c r="BJ187" s="19">
        <f t="shared" si="410"/>
        <v>1.033114565917201E-2</v>
      </c>
      <c r="BK187" s="505">
        <f t="shared" si="410"/>
        <v>1.3220259965145578E-2</v>
      </c>
      <c r="BL187" s="505">
        <f t="shared" si="411"/>
        <v>1.3890154307438729E-2</v>
      </c>
      <c r="BM187" s="505">
        <f t="shared" si="411"/>
        <v>0</v>
      </c>
    </row>
    <row r="188" spans="2:68">
      <c r="B188" s="4" t="s">
        <v>260</v>
      </c>
      <c r="BE188" s="19">
        <v>4.1786454502908341E-3</v>
      </c>
      <c r="BF188" s="19">
        <f t="shared" si="410"/>
        <v>5.8212284424133615E-3</v>
      </c>
      <c r="BG188" s="19">
        <f t="shared" si="410"/>
        <v>7.4810583426946154E-3</v>
      </c>
      <c r="BH188" s="19">
        <f t="shared" si="410"/>
        <v>4.8683194646993227E-3</v>
      </c>
      <c r="BI188" s="19">
        <f t="shared" si="410"/>
        <v>9.7636815920398006E-3</v>
      </c>
      <c r="BJ188" s="19">
        <f t="shared" si="410"/>
        <v>6.4382501933970505E-3</v>
      </c>
      <c r="BK188" s="19">
        <f t="shared" si="410"/>
        <v>3.7296451287060573E-3</v>
      </c>
      <c r="BL188" s="19">
        <f t="shared" si="411"/>
        <v>4.6134859566150099E-3</v>
      </c>
      <c r="BM188" s="19">
        <f t="shared" si="411"/>
        <v>0</v>
      </c>
    </row>
    <row r="189" spans="2:68">
      <c r="B189" s="4" t="s">
        <v>261</v>
      </c>
      <c r="BE189" s="19">
        <v>2.4068997793675203E-3</v>
      </c>
      <c r="BF189" s="19">
        <f t="shared" si="410"/>
        <v>2.0945541591861159E-3</v>
      </c>
      <c r="BG189" s="19">
        <f t="shared" si="410"/>
        <v>1.816487009727766E-3</v>
      </c>
      <c r="BH189" s="19">
        <f t="shared" si="410"/>
        <v>1.672814617826199E-3</v>
      </c>
      <c r="BI189" s="19">
        <f t="shared" si="410"/>
        <v>1.8190298507462686E-3</v>
      </c>
      <c r="BJ189" s="19">
        <f t="shared" si="410"/>
        <v>1.4598357996656102E-3</v>
      </c>
      <c r="BK189" s="19">
        <f t="shared" si="410"/>
        <v>1.2987157144601449E-3</v>
      </c>
      <c r="BL189" s="19">
        <f t="shared" si="411"/>
        <v>1.2341282002435124E-3</v>
      </c>
      <c r="BM189" s="19">
        <f t="shared" si="411"/>
        <v>0</v>
      </c>
    </row>
    <row r="190" spans="2:68">
      <c r="B190" s="4" t="s">
        <v>262</v>
      </c>
      <c r="BE190" s="19">
        <v>0</v>
      </c>
      <c r="BF190" s="19">
        <f t="shared" si="410"/>
        <v>0</v>
      </c>
      <c r="BG190" s="19">
        <f t="shared" si="410"/>
        <v>0</v>
      </c>
      <c r="BH190" s="19">
        <f t="shared" si="410"/>
        <v>0</v>
      </c>
      <c r="BI190" s="19">
        <f t="shared" si="410"/>
        <v>0</v>
      </c>
      <c r="BJ190" s="19">
        <f t="shared" si="410"/>
        <v>0</v>
      </c>
      <c r="BK190" s="19">
        <f t="shared" si="410"/>
        <v>0</v>
      </c>
      <c r="BL190" s="19">
        <f t="shared" si="411"/>
        <v>0</v>
      </c>
      <c r="BM190" s="19">
        <f t="shared" si="411"/>
        <v>0</v>
      </c>
    </row>
    <row r="191" spans="2:68">
      <c r="B191" s="258" t="s">
        <v>263</v>
      </c>
      <c r="BE191" s="19">
        <v>9.661028281072407E-3</v>
      </c>
      <c r="BF191" s="19">
        <f t="shared" si="410"/>
        <v>1.1642456884826723E-2</v>
      </c>
      <c r="BG191" s="19">
        <f t="shared" si="410"/>
        <v>7.86347666053204E-3</v>
      </c>
      <c r="BH191" s="19">
        <f t="shared" si="410"/>
        <v>8.3855194303851764E-3</v>
      </c>
      <c r="BI191" s="19">
        <f t="shared" si="410"/>
        <v>9.8414179104477605E-3</v>
      </c>
      <c r="BJ191" s="19">
        <f t="shared" si="410"/>
        <v>5.5773213884660498E-3</v>
      </c>
      <c r="BK191" s="19">
        <f t="shared" si="410"/>
        <v>4.1070496953013128E-3</v>
      </c>
      <c r="BL191" s="19">
        <f t="shared" si="411"/>
        <v>4.4395484250370652E-3</v>
      </c>
      <c r="BM191" s="19">
        <f t="shared" si="411"/>
        <v>0</v>
      </c>
    </row>
    <row r="192" spans="2:68">
      <c r="B192" s="258" t="s">
        <v>264</v>
      </c>
      <c r="BE192" s="19">
        <v>5.6829578123955343E-4</v>
      </c>
      <c r="BF192" s="19">
        <f t="shared" si="410"/>
        <v>3.2642402480822591E-4</v>
      </c>
      <c r="BG192" s="19">
        <f t="shared" si="410"/>
        <v>1.4340686918903414E-4</v>
      </c>
      <c r="BH192" s="19">
        <f t="shared" si="410"/>
        <v>1.9301707128763833E-4</v>
      </c>
      <c r="BI192" s="19">
        <f t="shared" si="410"/>
        <v>9.3283582089552237E-4</v>
      </c>
      <c r="BJ192" s="19">
        <f t="shared" si="410"/>
        <v>5.7395253662066725E-4</v>
      </c>
      <c r="BK192" s="19">
        <f t="shared" si="410"/>
        <v>8.8801074493001367E-4</v>
      </c>
      <c r="BL192" s="19">
        <f t="shared" si="411"/>
        <v>1.1595835438529649E-3</v>
      </c>
      <c r="BM192" s="19">
        <f t="shared" si="411"/>
        <v>0</v>
      </c>
    </row>
    <row r="193" spans="2:68">
      <c r="B193" s="258" t="s">
        <v>265</v>
      </c>
      <c r="BE193" s="19">
        <v>8.2235742461723611E-3</v>
      </c>
      <c r="BF193" s="19">
        <f t="shared" si="410"/>
        <v>5.4131984114030793E-3</v>
      </c>
      <c r="BG193" s="19">
        <f t="shared" si="410"/>
        <v>4.684624393508449E-3</v>
      </c>
      <c r="BH193" s="19">
        <f t="shared" si="410"/>
        <v>2.7880243630436646E-3</v>
      </c>
      <c r="BI193" s="19">
        <f t="shared" si="410"/>
        <v>2.4564676616915422E-3</v>
      </c>
      <c r="BJ193" s="19">
        <f t="shared" si="410"/>
        <v>2.295810146482669E-3</v>
      </c>
      <c r="BK193" s="19">
        <f t="shared" si="410"/>
        <v>2.8416343837760435E-3</v>
      </c>
      <c r="BL193" s="19">
        <f t="shared" si="411"/>
        <v>2.5593665360754722E-3</v>
      </c>
      <c r="BM193" s="19">
        <f t="shared" si="411"/>
        <v>0</v>
      </c>
    </row>
    <row r="194" spans="2:68">
      <c r="B194" s="4" t="s">
        <v>266</v>
      </c>
      <c r="BE194" s="19">
        <v>1.0697332352744534E-3</v>
      </c>
      <c r="BF194" s="19">
        <f t="shared" si="410"/>
        <v>0</v>
      </c>
      <c r="BG194" s="19">
        <f t="shared" si="410"/>
        <v>0</v>
      </c>
      <c r="BH194" s="19">
        <f t="shared" si="410"/>
        <v>2.273312172943296E-3</v>
      </c>
      <c r="BI194" s="19">
        <f t="shared" si="410"/>
        <v>0</v>
      </c>
      <c r="BJ194" s="19">
        <f t="shared" si="410"/>
        <v>0</v>
      </c>
      <c r="BK194" s="19">
        <f t="shared" si="410"/>
        <v>0</v>
      </c>
      <c r="BL194" s="19">
        <f t="shared" si="411"/>
        <v>4.5555067794223619E-4</v>
      </c>
      <c r="BM194" s="19">
        <f t="shared" si="411"/>
        <v>0</v>
      </c>
    </row>
    <row r="195" spans="2:68">
      <c r="B195" s="4" t="s">
        <v>267</v>
      </c>
      <c r="BE195" s="19">
        <v>6.0172494484188007E-4</v>
      </c>
      <c r="BF195" s="19">
        <f t="shared" si="410"/>
        <v>2.1489581633208203E-3</v>
      </c>
      <c r="BG195" s="19">
        <f t="shared" si="410"/>
        <v>2.0076961686464781E-3</v>
      </c>
      <c r="BH195" s="19">
        <f t="shared" si="410"/>
        <v>4.3964999571073178E-3</v>
      </c>
      <c r="BI195" s="19">
        <f t="shared" si="410"/>
        <v>2.4875621890547262E-4</v>
      </c>
      <c r="BJ195" s="19">
        <f t="shared" si="410"/>
        <v>8.9836049210191397E-4</v>
      </c>
      <c r="BK195" s="19">
        <f t="shared" si="410"/>
        <v>1.1544139684090177E-3</v>
      </c>
      <c r="BL195" s="19">
        <f t="shared" si="411"/>
        <v>5.6322629272858291E-4</v>
      </c>
      <c r="BM195" s="19">
        <f t="shared" si="411"/>
        <v>0</v>
      </c>
    </row>
    <row r="196" spans="2:68">
      <c r="B196" s="4" t="s">
        <v>268</v>
      </c>
      <c r="BE196" s="19">
        <v>3.3429163602326668E-4</v>
      </c>
      <c r="BF196" s="19">
        <f t="shared" si="410"/>
        <v>1.0880800826940863E-4</v>
      </c>
      <c r="BG196" s="19">
        <f t="shared" si="410"/>
        <v>1.4340686918903414E-4</v>
      </c>
      <c r="BH196" s="19">
        <f t="shared" si="410"/>
        <v>8.578536501672814E-5</v>
      </c>
      <c r="BI196" s="19">
        <f t="shared" si="410"/>
        <v>1.3992537313432837E-4</v>
      </c>
      <c r="BJ196" s="19">
        <f t="shared" si="410"/>
        <v>1.372495196266813E-4</v>
      </c>
      <c r="BK196" s="19">
        <f t="shared" si="410"/>
        <v>0</v>
      </c>
      <c r="BL196" s="19">
        <f t="shared" si="411"/>
        <v>0</v>
      </c>
      <c r="BM196" s="19">
        <f t="shared" si="411"/>
        <v>0</v>
      </c>
    </row>
    <row r="197" spans="2:68">
      <c r="B197" s="4" t="s">
        <v>269</v>
      </c>
      <c r="BE197" s="19">
        <v>2.340041452162867E-4</v>
      </c>
      <c r="BF197" s="19">
        <f t="shared" ref="BF197:BK207" si="412">BF168/BF$12</f>
        <v>5.1683803927969098E-4</v>
      </c>
      <c r="BG197" s="19">
        <f t="shared" si="412"/>
        <v>3.1071488324290733E-4</v>
      </c>
      <c r="BH197" s="19">
        <f t="shared" si="412"/>
        <v>3.4314146006691256E-4</v>
      </c>
      <c r="BI197" s="19">
        <f t="shared" si="412"/>
        <v>0</v>
      </c>
      <c r="BJ197" s="19">
        <f t="shared" si="412"/>
        <v>1.6220397774062336E-4</v>
      </c>
      <c r="BK197" s="19">
        <f t="shared" si="412"/>
        <v>0</v>
      </c>
      <c r="BL197" s="19">
        <f t="shared" si="411"/>
        <v>0</v>
      </c>
      <c r="BM197" s="19">
        <f t="shared" si="411"/>
        <v>0</v>
      </c>
    </row>
    <row r="198" spans="2:68">
      <c r="B198" s="4" t="s">
        <v>270</v>
      </c>
      <c r="BE198" s="19">
        <v>1.9388914889349469E-3</v>
      </c>
      <c r="BF198" s="19">
        <f t="shared" si="412"/>
        <v>1.6865241281758337E-3</v>
      </c>
      <c r="BG198" s="19">
        <f t="shared" si="412"/>
        <v>1.3384641124309855E-3</v>
      </c>
      <c r="BH198" s="19">
        <f t="shared" si="412"/>
        <v>1.737153641588745E-3</v>
      </c>
      <c r="BI198" s="19">
        <f t="shared" si="412"/>
        <v>1.6169154228855721E-3</v>
      </c>
      <c r="BJ198" s="19">
        <f t="shared" si="412"/>
        <v>1.5970853192922916E-3</v>
      </c>
      <c r="BK198" s="19">
        <f t="shared" si="412"/>
        <v>1.4319173261996469E-3</v>
      </c>
      <c r="BL198" s="19">
        <f t="shared" si="411"/>
        <v>1.5323068258057035E-3</v>
      </c>
      <c r="BM198" s="19">
        <f t="shared" si="411"/>
        <v>0</v>
      </c>
    </row>
    <row r="199" spans="2:68">
      <c r="B199" s="4" t="s">
        <v>271</v>
      </c>
      <c r="BE199" s="19">
        <v>6.0506786120211277E-3</v>
      </c>
      <c r="BF199" s="19">
        <f t="shared" si="412"/>
        <v>4.7059463576519227E-3</v>
      </c>
      <c r="BG199" s="19">
        <f t="shared" si="412"/>
        <v>3.1071488324290733E-3</v>
      </c>
      <c r="BH199" s="19">
        <f t="shared" si="412"/>
        <v>2.2518658316891139E-3</v>
      </c>
      <c r="BI199" s="19">
        <f t="shared" si="412"/>
        <v>2.1921641791044777E-3</v>
      </c>
      <c r="BJ199" s="19">
        <f t="shared" si="412"/>
        <v>1.1603823022983057E-3</v>
      </c>
      <c r="BK199" s="19">
        <f t="shared" si="412"/>
        <v>7.9920967043701227E-4</v>
      </c>
      <c r="BL199" s="19">
        <f t="shared" si="411"/>
        <v>9.276668350823718E-4</v>
      </c>
      <c r="BM199" s="19">
        <f t="shared" si="411"/>
        <v>0</v>
      </c>
    </row>
    <row r="200" spans="2:68">
      <c r="B200" s="4" t="s">
        <v>272</v>
      </c>
      <c r="BE200" s="19">
        <v>5.8835327940094939E-3</v>
      </c>
      <c r="BF200" s="19">
        <f t="shared" si="412"/>
        <v>3.9714923018334151E-3</v>
      </c>
      <c r="BG200" s="19">
        <f t="shared" si="412"/>
        <v>4.4934152345897371E-3</v>
      </c>
      <c r="BH200" s="19">
        <f t="shared" si="412"/>
        <v>3.6458780132109464E-4</v>
      </c>
      <c r="BI200" s="19">
        <f t="shared" si="412"/>
        <v>7.7736318407960203E-4</v>
      </c>
      <c r="BJ200" s="19">
        <f t="shared" si="412"/>
        <v>2.0462655653432486E-3</v>
      </c>
      <c r="BK200" s="19">
        <f t="shared" si="412"/>
        <v>4.295751978598941E-3</v>
      </c>
      <c r="BL200" s="19">
        <f t="shared" si="411"/>
        <v>4.1248043202769752E-3</v>
      </c>
      <c r="BM200" s="19">
        <f t="shared" si="411"/>
        <v>0</v>
      </c>
    </row>
    <row r="201" spans="2:68">
      <c r="B201" s="4" t="s">
        <v>273</v>
      </c>
      <c r="BE201" s="19">
        <v>7.0769539346125565E-2</v>
      </c>
      <c r="BF201" s="19">
        <f t="shared" si="412"/>
        <v>8.1714814210325878E-2</v>
      </c>
      <c r="BG201" s="19">
        <f t="shared" si="412"/>
        <v>6.9146012093979303E-2</v>
      </c>
      <c r="BH201" s="19">
        <f t="shared" si="412"/>
        <v>8.2461182122329932E-2</v>
      </c>
      <c r="BI201" s="19">
        <f t="shared" si="412"/>
        <v>0.10217661691542289</v>
      </c>
      <c r="BJ201" s="19">
        <f t="shared" si="412"/>
        <v>0.11562648167095052</v>
      </c>
      <c r="BK201" s="505">
        <f t="shared" si="412"/>
        <v>0.10119992451908669</v>
      </c>
      <c r="BL201" s="505">
        <f t="shared" si="411"/>
        <v>0.1151466459045994</v>
      </c>
      <c r="BM201" s="505">
        <f t="shared" si="411"/>
        <v>0</v>
      </c>
    </row>
    <row r="202" spans="2:68">
      <c r="B202" s="4" t="s">
        <v>274</v>
      </c>
      <c r="BE202" s="19">
        <v>0</v>
      </c>
      <c r="BF202" s="19">
        <f t="shared" si="412"/>
        <v>0</v>
      </c>
      <c r="BG202" s="19">
        <f t="shared" si="412"/>
        <v>0</v>
      </c>
      <c r="BH202" s="19">
        <f t="shared" si="412"/>
        <v>0</v>
      </c>
      <c r="BI202" s="19">
        <f t="shared" si="412"/>
        <v>0</v>
      </c>
      <c r="BJ202" s="19">
        <f t="shared" si="412"/>
        <v>0</v>
      </c>
      <c r="BK202" s="19">
        <f t="shared" si="412"/>
        <v>0</v>
      </c>
      <c r="BL202" s="19">
        <f t="shared" si="411"/>
        <v>0</v>
      </c>
      <c r="BM202" s="19">
        <f t="shared" si="411"/>
        <v>0</v>
      </c>
    </row>
    <row r="203" spans="2:68">
      <c r="B203" s="4" t="s">
        <v>275</v>
      </c>
      <c r="BE203" s="19">
        <v>3.3429163602326668E-4</v>
      </c>
      <c r="BF203" s="19">
        <f t="shared" si="412"/>
        <v>4.3523203307763451E-4</v>
      </c>
      <c r="BG203" s="19">
        <f t="shared" si="412"/>
        <v>4.3022060756710246E-4</v>
      </c>
      <c r="BH203" s="19">
        <f t="shared" si="412"/>
        <v>8.5785365016728145E-4</v>
      </c>
      <c r="BI203" s="19">
        <f t="shared" si="412"/>
        <v>3.2649253731343285E-4</v>
      </c>
      <c r="BJ203" s="19">
        <f t="shared" si="412"/>
        <v>1.372495196266813E-4</v>
      </c>
      <c r="BK203" s="19">
        <f t="shared" si="412"/>
        <v>1.554018803627524E-4</v>
      </c>
      <c r="BL203" s="19">
        <f t="shared" si="411"/>
        <v>1.6565479197899497E-4</v>
      </c>
      <c r="BM203" s="19">
        <f t="shared" si="411"/>
        <v>0</v>
      </c>
    </row>
    <row r="204" spans="2:68">
      <c r="B204" s="4" t="s">
        <v>276</v>
      </c>
      <c r="BE204" s="19">
        <v>1.0129036571504981E-2</v>
      </c>
      <c r="BF204" s="19">
        <f t="shared" si="412"/>
        <v>1.1152820847614384E-2</v>
      </c>
      <c r="BG204" s="19">
        <f t="shared" si="412"/>
        <v>1.1950572432419513E-4</v>
      </c>
      <c r="BH204" s="19">
        <f t="shared" si="412"/>
        <v>0</v>
      </c>
      <c r="BI204" s="19">
        <f t="shared" si="412"/>
        <v>0</v>
      </c>
      <c r="BJ204" s="19">
        <f t="shared" si="412"/>
        <v>0</v>
      </c>
      <c r="BK204" s="19">
        <f t="shared" si="412"/>
        <v>0</v>
      </c>
      <c r="BL204" s="19">
        <f t="shared" si="411"/>
        <v>0</v>
      </c>
      <c r="BM204" s="19">
        <f t="shared" si="411"/>
        <v>0</v>
      </c>
    </row>
    <row r="205" spans="2:68">
      <c r="B205" s="4" t="s">
        <v>277</v>
      </c>
      <c r="BE205" s="19">
        <v>1.1499632279200374E-2</v>
      </c>
      <c r="BF205" s="19">
        <f t="shared" si="412"/>
        <v>1.096240683314292E-2</v>
      </c>
      <c r="BG205" s="19">
        <f t="shared" si="412"/>
        <v>2.5430818136188724E-2</v>
      </c>
      <c r="BH205" s="19">
        <f t="shared" si="412"/>
        <v>3.5600926481942179E-2</v>
      </c>
      <c r="BI205" s="19">
        <f t="shared" si="412"/>
        <v>3.656716417910448E-2</v>
      </c>
      <c r="BJ205" s="19">
        <f t="shared" si="412"/>
        <v>5.9279315249669354E-2</v>
      </c>
      <c r="BK205" s="19">
        <f t="shared" si="412"/>
        <v>8.1053180743486997E-2</v>
      </c>
      <c r="BL205" s="19">
        <f t="shared" si="411"/>
        <v>7.5778784590791251E-2</v>
      </c>
      <c r="BM205" s="19">
        <f t="shared" si="411"/>
        <v>0</v>
      </c>
    </row>
    <row r="206" spans="2:68">
      <c r="B206" s="4" t="s">
        <v>278</v>
      </c>
      <c r="BE206" s="19">
        <v>7.4212743197165209E-3</v>
      </c>
      <c r="BF206" s="19">
        <f t="shared" si="412"/>
        <v>6.1748544692889398E-3</v>
      </c>
      <c r="BG206" s="19">
        <f t="shared" si="412"/>
        <v>5.8557804918855615E-3</v>
      </c>
      <c r="BH206" s="19">
        <f t="shared" si="412"/>
        <v>5.7261731148666034E-3</v>
      </c>
      <c r="BI206" s="19">
        <f t="shared" si="412"/>
        <v>6.3277363184079602E-3</v>
      </c>
      <c r="BJ206" s="19">
        <f t="shared" si="412"/>
        <v>3.7930776333191924E-3</v>
      </c>
      <c r="BK206" s="19">
        <f t="shared" si="412"/>
        <v>2.5308306230505391E-3</v>
      </c>
      <c r="BL206" s="19">
        <f t="shared" si="411"/>
        <v>2.9155243388303115E-3</v>
      </c>
      <c r="BM206" s="19">
        <f t="shared" si="411"/>
        <v>0</v>
      </c>
    </row>
    <row r="207" spans="2:68">
      <c r="B207" s="61" t="s">
        <v>279</v>
      </c>
      <c r="C207" s="61"/>
      <c r="D207" s="61"/>
      <c r="E207" s="61"/>
      <c r="F207" s="61"/>
      <c r="G207" s="61"/>
      <c r="H207" s="500"/>
      <c r="I207" s="500"/>
      <c r="J207" s="500"/>
      <c r="K207" s="500"/>
      <c r="L207" s="500"/>
      <c r="M207" s="500"/>
      <c r="N207" s="500"/>
      <c r="O207" s="500"/>
      <c r="P207" s="500"/>
      <c r="Q207" s="500"/>
      <c r="R207" s="500"/>
      <c r="S207" s="500"/>
      <c r="T207" s="500"/>
      <c r="U207" s="500"/>
      <c r="V207" s="500"/>
      <c r="W207" s="500"/>
      <c r="X207" s="500"/>
      <c r="Y207" s="500"/>
      <c r="Z207" s="500"/>
      <c r="AA207" s="500"/>
      <c r="AB207" s="500"/>
      <c r="AC207" s="500"/>
      <c r="AD207" s="500"/>
      <c r="AE207" s="500"/>
      <c r="AF207" s="500"/>
      <c r="AG207" s="500"/>
      <c r="AH207" s="500"/>
      <c r="AI207" s="500"/>
      <c r="AJ207" s="500"/>
      <c r="AK207" s="500"/>
      <c r="AL207" s="650"/>
      <c r="AM207" s="500"/>
      <c r="AN207" s="500"/>
      <c r="AO207" s="500"/>
      <c r="AP207" s="500"/>
      <c r="AQ207" s="500"/>
      <c r="AR207" s="500"/>
      <c r="AS207" s="500"/>
      <c r="AT207" s="500"/>
      <c r="AU207" s="500"/>
      <c r="AV207" s="500"/>
      <c r="AW207" s="500"/>
      <c r="AX207" s="500"/>
      <c r="AY207" s="500"/>
      <c r="AZ207" s="500"/>
      <c r="BA207" s="500"/>
      <c r="BB207" s="500"/>
      <c r="BC207" s="500"/>
      <c r="BD207" s="500"/>
      <c r="BE207" s="886">
        <v>0.23343584943504714</v>
      </c>
      <c r="BF207" s="886">
        <f t="shared" si="412"/>
        <v>0.22996572547739513</v>
      </c>
      <c r="BG207" s="886">
        <f t="shared" si="412"/>
        <v>0.20229929013599751</v>
      </c>
      <c r="BH207" s="886">
        <f t="shared" si="412"/>
        <v>0.18744102256155101</v>
      </c>
      <c r="BI207" s="886">
        <f t="shared" si="412"/>
        <v>0.20570584577114429</v>
      </c>
      <c r="BJ207" s="886">
        <f t="shared" si="412"/>
        <v>0.23092855538641979</v>
      </c>
      <c r="BK207" s="886">
        <f t="shared" si="412"/>
        <v>0.23987390247421994</v>
      </c>
      <c r="BL207" s="886">
        <f t="shared" si="411"/>
        <v>0.25865339219600275</v>
      </c>
      <c r="BM207" s="886">
        <f t="shared" si="411"/>
        <v>0</v>
      </c>
      <c r="BN207" s="500"/>
      <c r="BO207" s="500"/>
      <c r="BP207" s="500"/>
    </row>
    <row r="209" spans="1:68">
      <c r="A209" s="24"/>
      <c r="B209" s="10" t="s">
        <v>280</v>
      </c>
      <c r="C209" s="284"/>
      <c r="D209" s="104"/>
      <c r="E209" s="104"/>
      <c r="F209" s="284"/>
      <c r="G209" s="104"/>
      <c r="H209" s="756"/>
      <c r="I209" s="1160"/>
      <c r="J209" s="757"/>
      <c r="K209" s="756"/>
      <c r="L209" s="756"/>
      <c r="M209" s="756"/>
      <c r="N209" s="757"/>
      <c r="O209" s="756"/>
      <c r="P209" s="756"/>
      <c r="Q209" s="756"/>
      <c r="R209" s="757"/>
      <c r="S209" s="756"/>
      <c r="T209" s="756"/>
      <c r="U209" s="756"/>
      <c r="V209" s="757"/>
      <c r="W209" s="756"/>
      <c r="X209" s="756"/>
      <c r="Y209" s="756"/>
      <c r="Z209" s="757"/>
      <c r="AA209" s="756"/>
      <c r="AB209" s="756"/>
      <c r="AC209" s="1160"/>
      <c r="AD209" s="757"/>
      <c r="AE209" s="756"/>
      <c r="AF209" s="756"/>
      <c r="AG209" s="1160"/>
      <c r="AH209" s="757"/>
      <c r="AI209" s="756"/>
      <c r="AJ209" s="756"/>
      <c r="AK209" s="756"/>
      <c r="AL209" s="757"/>
      <c r="AM209" s="904"/>
      <c r="AN209" s="904"/>
      <c r="AO209" s="904"/>
      <c r="AP209" s="757"/>
      <c r="AQ209" s="756"/>
      <c r="AR209" s="756"/>
      <c r="AS209" s="1160"/>
      <c r="AT209" s="757"/>
      <c r="AU209" s="756"/>
      <c r="AV209" s="756"/>
      <c r="AW209" s="1160"/>
      <c r="AX209" s="757"/>
      <c r="AY209" s="756"/>
      <c r="AZ209" s="756"/>
      <c r="BA209" s="1160"/>
      <c r="BB209" s="756"/>
      <c r="BC209" s="756"/>
      <c r="BD209" s="756"/>
      <c r="BE209" s="756"/>
      <c r="BF209" s="756"/>
      <c r="BG209" s="756"/>
      <c r="BH209" s="756"/>
      <c r="BI209" s="756"/>
      <c r="BJ209" s="756"/>
      <c r="BK209" s="756"/>
      <c r="BL209" s="756"/>
      <c r="BM209" s="756"/>
      <c r="BN209" s="756"/>
      <c r="BO209" s="756"/>
      <c r="BP209" s="756"/>
    </row>
    <row r="210" spans="1:68">
      <c r="B210" s="4" t="s">
        <v>281</v>
      </c>
      <c r="BE210" s="243">
        <v>12</v>
      </c>
      <c r="BF210" s="243">
        <v>10</v>
      </c>
      <c r="BG210" s="243">
        <v>5</v>
      </c>
      <c r="BH210" s="243">
        <v>7</v>
      </c>
      <c r="BI210" s="243">
        <v>479</v>
      </c>
      <c r="BJ210" s="243">
        <v>598</v>
      </c>
      <c r="BK210" s="243">
        <v>926</v>
      </c>
      <c r="BL210" s="243">
        <v>871</v>
      </c>
    </row>
    <row r="211" spans="1:68">
      <c r="B211" s="4" t="s">
        <v>282</v>
      </c>
      <c r="BE211" s="243">
        <v>1</v>
      </c>
      <c r="BF211" s="243">
        <v>14</v>
      </c>
      <c r="BH211" s="243">
        <v>8</v>
      </c>
    </row>
    <row r="212" spans="1:68">
      <c r="B212" s="4" t="s">
        <v>283</v>
      </c>
      <c r="BE212" s="243">
        <v>32</v>
      </c>
      <c r="BF212" s="243">
        <v>33</v>
      </c>
      <c r="BG212" s="243">
        <v>36</v>
      </c>
      <c r="BH212" s="243">
        <v>36</v>
      </c>
      <c r="BI212" s="243">
        <v>41</v>
      </c>
      <c r="BJ212" s="243">
        <v>38</v>
      </c>
      <c r="BK212" s="243">
        <v>51</v>
      </c>
      <c r="BL212" s="243">
        <v>54</v>
      </c>
    </row>
    <row r="213" spans="1:68">
      <c r="B213" s="4" t="s">
        <v>284</v>
      </c>
      <c r="BE213" s="243">
        <v>49</v>
      </c>
      <c r="BF213" s="243">
        <v>35</v>
      </c>
      <c r="BG213" s="243">
        <v>114</v>
      </c>
      <c r="BH213" s="243">
        <v>92</v>
      </c>
      <c r="BI213" s="243">
        <v>130</v>
      </c>
      <c r="BJ213" s="243">
        <v>170</v>
      </c>
      <c r="BK213" s="243">
        <v>279</v>
      </c>
      <c r="BL213" s="243">
        <v>422</v>
      </c>
    </row>
    <row r="214" spans="1:68">
      <c r="B214" s="4" t="s">
        <v>285</v>
      </c>
    </row>
    <row r="215" spans="1:68">
      <c r="B215" s="61" t="s">
        <v>279</v>
      </c>
      <c r="C215" s="61"/>
      <c r="D215" s="61"/>
      <c r="E215" s="61"/>
      <c r="F215" s="61"/>
      <c r="G215" s="61"/>
      <c r="H215" s="500"/>
      <c r="I215" s="500"/>
      <c r="J215" s="500"/>
      <c r="K215" s="500"/>
      <c r="L215" s="500"/>
      <c r="M215" s="500"/>
      <c r="N215" s="500"/>
      <c r="O215" s="500"/>
      <c r="P215" s="500"/>
      <c r="Q215" s="500"/>
      <c r="R215" s="500"/>
      <c r="S215" s="500"/>
      <c r="T215" s="500"/>
      <c r="U215" s="500"/>
      <c r="V215" s="500"/>
      <c r="W215" s="500"/>
      <c r="X215" s="500"/>
      <c r="Y215" s="500"/>
      <c r="Z215" s="500"/>
      <c r="AA215" s="500"/>
      <c r="AB215" s="500"/>
      <c r="AC215" s="500"/>
      <c r="AD215" s="500"/>
      <c r="AE215" s="500"/>
      <c r="AF215" s="500"/>
      <c r="AG215" s="500"/>
      <c r="AH215" s="500"/>
      <c r="AI215" s="500"/>
      <c r="AJ215" s="500"/>
      <c r="AK215" s="500"/>
      <c r="AL215" s="650"/>
      <c r="AM215" s="500"/>
      <c r="AN215" s="500"/>
      <c r="AO215" s="500"/>
      <c r="AP215" s="500"/>
      <c r="AQ215" s="500"/>
      <c r="AR215" s="500"/>
      <c r="AS215" s="500"/>
      <c r="AT215" s="500"/>
      <c r="AU215" s="500"/>
      <c r="AV215" s="500"/>
      <c r="AW215" s="500"/>
      <c r="AX215" s="500"/>
      <c r="AY215" s="500"/>
      <c r="AZ215" s="500"/>
      <c r="BA215" s="500"/>
      <c r="BB215" s="500"/>
      <c r="BC215" s="500"/>
      <c r="BD215" s="500"/>
      <c r="BE215" s="500">
        <v>94</v>
      </c>
      <c r="BF215" s="500">
        <f>SUM(BF210:BF214)</f>
        <v>92</v>
      </c>
      <c r="BG215" s="500">
        <f t="shared" ref="BG215:BL215" si="413">SUM(BG210:BG214)</f>
        <v>155</v>
      </c>
      <c r="BH215" s="500">
        <f t="shared" si="413"/>
        <v>143</v>
      </c>
      <c r="BI215" s="500">
        <f t="shared" si="413"/>
        <v>650</v>
      </c>
      <c r="BJ215" s="500">
        <f t="shared" si="413"/>
        <v>806</v>
      </c>
      <c r="BK215" s="500">
        <f t="shared" si="413"/>
        <v>1256</v>
      </c>
      <c r="BL215" s="500">
        <f t="shared" si="413"/>
        <v>1347</v>
      </c>
      <c r="BM215" s="500">
        <f t="shared" ref="BM215" si="414">SUM(BM210:BM214)</f>
        <v>0</v>
      </c>
      <c r="BN215" s="500"/>
      <c r="BO215" s="500"/>
      <c r="BP215" s="500"/>
    </row>
    <row r="217" spans="1:68">
      <c r="A217" s="24"/>
      <c r="B217" s="10" t="s">
        <v>286</v>
      </c>
      <c r="C217" s="284"/>
      <c r="D217" s="104"/>
      <c r="E217" s="104"/>
      <c r="F217" s="284"/>
      <c r="G217" s="104"/>
      <c r="H217" s="756"/>
      <c r="I217" s="1160"/>
      <c r="J217" s="757"/>
      <c r="K217" s="756"/>
      <c r="L217" s="756"/>
      <c r="M217" s="756"/>
      <c r="N217" s="757"/>
      <c r="O217" s="756"/>
      <c r="P217" s="756"/>
      <c r="Q217" s="756"/>
      <c r="R217" s="757"/>
      <c r="S217" s="756"/>
      <c r="T217" s="756"/>
      <c r="U217" s="756"/>
      <c r="V217" s="757"/>
      <c r="W217" s="756"/>
      <c r="X217" s="756"/>
      <c r="Y217" s="756"/>
      <c r="Z217" s="757"/>
      <c r="AA217" s="756"/>
      <c r="AB217" s="756"/>
      <c r="AC217" s="1160"/>
      <c r="AD217" s="757"/>
      <c r="AE217" s="756"/>
      <c r="AF217" s="756"/>
      <c r="AG217" s="1160"/>
      <c r="AH217" s="757"/>
      <c r="AI217" s="756"/>
      <c r="AJ217" s="756"/>
      <c r="AK217" s="756"/>
      <c r="AL217" s="757"/>
      <c r="AM217" s="904"/>
      <c r="AN217" s="904"/>
      <c r="AO217" s="904"/>
      <c r="AP217" s="757"/>
      <c r="AQ217" s="756"/>
      <c r="AR217" s="756"/>
      <c r="AS217" s="1160"/>
      <c r="AT217" s="757"/>
      <c r="AU217" s="756"/>
      <c r="AV217" s="756"/>
      <c r="AW217" s="1160"/>
      <c r="AX217" s="757"/>
      <c r="AY217" s="756"/>
      <c r="AZ217" s="756"/>
      <c r="BA217" s="1160"/>
      <c r="BB217" s="756"/>
      <c r="BC217" s="756"/>
      <c r="BD217" s="756"/>
      <c r="BE217" s="756"/>
      <c r="BF217" s="756"/>
      <c r="BG217" s="756"/>
      <c r="BH217" s="756"/>
      <c r="BI217" s="756"/>
      <c r="BJ217" s="756"/>
      <c r="BK217" s="756"/>
      <c r="BL217" s="756"/>
      <c r="BM217" s="756"/>
      <c r="BN217" s="756"/>
      <c r="BO217" s="756"/>
      <c r="BP217" s="756"/>
    </row>
    <row r="218" spans="1:68" s="587" customFormat="1">
      <c r="A218" s="6"/>
      <c r="B218" s="6" t="s">
        <v>287</v>
      </c>
      <c r="C218" s="6"/>
      <c r="D218" s="6"/>
      <c r="E218" s="6"/>
      <c r="F218" s="6"/>
      <c r="G218" s="6"/>
      <c r="H218" s="716"/>
      <c r="I218" s="716"/>
      <c r="J218" s="716"/>
      <c r="K218" s="716"/>
      <c r="L218" s="716"/>
      <c r="M218" s="716"/>
      <c r="N218" s="716"/>
      <c r="O218" s="716"/>
      <c r="P218" s="716"/>
      <c r="Q218" s="716"/>
      <c r="R218" s="716"/>
      <c r="S218" s="716"/>
      <c r="T218" s="716"/>
      <c r="U218" s="716"/>
      <c r="V218" s="716"/>
      <c r="W218" s="716"/>
      <c r="X218" s="716"/>
      <c r="Y218" s="716"/>
      <c r="Z218" s="716"/>
      <c r="AA218" s="716"/>
      <c r="AB218" s="716"/>
      <c r="AC218" s="716"/>
      <c r="AD218" s="716"/>
      <c r="AE218" s="716">
        <f>4649+2565</f>
        <v>7214</v>
      </c>
      <c r="AF218" s="716"/>
      <c r="AG218" s="716"/>
      <c r="AH218" s="716"/>
      <c r="AI218" s="716">
        <f>5182+2614</f>
        <v>7796</v>
      </c>
      <c r="AJ218" s="716"/>
      <c r="AK218" s="716"/>
      <c r="AL218" s="717"/>
      <c r="AM218" s="885"/>
      <c r="AN218" s="885"/>
      <c r="AO218" s="885"/>
      <c r="AP218" s="716"/>
      <c r="AQ218" s="716"/>
      <c r="AR218" s="716"/>
      <c r="AS218" s="716"/>
      <c r="AT218" s="716"/>
      <c r="AU218" s="716"/>
      <c r="AV218" s="716"/>
      <c r="AW218" s="716"/>
      <c r="AX218" s="716"/>
      <c r="AY218" s="716"/>
      <c r="AZ218" s="716"/>
      <c r="BA218" s="716"/>
      <c r="BB218" s="716"/>
      <c r="BC218" s="716"/>
      <c r="BD218" s="716"/>
      <c r="BE218" s="716"/>
      <c r="BF218" s="716"/>
      <c r="BG218" s="716"/>
      <c r="BH218" s="716"/>
      <c r="BI218" s="716"/>
      <c r="BJ218" s="716"/>
      <c r="BK218" s="716"/>
      <c r="BL218" s="716"/>
      <c r="BM218" s="716"/>
      <c r="BN218" s="716"/>
      <c r="BO218" s="716"/>
      <c r="BP218" s="716"/>
    </row>
    <row r="219" spans="1:68">
      <c r="B219" s="4" t="s">
        <v>288</v>
      </c>
      <c r="AE219" s="243">
        <v>-5687</v>
      </c>
      <c r="AI219" s="243">
        <v>-3278</v>
      </c>
    </row>
    <row r="220" spans="1:68" s="587" customFormat="1">
      <c r="A220" s="6"/>
      <c r="B220" s="6" t="s">
        <v>289</v>
      </c>
      <c r="C220" s="6"/>
      <c r="D220" s="6"/>
      <c r="E220" s="6"/>
      <c r="F220" s="6"/>
      <c r="G220" s="6"/>
      <c r="H220" s="716"/>
      <c r="I220" s="716"/>
      <c r="J220" s="716"/>
      <c r="K220" s="716"/>
      <c r="L220" s="716"/>
      <c r="M220" s="716"/>
      <c r="N220" s="716"/>
      <c r="O220" s="716"/>
      <c r="P220" s="716"/>
      <c r="Q220" s="716"/>
      <c r="R220" s="716"/>
      <c r="S220" s="716"/>
      <c r="T220" s="716"/>
      <c r="U220" s="716"/>
      <c r="V220" s="716"/>
      <c r="W220" s="716"/>
      <c r="X220" s="716"/>
      <c r="Y220" s="716"/>
      <c r="Z220" s="716"/>
      <c r="AA220" s="716"/>
      <c r="AB220" s="716"/>
      <c r="AC220" s="716"/>
      <c r="AD220" s="716"/>
      <c r="AE220" s="716">
        <f>AE218+AE219</f>
        <v>1527</v>
      </c>
      <c r="AF220" s="716"/>
      <c r="AG220" s="716"/>
      <c r="AH220" s="716"/>
      <c r="AI220" s="716">
        <f>AI218+AI219</f>
        <v>4518</v>
      </c>
      <c r="AJ220" s="716"/>
      <c r="AK220" s="716"/>
      <c r="AL220" s="717"/>
      <c r="AM220" s="885"/>
      <c r="AN220" s="885"/>
      <c r="AO220" s="885"/>
      <c r="AP220" s="716"/>
      <c r="AQ220" s="716"/>
      <c r="AR220" s="716"/>
      <c r="AS220" s="716"/>
      <c r="AT220" s="716"/>
      <c r="AU220" s="716"/>
      <c r="AV220" s="716"/>
      <c r="AW220" s="716"/>
      <c r="AX220" s="716"/>
      <c r="AY220" s="716"/>
      <c r="AZ220" s="716"/>
      <c r="BA220" s="716"/>
      <c r="BB220" s="716"/>
      <c r="BC220" s="716"/>
      <c r="BD220" s="716"/>
      <c r="BE220" s="716"/>
      <c r="BF220" s="716"/>
      <c r="BG220" s="716"/>
      <c r="BH220" s="716"/>
      <c r="BI220" s="716"/>
      <c r="BJ220" s="716"/>
      <c r="BK220" s="716"/>
      <c r="BL220" s="716"/>
      <c r="BM220" s="716"/>
      <c r="BN220" s="716"/>
      <c r="BO220" s="716"/>
      <c r="BP220" s="716"/>
    </row>
    <row r="221" spans="1:68">
      <c r="B221" s="4" t="s">
        <v>290</v>
      </c>
      <c r="AE221" s="243">
        <v>65</v>
      </c>
      <c r="AI221" s="243">
        <v>2852</v>
      </c>
    </row>
    <row r="222" spans="1:68">
      <c r="B222" s="4" t="s">
        <v>291</v>
      </c>
      <c r="AE222" s="243">
        <v>-1817</v>
      </c>
      <c r="AI222" s="243">
        <v>-2370</v>
      </c>
    </row>
    <row r="223" spans="1:68" s="587" customFormat="1">
      <c r="A223" s="6"/>
      <c r="B223" s="6" t="s">
        <v>292</v>
      </c>
      <c r="C223" s="6"/>
      <c r="D223" s="6"/>
      <c r="E223" s="6"/>
      <c r="F223" s="6"/>
      <c r="G223" s="6"/>
      <c r="H223" s="716"/>
      <c r="I223" s="716"/>
      <c r="J223" s="716"/>
      <c r="K223" s="716"/>
      <c r="L223" s="716"/>
      <c r="M223" s="716"/>
      <c r="N223" s="716"/>
      <c r="O223" s="716"/>
      <c r="P223" s="716"/>
      <c r="Q223" s="716"/>
      <c r="R223" s="716"/>
      <c r="S223" s="716"/>
      <c r="T223" s="716"/>
      <c r="U223" s="716"/>
      <c r="V223" s="716"/>
      <c r="W223" s="716"/>
      <c r="X223" s="716"/>
      <c r="Y223" s="716"/>
      <c r="Z223" s="716"/>
      <c r="AA223" s="716"/>
      <c r="AB223" s="716"/>
      <c r="AC223" s="716"/>
      <c r="AD223" s="716"/>
      <c r="AE223" s="716">
        <f>AE221+AE222</f>
        <v>-1752</v>
      </c>
      <c r="AF223" s="716"/>
      <c r="AG223" s="716"/>
      <c r="AH223" s="716"/>
      <c r="AI223" s="716">
        <f>AI221+AI222</f>
        <v>482</v>
      </c>
      <c r="AJ223" s="716"/>
      <c r="AK223" s="716"/>
      <c r="AL223" s="717"/>
      <c r="AM223" s="885"/>
      <c r="AN223" s="885"/>
      <c r="AO223" s="885"/>
      <c r="AP223" s="716"/>
      <c r="AQ223" s="716"/>
      <c r="AR223" s="716"/>
      <c r="AS223" s="716"/>
      <c r="AT223" s="716"/>
      <c r="AU223" s="716"/>
      <c r="AV223" s="716"/>
      <c r="AW223" s="716"/>
      <c r="AX223" s="716"/>
      <c r="AY223" s="716"/>
      <c r="AZ223" s="716"/>
      <c r="BA223" s="716"/>
      <c r="BB223" s="716"/>
      <c r="BC223" s="716"/>
      <c r="BD223" s="716"/>
      <c r="BE223" s="716"/>
      <c r="BF223" s="716"/>
      <c r="BG223" s="716"/>
      <c r="BH223" s="716"/>
      <c r="BI223" s="716"/>
      <c r="BJ223" s="716"/>
      <c r="BK223" s="716"/>
      <c r="BL223" s="716"/>
      <c r="BM223" s="716"/>
      <c r="BN223" s="716"/>
      <c r="BO223" s="716"/>
      <c r="BP223" s="716"/>
    </row>
    <row r="225" spans="2:68">
      <c r="B225" s="4" t="s">
        <v>72</v>
      </c>
      <c r="AE225" s="243">
        <f>AE29+AD29</f>
        <v>6789</v>
      </c>
      <c r="AI225" s="243">
        <f>AI29+AH29</f>
        <v>8871</v>
      </c>
    </row>
    <row r="226" spans="2:68">
      <c r="B226" s="4" t="s">
        <v>193</v>
      </c>
      <c r="AE226" s="243">
        <f>AE66+AD66</f>
        <v>3087.6000000000004</v>
      </c>
      <c r="AI226" s="243">
        <f>AI66+AH66</f>
        <v>4305</v>
      </c>
    </row>
    <row r="228" spans="2:68">
      <c r="B228" s="4" t="s">
        <v>293</v>
      </c>
      <c r="AE228" s="244">
        <f>AE221/AE226*100</f>
        <v>2.1051949734421553</v>
      </c>
      <c r="AI228" s="243">
        <f>AI221/AI226*100</f>
        <v>66.248548199767711</v>
      </c>
    </row>
    <row r="229" spans="2:68">
      <c r="B229" s="4" t="s">
        <v>294</v>
      </c>
      <c r="AE229" s="244">
        <f>AE221/AE225*100</f>
        <v>0.95743113860656948</v>
      </c>
      <c r="AI229" s="243">
        <f>AI221/AI225*100</f>
        <v>32.149701273813555</v>
      </c>
    </row>
    <row r="231" spans="2:68">
      <c r="B231" s="4" t="s">
        <v>295</v>
      </c>
    </row>
    <row r="232" spans="2:68">
      <c r="B232" s="4" t="s">
        <v>296</v>
      </c>
    </row>
    <row r="235" spans="2:68">
      <c r="B235" s="87" t="s">
        <v>297</v>
      </c>
      <c r="AH235" s="761">
        <v>11215</v>
      </c>
      <c r="AI235" s="678"/>
      <c r="AJ235" s="678"/>
      <c r="AK235" s="678">
        <v>15914</v>
      </c>
      <c r="AL235" s="761">
        <v>17266</v>
      </c>
      <c r="AM235" s="905">
        <v>18376</v>
      </c>
      <c r="AN235" s="905">
        <v>18376</v>
      </c>
      <c r="AO235" s="905"/>
    </row>
    <row r="236" spans="2:68">
      <c r="B236" s="87" t="s">
        <v>298</v>
      </c>
      <c r="AH236" s="761">
        <v>1800</v>
      </c>
      <c r="AI236" s="678"/>
      <c r="AJ236" s="678"/>
      <c r="AK236" s="678">
        <v>3218</v>
      </c>
      <c r="AL236" s="761">
        <v>3887</v>
      </c>
      <c r="AM236" s="905">
        <v>4486</v>
      </c>
      <c r="AN236" s="905">
        <v>4486</v>
      </c>
      <c r="AO236" s="905"/>
    </row>
    <row r="237" spans="2:68">
      <c r="B237" s="87" t="s">
        <v>299</v>
      </c>
      <c r="AH237" s="761">
        <v>2960</v>
      </c>
      <c r="AI237" s="678"/>
      <c r="AJ237" s="678"/>
      <c r="AK237" s="678">
        <v>3350</v>
      </c>
      <c r="AL237" s="761">
        <v>3174</v>
      </c>
      <c r="AM237" s="905">
        <v>3437</v>
      </c>
      <c r="AN237" s="905">
        <v>3437</v>
      </c>
      <c r="AO237" s="905"/>
    </row>
    <row r="238" spans="2:68">
      <c r="B238" s="61" t="s">
        <v>300</v>
      </c>
      <c r="C238" s="61"/>
      <c r="D238" s="61"/>
      <c r="E238" s="61"/>
      <c r="F238" s="61"/>
      <c r="G238" s="61"/>
      <c r="H238" s="500"/>
      <c r="I238" s="500"/>
      <c r="J238" s="500"/>
      <c r="K238" s="500"/>
      <c r="L238" s="500"/>
      <c r="M238" s="500"/>
      <c r="N238" s="500"/>
      <c r="O238" s="500"/>
      <c r="P238" s="500"/>
      <c r="Q238" s="500"/>
      <c r="R238" s="500"/>
      <c r="S238" s="500"/>
      <c r="T238" s="500"/>
      <c r="U238" s="500"/>
      <c r="V238" s="500"/>
      <c r="W238" s="500"/>
      <c r="X238" s="500"/>
      <c r="Y238" s="500"/>
      <c r="Z238" s="500"/>
      <c r="AA238" s="500"/>
      <c r="AB238" s="500"/>
      <c r="AC238" s="500"/>
      <c r="AD238" s="500"/>
      <c r="AE238" s="500"/>
      <c r="AF238" s="500"/>
      <c r="AG238" s="500"/>
      <c r="AH238" s="500">
        <f t="shared" ref="AH238:AK238" si="415">SUM(AH235:AH237)</f>
        <v>15975</v>
      </c>
      <c r="AI238" s="500">
        <f t="shared" si="415"/>
        <v>0</v>
      </c>
      <c r="AJ238" s="500">
        <f t="shared" si="415"/>
        <v>0</v>
      </c>
      <c r="AK238" s="500">
        <f t="shared" si="415"/>
        <v>22482</v>
      </c>
      <c r="AL238" s="650">
        <f>SUM(AL235:AL237)</f>
        <v>24327</v>
      </c>
      <c r="AM238" s="500">
        <f>SUM(AM235:AM237)</f>
        <v>26299</v>
      </c>
      <c r="AN238" s="500">
        <f>SUM(AN235:AN237)</f>
        <v>26299</v>
      </c>
      <c r="AO238" s="500">
        <f>SUM(AO235:AO237)</f>
        <v>0</v>
      </c>
      <c r="AP238" s="500"/>
      <c r="AQ238" s="500"/>
      <c r="AR238" s="500"/>
      <c r="AS238" s="500"/>
      <c r="AT238" s="500"/>
      <c r="AU238" s="500"/>
      <c r="AV238" s="500"/>
      <c r="AW238" s="500"/>
      <c r="AX238" s="500"/>
      <c r="AY238" s="500"/>
      <c r="AZ238" s="500"/>
      <c r="BA238" s="500"/>
      <c r="BB238" s="500"/>
      <c r="BC238" s="500"/>
      <c r="BD238" s="500"/>
      <c r="BE238" s="500"/>
      <c r="BF238" s="500"/>
      <c r="BG238" s="500"/>
      <c r="BH238" s="500"/>
      <c r="BI238" s="500"/>
      <c r="BJ238" s="500"/>
      <c r="BK238" s="500"/>
      <c r="BL238" s="500"/>
      <c r="BM238" s="500"/>
      <c r="BN238" s="500"/>
      <c r="BO238" s="500"/>
      <c r="BP238" s="500"/>
    </row>
    <row r="240" spans="2:68">
      <c r="AM240" s="679">
        <v>39857</v>
      </c>
      <c r="AN240" s="679">
        <v>39857</v>
      </c>
    </row>
    <row r="241" spans="39:40">
      <c r="AM241" s="679">
        <v>20</v>
      </c>
      <c r="AN241" s="679">
        <v>20</v>
      </c>
    </row>
    <row r="242" spans="39:40">
      <c r="AM242" s="679">
        <v>22723</v>
      </c>
      <c r="AN242" s="679">
        <v>22723</v>
      </c>
    </row>
    <row r="244" spans="39:40">
      <c r="AM244" s="679">
        <v>9789</v>
      </c>
      <c r="AN244" s="679">
        <v>9789</v>
      </c>
    </row>
    <row r="245" spans="39:40">
      <c r="AM245" s="679">
        <f>AM240-AM241-AM242-AM243-AM244</f>
        <v>7325</v>
      </c>
      <c r="AN245" s="679">
        <f>AN240-AN241-AN242-AN243-AN244</f>
        <v>7325</v>
      </c>
    </row>
  </sheetData>
  <phoneticPr fontId="358"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177"/>
  <sheetViews>
    <sheetView showGridLines="0" zoomScale="62" zoomScaleNormal="50" workbookViewId="0">
      <pane xSplit="1" ySplit="2" topLeftCell="T145" activePane="bottomRight" state="frozen"/>
      <selection pane="bottomRight" activeCell="AO158" sqref="AO158"/>
      <selection pane="bottomLeft" activeCell="A3" sqref="A3"/>
      <selection pane="topRight" activeCell="B1" sqref="B1"/>
    </sheetView>
  </sheetViews>
  <sheetFormatPr defaultRowHeight="14.45" outlineLevelCol="1"/>
  <cols>
    <col min="1" max="1" width="37.28515625" style="4" customWidth="1"/>
    <col min="2" max="4" width="9.5703125" style="4" hidden="1" customWidth="1" outlineLevel="1"/>
    <col min="5" max="5" width="9.5703125" style="4" customWidth="1" collapsed="1"/>
    <col min="6" max="8" width="9.5703125" style="4" hidden="1" customWidth="1" outlineLevel="1"/>
    <col min="9" max="9" width="9.5703125" style="4" customWidth="1" collapsed="1"/>
    <col min="10" max="12" width="9.5703125" style="4" hidden="1" customWidth="1" outlineLevel="1"/>
    <col min="13" max="13" width="9.5703125" style="4" customWidth="1" collapsed="1"/>
    <col min="14" max="16" width="9.5703125" style="4" hidden="1" customWidth="1" outlineLevel="1"/>
    <col min="17" max="17" width="9.5703125" style="4" customWidth="1" collapsed="1"/>
    <col min="18" max="20" width="9.5703125" style="4" customWidth="1" outlineLevel="1"/>
    <col min="21" max="21" width="9.5703125" style="4" customWidth="1"/>
    <col min="22" max="24" width="9.5703125" style="4" customWidth="1" outlineLevel="1"/>
    <col min="25" max="25" width="9.5703125" style="4" customWidth="1"/>
    <col min="26" max="28" width="9.5703125" style="4" customWidth="1" outlineLevel="1"/>
    <col min="29" max="29" width="9.5703125" style="4" customWidth="1"/>
    <col min="30" max="32" width="9.5703125" style="4" customWidth="1" outlineLevel="1"/>
    <col min="33" max="33" width="9.5703125" style="4" customWidth="1"/>
    <col min="34" max="36" width="9.5703125" style="4" customWidth="1" outlineLevel="1"/>
    <col min="37" max="37" width="9.5703125" style="4" customWidth="1"/>
    <col min="38" max="40" width="9.5703125" style="4" customWidth="1" outlineLevel="1"/>
    <col min="41" max="41" width="9.5703125" style="4" customWidth="1"/>
    <col min="42" max="44" width="9.5703125" style="4" hidden="1" customWidth="1" outlineLevel="1"/>
    <col min="45" max="45" width="9.5703125" style="4" hidden="1" customWidth="1" collapsed="1"/>
    <col min="46" max="46" width="9.5703125" style="4" customWidth="1"/>
    <col min="47" max="50" width="9.5703125" style="4" hidden="1" customWidth="1"/>
    <col min="51" max="53" width="9.140625" style="4" hidden="1" customWidth="1"/>
    <col min="54" max="54" width="9.42578125" style="4" hidden="1" customWidth="1"/>
    <col min="55" max="55" width="9.140625" style="4" hidden="1" customWidth="1"/>
    <col min="56" max="56" width="10.5703125" style="4" hidden="1" customWidth="1"/>
    <col min="57" max="57" width="8.85546875" style="4" customWidth="1"/>
    <col min="58" max="58" width="9.140625" style="4"/>
    <col min="59" max="59" width="9.85546875" style="4" bestFit="1" customWidth="1"/>
    <col min="60" max="61" width="9.140625" style="4"/>
    <col min="62" max="62" width="8.7109375" style="4"/>
    <col min="63" max="63" width="13.5703125" customWidth="1"/>
    <col min="64" max="64" width="0" hidden="1" customWidth="1"/>
  </cols>
  <sheetData>
    <row r="1" spans="1:63">
      <c r="A1" s="107"/>
      <c r="B1" s="1164"/>
      <c r="C1" s="107"/>
      <c r="D1" s="107"/>
      <c r="E1" s="1165"/>
      <c r="F1" s="1164"/>
      <c r="G1" s="107"/>
      <c r="H1" s="107"/>
      <c r="I1" s="1165"/>
      <c r="J1" s="1164"/>
      <c r="K1" s="107"/>
      <c r="L1" s="107"/>
      <c r="M1" s="1165"/>
      <c r="N1" s="1164"/>
      <c r="O1" s="107"/>
      <c r="P1" s="107"/>
      <c r="Q1" s="1165"/>
      <c r="R1" s="1164"/>
      <c r="S1" s="107"/>
      <c r="T1" s="107"/>
      <c r="U1" s="1165"/>
      <c r="V1" s="1164"/>
      <c r="W1" s="107"/>
      <c r="X1" s="107"/>
      <c r="Y1" s="1165"/>
      <c r="Z1" s="1164"/>
      <c r="AA1" s="107"/>
      <c r="AB1" s="107"/>
      <c r="AC1" s="1165"/>
      <c r="AD1" s="1164"/>
      <c r="AE1" s="107"/>
      <c r="AF1" s="107"/>
      <c r="AG1" s="1165"/>
      <c r="AH1" s="1164"/>
      <c r="AI1" s="107"/>
      <c r="AJ1" s="107"/>
      <c r="AK1" s="1165"/>
      <c r="AL1" s="1164"/>
      <c r="AM1" s="107"/>
      <c r="AN1" s="107"/>
      <c r="AO1" s="1165"/>
      <c r="AP1" s="1164"/>
      <c r="AQ1" s="107"/>
      <c r="AR1" s="107"/>
      <c r="AS1" s="1165"/>
      <c r="AT1" s="107"/>
      <c r="AU1" s="108"/>
      <c r="AV1" s="108"/>
      <c r="AW1" s="108"/>
      <c r="AX1" s="108"/>
      <c r="AY1" s="108"/>
      <c r="AZ1" s="108"/>
      <c r="BA1" s="108"/>
      <c r="BB1" s="108"/>
      <c r="BC1" s="108"/>
      <c r="BD1" s="108"/>
      <c r="BE1" s="108"/>
      <c r="BF1" s="108"/>
      <c r="BG1" s="108"/>
      <c r="BH1" s="108"/>
      <c r="BI1" s="108"/>
      <c r="BJ1" s="108"/>
    </row>
    <row r="2" spans="1:63">
      <c r="A2" s="109" t="s">
        <v>301</v>
      </c>
      <c r="B2" s="556" t="s">
        <v>110</v>
      </c>
      <c r="C2" s="2" t="s">
        <v>111</v>
      </c>
      <c r="D2" s="108" t="s">
        <v>112</v>
      </c>
      <c r="E2" s="1114" t="s">
        <v>113</v>
      </c>
      <c r="F2" s="1113" t="s">
        <v>114</v>
      </c>
      <c r="G2" s="108" t="s">
        <v>115</v>
      </c>
      <c r="H2" s="108" t="s">
        <v>116</v>
      </c>
      <c r="I2" s="1114" t="s">
        <v>117</v>
      </c>
      <c r="J2" s="1113" t="s">
        <v>118</v>
      </c>
      <c r="K2" s="108" t="s">
        <v>119</v>
      </c>
      <c r="L2" s="108" t="s">
        <v>120</v>
      </c>
      <c r="M2" s="1114" t="s">
        <v>121</v>
      </c>
      <c r="N2" s="1113" t="s">
        <v>122</v>
      </c>
      <c r="O2" s="108" t="s">
        <v>123</v>
      </c>
      <c r="P2" s="108" t="s">
        <v>124</v>
      </c>
      <c r="Q2" s="1114" t="s">
        <v>125</v>
      </c>
      <c r="R2" s="1113" t="s">
        <v>126</v>
      </c>
      <c r="S2" s="108" t="s">
        <v>127</v>
      </c>
      <c r="T2" s="108" t="s">
        <v>128</v>
      </c>
      <c r="U2" s="1114" t="s">
        <v>129</v>
      </c>
      <c r="V2" s="1113" t="s">
        <v>130</v>
      </c>
      <c r="W2" s="108" t="s">
        <v>131</v>
      </c>
      <c r="X2" s="108" t="s">
        <v>132</v>
      </c>
      <c r="Y2" s="1114" t="s">
        <v>133</v>
      </c>
      <c r="Z2" s="1113" t="s">
        <v>134</v>
      </c>
      <c r="AA2" s="108" t="s">
        <v>135</v>
      </c>
      <c r="AB2" s="108" t="s">
        <v>136</v>
      </c>
      <c r="AC2" s="1114" t="s">
        <v>137</v>
      </c>
      <c r="AD2" s="1113" t="s">
        <v>138</v>
      </c>
      <c r="AE2" s="108" t="s">
        <v>139</v>
      </c>
      <c r="AF2" s="108" t="s">
        <v>140</v>
      </c>
      <c r="AG2" s="1114" t="s">
        <v>141</v>
      </c>
      <c r="AH2" s="1113" t="s">
        <v>142</v>
      </c>
      <c r="AI2" s="108" t="s">
        <v>143</v>
      </c>
      <c r="AJ2" s="108" t="s">
        <v>144</v>
      </c>
      <c r="AK2" s="1114" t="s">
        <v>145</v>
      </c>
      <c r="AL2" s="1113" t="s">
        <v>146</v>
      </c>
      <c r="AM2" s="108" t="s">
        <v>147</v>
      </c>
      <c r="AN2" s="108" t="s">
        <v>148</v>
      </c>
      <c r="AO2" s="1114" t="s">
        <v>149</v>
      </c>
      <c r="AP2" s="1113" t="s">
        <v>150</v>
      </c>
      <c r="AQ2" s="108" t="s">
        <v>151</v>
      </c>
      <c r="AR2" s="108" t="s">
        <v>152</v>
      </c>
      <c r="AS2" s="1114" t="s">
        <v>153</v>
      </c>
      <c r="AT2" s="109"/>
      <c r="AU2" s="108"/>
      <c r="AV2" s="2" t="s">
        <v>302</v>
      </c>
      <c r="AW2" s="2" t="s">
        <v>303</v>
      </c>
      <c r="AX2" s="2" t="s">
        <v>304</v>
      </c>
      <c r="AY2" s="2" t="s">
        <v>154</v>
      </c>
      <c r="AZ2" s="2" t="s">
        <v>16</v>
      </c>
      <c r="BA2" s="2" t="s">
        <v>17</v>
      </c>
      <c r="BB2" s="2" t="s">
        <v>18</v>
      </c>
      <c r="BC2" s="2" t="s">
        <v>19</v>
      </c>
      <c r="BD2" s="2" t="s">
        <v>20</v>
      </c>
      <c r="BE2" s="2" t="s">
        <v>21</v>
      </c>
      <c r="BF2" s="2" t="s">
        <v>22</v>
      </c>
      <c r="BG2" s="2" t="s">
        <v>35</v>
      </c>
      <c r="BH2" s="2" t="s">
        <v>155</v>
      </c>
      <c r="BI2" s="2" t="s">
        <v>156</v>
      </c>
      <c r="BJ2" s="2" t="s">
        <v>157</v>
      </c>
      <c r="BK2" s="2" t="s">
        <v>305</v>
      </c>
    </row>
    <row r="3" spans="1:63">
      <c r="A3" s="110" t="s">
        <v>306</v>
      </c>
      <c r="B3" s="1166">
        <v>67.52</v>
      </c>
      <c r="C3" s="111">
        <v>70.510000000000005</v>
      </c>
      <c r="D3" s="111">
        <v>71.66</v>
      </c>
      <c r="E3" s="1167">
        <v>69.28</v>
      </c>
      <c r="F3" s="1166">
        <v>68.5</v>
      </c>
      <c r="G3" s="111">
        <v>70.66</v>
      </c>
      <c r="H3" s="111">
        <v>70.97</v>
      </c>
      <c r="I3" s="1167">
        <v>71.66</v>
      </c>
      <c r="J3" s="1166">
        <v>75.553967119370981</v>
      </c>
      <c r="K3" s="111">
        <v>74.480309877340218</v>
      </c>
      <c r="L3" s="317">
        <v>74.042288557213922</v>
      </c>
      <c r="M3" s="1168">
        <v>73.300406740267292</v>
      </c>
      <c r="N3" s="1166">
        <v>73.189784677015524</v>
      </c>
      <c r="O3" s="111">
        <v>73.75</v>
      </c>
      <c r="P3" s="317">
        <v>74.824007220216615</v>
      </c>
      <c r="Q3" s="317">
        <v>75.3</v>
      </c>
      <c r="R3" s="1166">
        <v>76.640134059488901</v>
      </c>
      <c r="S3" s="111">
        <v>79.3600648035642</v>
      </c>
      <c r="T3" s="111">
        <v>81.676599125943582</v>
      </c>
      <c r="U3" s="317">
        <v>82.072617246596067</v>
      </c>
      <c r="V3" s="1166">
        <v>81.714495952906546</v>
      </c>
      <c r="W3" s="111">
        <v>81.848256023013292</v>
      </c>
      <c r="X3" s="111">
        <v>82.386524822695037</v>
      </c>
      <c r="Y3" s="111">
        <v>82.534709861160565</v>
      </c>
      <c r="Z3" s="1166">
        <v>82.300977653631293</v>
      </c>
      <c r="AA3" s="111">
        <v>82.87044645302656</v>
      </c>
      <c r="AB3" s="111">
        <v>83.434058898847624</v>
      </c>
      <c r="AC3" s="111">
        <v>84.81288723667906</v>
      </c>
      <c r="AD3" s="1166">
        <v>83.377034358047027</v>
      </c>
      <c r="AE3" s="111">
        <v>86.251893529539061</v>
      </c>
      <c r="AF3" s="111">
        <v>87.991266375545862</v>
      </c>
      <c r="AG3" s="111">
        <v>90.991617256184824</v>
      </c>
      <c r="AH3" s="1169">
        <v>93.5</v>
      </c>
      <c r="AI3" s="513">
        <v>93.5</v>
      </c>
      <c r="AJ3" s="513">
        <v>93.5</v>
      </c>
      <c r="AK3" s="1170">
        <v>93.5</v>
      </c>
      <c r="AL3" s="1169">
        <v>95.5</v>
      </c>
      <c r="AM3" s="513">
        <v>95.5</v>
      </c>
      <c r="AN3" s="513">
        <v>95.5</v>
      </c>
      <c r="AO3" s="1170">
        <v>95.5</v>
      </c>
      <c r="AP3" s="1169">
        <v>97</v>
      </c>
      <c r="AQ3" s="513">
        <v>97</v>
      </c>
      <c r="AR3" s="513">
        <v>97</v>
      </c>
      <c r="AS3" s="1170">
        <v>97</v>
      </c>
      <c r="AT3" s="110"/>
      <c r="AU3" s="112"/>
      <c r="AV3" s="112"/>
      <c r="AW3" s="112"/>
      <c r="AX3" s="112"/>
      <c r="AY3" s="112"/>
      <c r="AZ3" s="112"/>
      <c r="BA3" s="112"/>
      <c r="BB3" s="112"/>
      <c r="BC3" s="112"/>
      <c r="BD3" s="112"/>
      <c r="BE3" s="112"/>
      <c r="BF3" s="112"/>
      <c r="BG3" s="112"/>
      <c r="BH3" s="112"/>
      <c r="BI3" s="112"/>
      <c r="BJ3" s="112"/>
    </row>
    <row r="4" spans="1:63">
      <c r="A4" s="110"/>
      <c r="B4" s="917"/>
      <c r="C4" s="110"/>
      <c r="D4" s="110"/>
      <c r="E4" s="1171"/>
      <c r="F4" s="917"/>
      <c r="G4" s="110"/>
      <c r="H4" s="110"/>
      <c r="I4" s="1171"/>
      <c r="J4" s="383"/>
      <c r="K4" s="110"/>
      <c r="L4" s="110"/>
      <c r="M4" s="1171"/>
      <c r="N4" s="383"/>
      <c r="O4" s="110"/>
      <c r="P4" s="110"/>
      <c r="Q4" s="1171"/>
      <c r="R4" s="383"/>
      <c r="S4" s="110"/>
      <c r="T4" s="110"/>
      <c r="U4" s="1171"/>
      <c r="V4" s="383"/>
      <c r="W4" s="110"/>
      <c r="X4" s="110"/>
      <c r="Y4" s="1171"/>
      <c r="Z4" s="383"/>
      <c r="AA4" s="110"/>
      <c r="AB4" s="110"/>
      <c r="AC4" s="1171"/>
      <c r="AD4" s="383"/>
      <c r="AE4" s="110"/>
      <c r="AF4" s="110"/>
      <c r="AG4" s="1171"/>
      <c r="AH4" s="383"/>
      <c r="AI4" s="110"/>
      <c r="AJ4" s="110"/>
      <c r="AK4" s="1171"/>
      <c r="AL4" s="383"/>
      <c r="AM4" s="110"/>
      <c r="AN4" s="110"/>
      <c r="AO4" s="1171"/>
      <c r="AP4" s="383"/>
      <c r="AQ4" s="110"/>
      <c r="AR4" s="110"/>
      <c r="AS4" s="1171"/>
      <c r="AT4" s="110"/>
      <c r="AU4" s="114"/>
      <c r="AV4" s="110"/>
      <c r="AW4" s="110"/>
      <c r="AX4" s="110"/>
      <c r="AY4" s="110"/>
      <c r="AZ4" s="110"/>
      <c r="BA4" s="110"/>
      <c r="BB4" s="110"/>
      <c r="BC4" s="110"/>
      <c r="BD4" s="110"/>
      <c r="BE4" s="110"/>
      <c r="BF4" s="110"/>
      <c r="BG4" s="110"/>
      <c r="BH4" s="110"/>
      <c r="BI4" s="110"/>
      <c r="BJ4" s="110"/>
    </row>
    <row r="5" spans="1:63">
      <c r="A5" s="115" t="s">
        <v>307</v>
      </c>
      <c r="B5" s="917"/>
      <c r="C5" s="110"/>
      <c r="D5" s="110"/>
      <c r="E5" s="1171"/>
      <c r="F5" s="917"/>
      <c r="G5" s="110"/>
      <c r="H5" s="110"/>
      <c r="I5" s="1171"/>
      <c r="J5" s="383"/>
      <c r="K5" s="110"/>
      <c r="L5" s="110"/>
      <c r="M5" s="1171"/>
      <c r="N5" s="383"/>
      <c r="O5" s="110"/>
      <c r="P5" s="110"/>
      <c r="Q5" s="1171"/>
      <c r="R5" s="383"/>
      <c r="S5" s="110"/>
      <c r="T5" s="110"/>
      <c r="U5" s="1171"/>
      <c r="V5" s="383"/>
      <c r="W5" s="110"/>
      <c r="X5" s="110"/>
      <c r="Y5" s="1171"/>
      <c r="Z5" s="383"/>
      <c r="AA5" s="110"/>
      <c r="AB5" s="110"/>
      <c r="AC5" s="1171"/>
      <c r="AD5" s="383"/>
      <c r="AE5" s="110"/>
      <c r="AF5" s="110"/>
      <c r="AG5" s="1171"/>
      <c r="AH5" s="383"/>
      <c r="AI5" s="110"/>
      <c r="AJ5" s="110"/>
      <c r="AK5" s="1171"/>
      <c r="AL5" s="383"/>
      <c r="AM5" s="110"/>
      <c r="AN5" s="110"/>
      <c r="AO5" s="1171"/>
      <c r="AP5" s="383"/>
      <c r="AQ5" s="110"/>
      <c r="AR5" s="110"/>
      <c r="AS5" s="1171"/>
      <c r="AT5" s="110"/>
      <c r="AU5" s="114"/>
      <c r="AV5" s="110"/>
      <c r="AW5" s="110"/>
      <c r="AX5" s="110"/>
      <c r="AY5" s="110"/>
      <c r="AZ5" s="110"/>
      <c r="BA5" s="110"/>
      <c r="BB5" s="110"/>
      <c r="BC5" s="110"/>
      <c r="BD5" s="110"/>
      <c r="BE5" s="110"/>
      <c r="BF5" s="110"/>
      <c r="BG5" s="110"/>
      <c r="BH5" s="110"/>
      <c r="BI5" s="110"/>
      <c r="BJ5" s="110"/>
    </row>
    <row r="6" spans="1:63" hidden="1">
      <c r="A6" s="110"/>
      <c r="B6" s="917"/>
      <c r="C6" s="110"/>
      <c r="D6" s="110"/>
      <c r="E6" s="1171"/>
      <c r="F6" s="917"/>
      <c r="G6" s="110"/>
      <c r="H6" s="110"/>
      <c r="I6" s="1171"/>
      <c r="J6" s="383"/>
      <c r="K6" s="110"/>
      <c r="L6" s="110"/>
      <c r="M6" s="1171"/>
      <c r="N6" s="383"/>
      <c r="O6" s="110"/>
      <c r="P6" s="110"/>
      <c r="Q6" s="1171"/>
      <c r="R6" s="383"/>
      <c r="S6" s="110"/>
      <c r="T6" s="110"/>
      <c r="U6" s="1171"/>
      <c r="V6" s="383"/>
      <c r="W6" s="110"/>
      <c r="X6" s="110"/>
      <c r="Y6" s="1171"/>
      <c r="Z6" s="383"/>
      <c r="AA6" s="110"/>
      <c r="AB6" s="110"/>
      <c r="AC6" s="1171"/>
      <c r="AD6" s="383"/>
      <c r="AE6" s="110"/>
      <c r="AF6" s="110"/>
      <c r="AG6" s="1171"/>
      <c r="AH6" s="383"/>
      <c r="AI6" s="110"/>
      <c r="AJ6" s="110"/>
      <c r="AK6" s="1171"/>
      <c r="AL6" s="383"/>
      <c r="AM6" s="110"/>
      <c r="AN6" s="110"/>
      <c r="AO6" s="1171"/>
      <c r="AP6" s="383"/>
      <c r="AQ6" s="110"/>
      <c r="AR6" s="110"/>
      <c r="AS6" s="1171"/>
      <c r="AT6" s="110"/>
      <c r="AU6" s="114"/>
      <c r="AV6" s="110"/>
      <c r="AW6" s="110"/>
      <c r="AX6" s="110"/>
      <c r="AY6" s="110"/>
      <c r="AZ6" s="110"/>
      <c r="BA6" s="110"/>
      <c r="BB6" s="110"/>
      <c r="BC6" s="110"/>
      <c r="BD6" s="110"/>
      <c r="BE6" s="110"/>
      <c r="BF6" s="110"/>
      <c r="BG6" s="110"/>
      <c r="BH6" s="110"/>
      <c r="BI6" s="110"/>
      <c r="BJ6" s="110"/>
    </row>
    <row r="7" spans="1:63" ht="15" hidden="1" thickBot="1">
      <c r="A7" s="116" t="s">
        <v>308</v>
      </c>
      <c r="B7" s="117"/>
      <c r="C7" s="116"/>
      <c r="D7" s="116"/>
      <c r="E7" s="118"/>
      <c r="F7" s="117"/>
      <c r="G7" s="116"/>
      <c r="H7" s="116"/>
      <c r="I7" s="118"/>
      <c r="J7" s="119"/>
      <c r="K7" s="116"/>
      <c r="L7" s="116"/>
      <c r="M7" s="118"/>
      <c r="N7" s="119"/>
      <c r="O7" s="116"/>
      <c r="P7" s="116"/>
      <c r="Q7" s="118"/>
      <c r="R7" s="119"/>
      <c r="S7" s="116"/>
      <c r="T7" s="116"/>
      <c r="U7" s="118"/>
      <c r="V7" s="119"/>
      <c r="W7" s="116"/>
      <c r="X7" s="116"/>
      <c r="Y7" s="118"/>
      <c r="Z7" s="119"/>
      <c r="AA7" s="116"/>
      <c r="AB7" s="116"/>
      <c r="AC7" s="118"/>
      <c r="AD7" s="119"/>
      <c r="AE7" s="116"/>
      <c r="AF7" s="116"/>
      <c r="AG7" s="118"/>
      <c r="AH7" s="119"/>
      <c r="AI7" s="116"/>
      <c r="AJ7" s="116"/>
      <c r="AK7" s="118"/>
      <c r="AL7" s="119"/>
      <c r="AM7" s="116"/>
      <c r="AN7" s="116"/>
      <c r="AO7" s="118"/>
      <c r="AP7" s="119"/>
      <c r="AQ7" s="116"/>
      <c r="AR7" s="116"/>
      <c r="AS7" s="118"/>
      <c r="AT7" s="116"/>
      <c r="AU7" s="120"/>
      <c r="AV7" s="120"/>
      <c r="AW7" s="120"/>
      <c r="AX7" s="120"/>
      <c r="AY7" s="120"/>
      <c r="AZ7" s="120"/>
      <c r="BA7" s="120"/>
      <c r="BB7" s="120"/>
      <c r="BC7" s="120"/>
      <c r="BD7" s="120"/>
      <c r="BE7" s="120"/>
      <c r="BF7" s="120"/>
      <c r="BG7" s="120"/>
      <c r="BH7" s="120"/>
      <c r="BI7" s="120"/>
      <c r="BJ7" s="120"/>
    </row>
    <row r="8" spans="1:63" hidden="1">
      <c r="A8" s="110" t="s">
        <v>309</v>
      </c>
      <c r="B8" s="1172">
        <v>2217</v>
      </c>
      <c r="C8" s="121">
        <v>2369</v>
      </c>
      <c r="D8" s="121">
        <v>2408</v>
      </c>
      <c r="E8" s="121">
        <v>2345</v>
      </c>
      <c r="F8" s="1172">
        <v>2429</v>
      </c>
      <c r="G8" s="121">
        <v>2468</v>
      </c>
      <c r="H8" s="121">
        <v>2451</v>
      </c>
      <c r="I8" s="121">
        <v>2451</v>
      </c>
      <c r="J8" s="1172">
        <v>2260</v>
      </c>
      <c r="K8" s="121">
        <v>2524</v>
      </c>
      <c r="L8" s="121">
        <v>2506</v>
      </c>
      <c r="M8" s="1173">
        <v>2536</v>
      </c>
      <c r="N8" s="1172">
        <v>3361</v>
      </c>
      <c r="O8" s="121">
        <v>3458</v>
      </c>
      <c r="P8" s="121">
        <v>3360</v>
      </c>
      <c r="Q8" s="121">
        <v>3407.04</v>
      </c>
      <c r="R8" s="1172">
        <v>3638.7200000000003</v>
      </c>
      <c r="S8" s="121">
        <v>3678.56</v>
      </c>
      <c r="T8" s="121">
        <v>3600.8</v>
      </c>
      <c r="U8" s="121">
        <v>3483.6</v>
      </c>
      <c r="V8" s="1172">
        <v>3633.6</v>
      </c>
      <c r="W8" s="121">
        <v>3695.7</v>
      </c>
      <c r="X8" s="121">
        <v>3691.0499999999997</v>
      </c>
      <c r="Y8" s="121">
        <v>3708.8999999999996</v>
      </c>
      <c r="Z8" s="1172">
        <v>3916.6499999999996</v>
      </c>
      <c r="AA8" s="121">
        <v>4207.95</v>
      </c>
      <c r="AB8" s="121">
        <v>4964.0999999999995</v>
      </c>
      <c r="AC8" s="121">
        <v>4953.45</v>
      </c>
      <c r="AD8" s="1172">
        <v>5128.05</v>
      </c>
      <c r="AE8" s="121">
        <v>5234.3999999999996</v>
      </c>
      <c r="AF8" s="121">
        <v>5301.15</v>
      </c>
      <c r="AG8" s="121">
        <v>5366.55</v>
      </c>
      <c r="AH8" s="1172">
        <v>7184.0215999999991</v>
      </c>
      <c r="AI8" s="121">
        <v>7191.2056215999983</v>
      </c>
      <c r="AJ8" s="121">
        <v>7184.0144159783986</v>
      </c>
      <c r="AK8" s="1173">
        <v>7219.9344880582894</v>
      </c>
      <c r="AL8" s="1172">
        <v>7256.0341604985797</v>
      </c>
      <c r="AM8" s="121">
        <v>7328.594502103565</v>
      </c>
      <c r="AN8" s="121">
        <v>7321.2659076014615</v>
      </c>
      <c r="AO8" s="1173">
        <v>7357.8722371394679</v>
      </c>
      <c r="AP8" s="1172">
        <v>7394.661598325165</v>
      </c>
      <c r="AQ8" s="121">
        <v>7468.6082143084159</v>
      </c>
      <c r="AR8" s="121">
        <v>7461.1396060941079</v>
      </c>
      <c r="AS8" s="1173">
        <v>7498.4453041245779</v>
      </c>
      <c r="AT8" s="110"/>
      <c r="AU8" s="122"/>
      <c r="AV8" s="122"/>
      <c r="AW8" s="122"/>
      <c r="AX8" s="122"/>
      <c r="AY8" s="122"/>
      <c r="AZ8" s="122">
        <v>2345</v>
      </c>
      <c r="BA8" s="122">
        <v>2451</v>
      </c>
      <c r="BB8" s="122">
        <v>2536</v>
      </c>
      <c r="BC8" s="122">
        <v>3407.04</v>
      </c>
      <c r="BD8" s="122"/>
      <c r="BE8" s="9"/>
      <c r="BF8" s="122"/>
      <c r="BG8" s="122"/>
      <c r="BH8" s="122"/>
      <c r="BI8" s="122"/>
      <c r="BJ8" s="122"/>
    </row>
    <row r="9" spans="1:63" hidden="1">
      <c r="A9" s="123" t="s">
        <v>310</v>
      </c>
      <c r="B9" s="1172">
        <v>6684</v>
      </c>
      <c r="C9" s="121">
        <v>2369</v>
      </c>
      <c r="D9" s="121">
        <v>6881</v>
      </c>
      <c r="E9" s="1173">
        <v>7018</v>
      </c>
      <c r="F9" s="1172">
        <v>7063</v>
      </c>
      <c r="G9" s="121">
        <v>7453</v>
      </c>
      <c r="H9" s="121">
        <v>7515</v>
      </c>
      <c r="I9" s="1173">
        <v>7823</v>
      </c>
      <c r="J9" s="1172">
        <v>7476</v>
      </c>
      <c r="K9" s="121">
        <v>7757</v>
      </c>
      <c r="L9" s="121">
        <v>8032</v>
      </c>
      <c r="M9" s="1173">
        <v>8933</v>
      </c>
      <c r="N9" s="1172">
        <v>15978</v>
      </c>
      <c r="O9" s="121">
        <v>16121</v>
      </c>
      <c r="P9" s="121">
        <v>17578</v>
      </c>
      <c r="Q9" s="121">
        <v>17886.96</v>
      </c>
      <c r="R9" s="1172">
        <v>17855.28</v>
      </c>
      <c r="S9" s="121">
        <v>18013.439999999999</v>
      </c>
      <c r="T9" s="121">
        <v>17552.2</v>
      </c>
      <c r="U9" s="121">
        <v>18331.400000000001</v>
      </c>
      <c r="V9" s="1172">
        <v>19128.400000000001</v>
      </c>
      <c r="W9" s="121">
        <v>19435.3</v>
      </c>
      <c r="X9" s="121">
        <v>19415.95</v>
      </c>
      <c r="Y9" s="121">
        <v>19534.099999999999</v>
      </c>
      <c r="Z9" s="1172">
        <v>20647.349999999999</v>
      </c>
      <c r="AA9" s="121">
        <v>22252.05</v>
      </c>
      <c r="AB9" s="121">
        <v>26016.9</v>
      </c>
      <c r="AC9" s="121">
        <v>25934.55</v>
      </c>
      <c r="AD9" s="1172">
        <v>26884.95</v>
      </c>
      <c r="AE9" s="121">
        <v>27475.599999999999</v>
      </c>
      <c r="AF9" s="121">
        <v>27876.850000000002</v>
      </c>
      <c r="AG9" s="121">
        <v>28276.449999999997</v>
      </c>
      <c r="AH9" s="1172">
        <v>35037.943399999996</v>
      </c>
      <c r="AI9" s="121">
        <v>35072.981343399988</v>
      </c>
      <c r="AJ9" s="121">
        <v>35037.908362056587</v>
      </c>
      <c r="AK9" s="1173">
        <v>35213.097903866867</v>
      </c>
      <c r="AL9" s="1172">
        <v>35389.163393386196</v>
      </c>
      <c r="AM9" s="121">
        <v>35743.055027320057</v>
      </c>
      <c r="AN9" s="121">
        <v>35707.311972292737</v>
      </c>
      <c r="AO9" s="1173">
        <v>35885.848532154196</v>
      </c>
      <c r="AP9" s="1172">
        <v>36065.27777481496</v>
      </c>
      <c r="AQ9" s="121">
        <v>36425.930552563113</v>
      </c>
      <c r="AR9" s="121">
        <v>36389.504622010551</v>
      </c>
      <c r="AS9" s="1173">
        <v>36571.452145120602</v>
      </c>
      <c r="AT9" s="123"/>
      <c r="AU9" s="122"/>
      <c r="AV9" s="122"/>
      <c r="AW9" s="122"/>
      <c r="AX9" s="122"/>
      <c r="AY9" s="122"/>
      <c r="AZ9" s="122">
        <v>7018</v>
      </c>
      <c r="BA9" s="122">
        <v>7823</v>
      </c>
      <c r="BB9" s="122">
        <v>8933</v>
      </c>
      <c r="BC9" s="122">
        <v>17886.96</v>
      </c>
      <c r="BD9" s="122"/>
      <c r="BE9" s="122"/>
      <c r="BF9" s="122"/>
      <c r="BG9" s="122"/>
      <c r="BH9" s="122"/>
      <c r="BI9" s="122"/>
      <c r="BJ9" s="122"/>
    </row>
    <row r="10" spans="1:63" hidden="1">
      <c r="A10" s="123" t="s">
        <v>311</v>
      </c>
      <c r="B10" s="338">
        <v>8901</v>
      </c>
      <c r="C10" s="124">
        <v>4738</v>
      </c>
      <c r="D10" s="124">
        <v>9289</v>
      </c>
      <c r="E10" s="124">
        <v>9363</v>
      </c>
      <c r="F10" s="338">
        <v>9492</v>
      </c>
      <c r="G10" s="124">
        <v>9921</v>
      </c>
      <c r="H10" s="124">
        <v>9966</v>
      </c>
      <c r="I10" s="124">
        <v>10274</v>
      </c>
      <c r="J10" s="338">
        <v>9736</v>
      </c>
      <c r="K10" s="124">
        <v>10281</v>
      </c>
      <c r="L10" s="318">
        <v>10538</v>
      </c>
      <c r="M10" s="1174">
        <v>11469</v>
      </c>
      <c r="N10" s="338">
        <v>19339</v>
      </c>
      <c r="O10" s="124">
        <v>19579</v>
      </c>
      <c r="P10" s="318">
        <v>20938</v>
      </c>
      <c r="Q10" s="318">
        <v>21294</v>
      </c>
      <c r="R10" s="376">
        <v>21494</v>
      </c>
      <c r="S10" s="124">
        <v>21692</v>
      </c>
      <c r="T10" s="124">
        <v>21153</v>
      </c>
      <c r="U10" s="318">
        <v>21815</v>
      </c>
      <c r="V10" s="376">
        <v>22762</v>
      </c>
      <c r="W10" s="124">
        <v>23131</v>
      </c>
      <c r="X10" s="124">
        <v>23107</v>
      </c>
      <c r="Y10" s="124">
        <v>23243</v>
      </c>
      <c r="Z10" s="376">
        <v>24564</v>
      </c>
      <c r="AA10" s="124">
        <v>26460</v>
      </c>
      <c r="AB10" s="124">
        <v>30981</v>
      </c>
      <c r="AC10" s="124">
        <v>30888</v>
      </c>
      <c r="AD10" s="376">
        <v>32013</v>
      </c>
      <c r="AE10" s="318">
        <v>32710</v>
      </c>
      <c r="AF10" s="124">
        <v>33178</v>
      </c>
      <c r="AG10" s="124">
        <v>33643</v>
      </c>
      <c r="AH10" s="339">
        <v>42221.964999999997</v>
      </c>
      <c r="AI10" s="125">
        <v>42264.186964999986</v>
      </c>
      <c r="AJ10" s="125">
        <v>42221.922778034983</v>
      </c>
      <c r="AK10" s="1175">
        <v>42433.032391925153</v>
      </c>
      <c r="AL10" s="339">
        <v>42645.197553884776</v>
      </c>
      <c r="AM10" s="125">
        <v>43071.649529423623</v>
      </c>
      <c r="AN10" s="125">
        <v>43028.577879894197</v>
      </c>
      <c r="AO10" s="1175">
        <v>43243.720769293664</v>
      </c>
      <c r="AP10" s="339">
        <v>43459.939373140121</v>
      </c>
      <c r="AQ10" s="125">
        <v>43894.538766871527</v>
      </c>
      <c r="AR10" s="125">
        <v>43850.644228104662</v>
      </c>
      <c r="AS10" s="1175">
        <v>44069.897449245182</v>
      </c>
      <c r="AT10" s="123"/>
      <c r="AU10" s="122"/>
      <c r="AV10" s="122"/>
      <c r="AW10" s="122"/>
      <c r="AX10" s="122"/>
      <c r="AY10" s="122"/>
      <c r="AZ10" s="122">
        <v>9363</v>
      </c>
      <c r="BA10" s="122">
        <v>10274</v>
      </c>
      <c r="BB10" s="122">
        <v>11469</v>
      </c>
      <c r="BC10" s="122">
        <v>21294</v>
      </c>
      <c r="BD10" s="122"/>
      <c r="BE10" s="122"/>
      <c r="BF10" s="122"/>
      <c r="BG10" s="122"/>
      <c r="BH10" s="122"/>
      <c r="BI10" s="122"/>
      <c r="BJ10" s="122"/>
    </row>
    <row r="11" spans="1:63" hidden="1">
      <c r="A11" s="123" t="s">
        <v>312</v>
      </c>
      <c r="B11" s="338">
        <v>221</v>
      </c>
      <c r="C11" s="124">
        <v>217</v>
      </c>
      <c r="D11" s="124">
        <v>208</v>
      </c>
      <c r="E11" s="124">
        <v>211</v>
      </c>
      <c r="F11" s="338">
        <v>141</v>
      </c>
      <c r="G11" s="124">
        <v>185</v>
      </c>
      <c r="H11" s="124">
        <v>185</v>
      </c>
      <c r="I11" s="124">
        <v>170</v>
      </c>
      <c r="J11" s="338">
        <v>184</v>
      </c>
      <c r="K11" s="124">
        <v>191</v>
      </c>
      <c r="L11" s="318">
        <v>189</v>
      </c>
      <c r="M11" s="1174">
        <v>188</v>
      </c>
      <c r="N11" s="338">
        <v>258</v>
      </c>
      <c r="O11" s="124">
        <v>297</v>
      </c>
      <c r="P11" s="318">
        <v>281</v>
      </c>
      <c r="Q11" s="318">
        <v>278</v>
      </c>
      <c r="R11" s="376">
        <v>285</v>
      </c>
      <c r="S11" s="124">
        <v>291</v>
      </c>
      <c r="T11" s="124">
        <v>317</v>
      </c>
      <c r="U11" s="318">
        <v>350</v>
      </c>
      <c r="V11" s="376">
        <v>363</v>
      </c>
      <c r="W11" s="124">
        <v>360</v>
      </c>
      <c r="X11" s="124">
        <v>368</v>
      </c>
      <c r="Y11" s="124">
        <v>388</v>
      </c>
      <c r="Z11" s="376">
        <v>424</v>
      </c>
      <c r="AA11" s="124">
        <v>443</v>
      </c>
      <c r="AB11" s="124">
        <v>583</v>
      </c>
      <c r="AC11" s="124">
        <v>569</v>
      </c>
      <c r="AD11" s="376">
        <v>594</v>
      </c>
      <c r="AE11" s="318">
        <v>622</v>
      </c>
      <c r="AF11" s="124">
        <v>617</v>
      </c>
      <c r="AG11" s="124">
        <v>577</v>
      </c>
      <c r="AH11" s="339">
        <v>2678.1699999999996</v>
      </c>
      <c r="AI11" s="125">
        <v>2680.8481699999993</v>
      </c>
      <c r="AJ11" s="125">
        <v>2678.1673218299993</v>
      </c>
      <c r="AK11" s="1175">
        <v>2691.5581584391489</v>
      </c>
      <c r="AL11" s="339">
        <v>2705.0159492313442</v>
      </c>
      <c r="AM11" s="125">
        <v>2732.0661087236576</v>
      </c>
      <c r="AN11" s="125">
        <v>2729.3340426149339</v>
      </c>
      <c r="AO11" s="1175">
        <v>2742.9807128280081</v>
      </c>
      <c r="AP11" s="339">
        <v>2756.6956163921482</v>
      </c>
      <c r="AQ11" s="125">
        <v>2784.2625725560692</v>
      </c>
      <c r="AR11" s="125">
        <v>2781.4783099835136</v>
      </c>
      <c r="AS11" s="1175">
        <v>2795.3857015334306</v>
      </c>
      <c r="AT11" s="123"/>
      <c r="AU11" s="122"/>
      <c r="AV11" s="122"/>
      <c r="AW11" s="122"/>
      <c r="AX11" s="122"/>
      <c r="AY11" s="122"/>
      <c r="AZ11" s="122">
        <v>211</v>
      </c>
      <c r="BA11" s="122">
        <v>170</v>
      </c>
      <c r="BB11" s="122">
        <v>188</v>
      </c>
      <c r="BC11" s="122">
        <v>278</v>
      </c>
      <c r="BD11" s="122"/>
      <c r="BE11" s="122"/>
      <c r="BF11" s="122"/>
      <c r="BG11" s="122"/>
      <c r="BH11" s="122"/>
      <c r="BI11" s="122"/>
      <c r="BJ11" s="122"/>
    </row>
    <row r="12" spans="1:63" hidden="1">
      <c r="A12" s="123" t="s">
        <v>85</v>
      </c>
      <c r="B12" s="338"/>
      <c r="C12" s="124"/>
      <c r="D12" s="124"/>
      <c r="E12" s="124">
        <v>689</v>
      </c>
      <c r="F12" s="338">
        <v>664</v>
      </c>
      <c r="G12" s="124">
        <v>694</v>
      </c>
      <c r="H12" s="124">
        <v>698</v>
      </c>
      <c r="I12" s="124">
        <v>712</v>
      </c>
      <c r="J12" s="338">
        <v>678</v>
      </c>
      <c r="K12" s="124">
        <v>690</v>
      </c>
      <c r="L12" s="318">
        <v>697</v>
      </c>
      <c r="M12" s="318">
        <v>734</v>
      </c>
      <c r="N12" s="338">
        <v>894</v>
      </c>
      <c r="O12" s="124">
        <v>910</v>
      </c>
      <c r="P12" s="318">
        <v>911</v>
      </c>
      <c r="Q12" s="318">
        <v>928</v>
      </c>
      <c r="R12" s="376">
        <v>963</v>
      </c>
      <c r="S12" s="124">
        <v>1008</v>
      </c>
      <c r="T12" s="124">
        <v>1035</v>
      </c>
      <c r="U12" s="318">
        <v>1059</v>
      </c>
      <c r="V12" s="376">
        <v>1099</v>
      </c>
      <c r="W12" s="124">
        <v>1147</v>
      </c>
      <c r="X12" s="124">
        <v>1132</v>
      </c>
      <c r="Y12" s="124">
        <v>1095</v>
      </c>
      <c r="Z12" s="376">
        <v>1123</v>
      </c>
      <c r="AA12" s="124">
        <v>1150</v>
      </c>
      <c r="AB12" s="124">
        <v>1530</v>
      </c>
      <c r="AC12" s="124">
        <v>1566</v>
      </c>
      <c r="AD12" s="376">
        <v>1580</v>
      </c>
      <c r="AE12" s="318">
        <v>1564</v>
      </c>
      <c r="AF12" s="124">
        <v>1546</v>
      </c>
      <c r="AG12" s="124">
        <v>1557</v>
      </c>
      <c r="AH12" s="339"/>
      <c r="AI12" s="125"/>
      <c r="AJ12" s="125"/>
      <c r="AK12" s="1175"/>
      <c r="AL12" s="339"/>
      <c r="AM12" s="125"/>
      <c r="AN12" s="125"/>
      <c r="AO12" s="1175"/>
      <c r="AP12" s="339"/>
      <c r="AQ12" s="125"/>
      <c r="AR12" s="125"/>
      <c r="AS12" s="1175"/>
      <c r="AT12" s="123"/>
      <c r="AU12" s="122"/>
      <c r="AV12" s="122"/>
      <c r="AW12" s="122"/>
      <c r="AX12" s="122"/>
      <c r="AY12" s="122"/>
      <c r="AZ12" s="122">
        <v>689</v>
      </c>
      <c r="BA12" s="122">
        <v>712</v>
      </c>
      <c r="BB12" s="122">
        <v>734</v>
      </c>
      <c r="BC12" s="122">
        <v>928</v>
      </c>
      <c r="BD12" s="122"/>
      <c r="BE12" s="122"/>
      <c r="BF12" s="122"/>
      <c r="BG12" s="122"/>
      <c r="BH12" s="122"/>
      <c r="BI12" s="122"/>
      <c r="BJ12" s="122"/>
    </row>
    <row r="13" spans="1:63" hidden="1">
      <c r="A13" s="126" t="s">
        <v>279</v>
      </c>
      <c r="B13" s="1176">
        <v>9122</v>
      </c>
      <c r="C13" s="127">
        <v>4955</v>
      </c>
      <c r="D13" s="127">
        <v>9497</v>
      </c>
      <c r="E13" s="127">
        <v>10263</v>
      </c>
      <c r="F13" s="1176">
        <v>10297</v>
      </c>
      <c r="G13" s="127">
        <v>10800</v>
      </c>
      <c r="H13" s="127">
        <v>10849</v>
      </c>
      <c r="I13" s="127">
        <v>11156</v>
      </c>
      <c r="J13" s="1176">
        <v>10598</v>
      </c>
      <c r="K13" s="127">
        <v>11162</v>
      </c>
      <c r="L13" s="127">
        <v>11424</v>
      </c>
      <c r="M13" s="127">
        <v>12391</v>
      </c>
      <c r="N13" s="1176">
        <v>20491</v>
      </c>
      <c r="O13" s="127">
        <v>20786</v>
      </c>
      <c r="P13" s="127">
        <v>22130</v>
      </c>
      <c r="Q13" s="127">
        <v>22500</v>
      </c>
      <c r="R13" s="1176">
        <v>22742</v>
      </c>
      <c r="S13" s="127">
        <v>22991</v>
      </c>
      <c r="T13" s="127">
        <v>22505</v>
      </c>
      <c r="U13" s="127">
        <v>23224</v>
      </c>
      <c r="V13" s="1176">
        <v>24224</v>
      </c>
      <c r="W13" s="127">
        <v>24638</v>
      </c>
      <c r="X13" s="127">
        <v>24607</v>
      </c>
      <c r="Y13" s="127">
        <v>24726</v>
      </c>
      <c r="Z13" s="1176">
        <v>26111</v>
      </c>
      <c r="AA13" s="127">
        <v>28053</v>
      </c>
      <c r="AB13" s="127">
        <v>33094</v>
      </c>
      <c r="AC13" s="127">
        <v>33023</v>
      </c>
      <c r="AD13" s="1176">
        <v>34187</v>
      </c>
      <c r="AE13" s="127">
        <v>34896</v>
      </c>
      <c r="AF13" s="127">
        <v>35341</v>
      </c>
      <c r="AG13" s="127">
        <v>35777</v>
      </c>
      <c r="AH13" s="1177">
        <v>44900.134999999995</v>
      </c>
      <c r="AI13" s="128">
        <v>44945.035134999991</v>
      </c>
      <c r="AJ13" s="128">
        <v>44900.090099864989</v>
      </c>
      <c r="AK13" s="1178">
        <v>45124.590550364308</v>
      </c>
      <c r="AL13" s="1177">
        <v>45350.213503116123</v>
      </c>
      <c r="AM13" s="128">
        <v>45803.715638147281</v>
      </c>
      <c r="AN13" s="128">
        <v>45757.911922509134</v>
      </c>
      <c r="AO13" s="1178">
        <v>45986.701482121673</v>
      </c>
      <c r="AP13" s="1177">
        <v>46216.634989532278</v>
      </c>
      <c r="AQ13" s="128">
        <v>46678.801339427599</v>
      </c>
      <c r="AR13" s="128">
        <v>46632.122538088173</v>
      </c>
      <c r="AS13" s="1178">
        <v>46865.28315077861</v>
      </c>
      <c r="AT13" s="126"/>
      <c r="AU13" s="129"/>
      <c r="AV13" s="129"/>
      <c r="AW13" s="129"/>
      <c r="AX13" s="129">
        <v>0</v>
      </c>
      <c r="AY13" s="129">
        <v>0</v>
      </c>
      <c r="AZ13" s="129">
        <v>10263</v>
      </c>
      <c r="BA13" s="129">
        <v>11156</v>
      </c>
      <c r="BB13" s="129">
        <v>12391</v>
      </c>
      <c r="BC13" s="129">
        <v>22500</v>
      </c>
      <c r="BD13" s="129"/>
      <c r="BE13" s="129"/>
      <c r="BF13" s="129"/>
      <c r="BG13" s="129"/>
      <c r="BH13" s="129"/>
      <c r="BI13" s="129"/>
      <c r="BJ13" s="129"/>
    </row>
    <row r="14" spans="1:63" hidden="1">
      <c r="A14" s="110"/>
      <c r="B14" s="917"/>
      <c r="C14" s="113"/>
      <c r="D14" s="113"/>
      <c r="E14" s="1179"/>
      <c r="F14" s="917"/>
      <c r="G14" s="113"/>
      <c r="H14" s="113"/>
      <c r="I14" s="1179"/>
      <c r="J14" s="917"/>
      <c r="K14" s="113"/>
      <c r="L14" s="113"/>
      <c r="M14" s="1179"/>
      <c r="N14" s="917"/>
      <c r="O14" s="113"/>
      <c r="P14" s="113"/>
      <c r="Q14" s="1179"/>
      <c r="R14" s="917"/>
      <c r="S14" s="113"/>
      <c r="T14" s="113"/>
      <c r="U14" s="1179"/>
      <c r="V14" s="917"/>
      <c r="W14" s="113"/>
      <c r="X14" s="113"/>
      <c r="Y14" s="113"/>
      <c r="Z14" s="917"/>
      <c r="AA14" s="113"/>
      <c r="AB14" s="113"/>
      <c r="AC14" s="113"/>
      <c r="AD14" s="917"/>
      <c r="AE14" s="113"/>
      <c r="AF14" s="113"/>
      <c r="AG14" s="113"/>
      <c r="AH14" s="917"/>
      <c r="AI14" s="113"/>
      <c r="AJ14" s="113"/>
      <c r="AK14" s="1179"/>
      <c r="AL14" s="917"/>
      <c r="AM14" s="113"/>
      <c r="AN14" s="113"/>
      <c r="AO14" s="1179"/>
      <c r="AP14" s="917"/>
      <c r="AQ14" s="113"/>
      <c r="AR14" s="113"/>
      <c r="AS14" s="1179"/>
      <c r="AT14" s="110"/>
      <c r="AU14" s="110"/>
      <c r="AV14" s="110"/>
      <c r="AW14" s="110"/>
      <c r="AX14" s="110"/>
      <c r="AY14" s="110"/>
      <c r="AZ14" s="110"/>
      <c r="BA14" s="110"/>
      <c r="BB14" s="110"/>
      <c r="BC14" s="110"/>
      <c r="BD14" s="110"/>
      <c r="BE14" s="110"/>
      <c r="BF14" s="110"/>
      <c r="BG14" s="110"/>
      <c r="BH14" s="110"/>
      <c r="BI14" s="110"/>
      <c r="BJ14" s="110"/>
    </row>
    <row r="15" spans="1:63" hidden="1">
      <c r="A15" s="126" t="s">
        <v>313</v>
      </c>
      <c r="B15" s="1177">
        <v>9122</v>
      </c>
      <c r="C15" s="128">
        <v>-4167</v>
      </c>
      <c r="D15" s="128">
        <v>4542</v>
      </c>
      <c r="E15" s="1178">
        <v>1056.6082000000001</v>
      </c>
      <c r="F15" s="1177">
        <v>367.03435000000002</v>
      </c>
      <c r="G15" s="128">
        <v>819.63274999999999</v>
      </c>
      <c r="H15" s="128">
        <v>370.3</v>
      </c>
      <c r="I15" s="1178">
        <v>627.04549999999995</v>
      </c>
      <c r="J15" s="1177">
        <v>-228.89799999999997</v>
      </c>
      <c r="K15" s="128">
        <v>842.19749999999999</v>
      </c>
      <c r="L15" s="128">
        <v>552.21199999999999</v>
      </c>
      <c r="M15" s="1178">
        <v>1266.8800000000001</v>
      </c>
      <c r="N15" s="1177">
        <v>8490.3165000000008</v>
      </c>
      <c r="O15" s="128">
        <v>1078.7807499999999</v>
      </c>
      <c r="P15" s="128">
        <v>2191.0295000000001</v>
      </c>
      <c r="Q15" s="1178">
        <v>1349.2525000000001</v>
      </c>
      <c r="R15" s="1177">
        <v>1254.5</v>
      </c>
      <c r="S15" s="128">
        <v>1181.422</v>
      </c>
      <c r="T15" s="128">
        <v>422.14449999999999</v>
      </c>
      <c r="U15" s="1178">
        <v>1512.30125</v>
      </c>
      <c r="V15" s="1177">
        <v>1772.1980000000001</v>
      </c>
      <c r="W15" s="128">
        <v>1201.28</v>
      </c>
      <c r="X15" s="128">
        <v>714.29949999999997</v>
      </c>
      <c r="Y15" s="128">
        <v>826.45125000000007</v>
      </c>
      <c r="Z15" s="1177">
        <v>2089.6909999999998</v>
      </c>
      <c r="AA15" s="128">
        <v>2686.1635000000001</v>
      </c>
      <c r="AB15" s="128">
        <v>5875.5767500000002</v>
      </c>
      <c r="AC15" s="128">
        <v>830.81150000000002</v>
      </c>
      <c r="AD15" s="1177">
        <v>2096.89975</v>
      </c>
      <c r="AE15" s="128">
        <v>1683.3295000000001</v>
      </c>
      <c r="AF15" s="128">
        <v>1395.9160000000002</v>
      </c>
      <c r="AG15" s="128">
        <v>1390.2070000000001</v>
      </c>
      <c r="AH15" s="1177"/>
      <c r="AI15" s="128"/>
      <c r="AJ15" s="128"/>
      <c r="AK15" s="1178"/>
      <c r="AL15" s="1177"/>
      <c r="AM15" s="128"/>
      <c r="AN15" s="128"/>
      <c r="AO15" s="1178"/>
      <c r="AP15" s="1177"/>
      <c r="AQ15" s="128"/>
      <c r="AR15" s="128"/>
      <c r="AS15" s="1178"/>
      <c r="AT15" s="110"/>
      <c r="AU15" s="110"/>
      <c r="AV15" s="110"/>
      <c r="AW15" s="110"/>
      <c r="AX15" s="110"/>
      <c r="AY15" s="130"/>
      <c r="AZ15" s="130">
        <v>1056.6082000000001</v>
      </c>
      <c r="BA15" s="130">
        <v>627.04549999999995</v>
      </c>
      <c r="BB15" s="130">
        <v>1266.8800000000001</v>
      </c>
      <c r="BC15" s="130">
        <v>1349.2525000000001</v>
      </c>
      <c r="BD15" s="130"/>
      <c r="BE15" s="110"/>
      <c r="BF15" s="110"/>
      <c r="BG15" s="110"/>
      <c r="BH15" s="110"/>
      <c r="BI15" s="110"/>
      <c r="BJ15" s="110"/>
    </row>
    <row r="16" spans="1:63" hidden="1">
      <c r="A16" s="110" t="s">
        <v>314</v>
      </c>
      <c r="B16" s="917">
        <v>0</v>
      </c>
      <c r="C16" s="113">
        <v>0</v>
      </c>
      <c r="D16" s="113">
        <v>0</v>
      </c>
      <c r="E16" s="1179">
        <v>290.60820000000001</v>
      </c>
      <c r="F16" s="917">
        <v>333.03435000000002</v>
      </c>
      <c r="G16" s="113">
        <v>316.63275000000004</v>
      </c>
      <c r="H16" s="113">
        <v>321.3</v>
      </c>
      <c r="I16" s="1179">
        <v>320.0455</v>
      </c>
      <c r="J16" s="917">
        <v>329.10200000000003</v>
      </c>
      <c r="K16" s="113">
        <v>278.19749999999999</v>
      </c>
      <c r="L16" s="113">
        <v>290.21200000000005</v>
      </c>
      <c r="M16" s="1179">
        <v>299.88</v>
      </c>
      <c r="N16" s="917">
        <v>390.31650000000002</v>
      </c>
      <c r="O16" s="113">
        <v>783.78075000000001</v>
      </c>
      <c r="P16" s="113">
        <v>847.02949999999998</v>
      </c>
      <c r="Q16" s="1179">
        <v>979.25249999999994</v>
      </c>
      <c r="R16" s="917">
        <v>1012.5</v>
      </c>
      <c r="S16" s="113">
        <v>932.42199999999991</v>
      </c>
      <c r="T16" s="113">
        <v>908.14449999999999</v>
      </c>
      <c r="U16" s="1179">
        <v>793.30124999999987</v>
      </c>
      <c r="V16" s="917">
        <v>772.19800000000009</v>
      </c>
      <c r="W16" s="113">
        <v>787.28</v>
      </c>
      <c r="X16" s="113">
        <v>745.29949999999997</v>
      </c>
      <c r="Y16" s="113">
        <v>707.45125000000007</v>
      </c>
      <c r="Z16" s="917">
        <v>704.69100000000003</v>
      </c>
      <c r="AA16" s="113">
        <v>744.1635</v>
      </c>
      <c r="AB16" s="113">
        <v>834.57675000000006</v>
      </c>
      <c r="AC16" s="113">
        <v>901.81150000000002</v>
      </c>
      <c r="AD16" s="917">
        <v>932.89975000000004</v>
      </c>
      <c r="AE16" s="113">
        <v>974.32950000000005</v>
      </c>
      <c r="AF16" s="113">
        <v>950.91600000000005</v>
      </c>
      <c r="AG16" s="113">
        <v>954.20700000000011</v>
      </c>
      <c r="AH16" s="917"/>
      <c r="AI16" s="113"/>
      <c r="AJ16" s="113"/>
      <c r="AK16" s="1179"/>
      <c r="AL16" s="917"/>
      <c r="AM16" s="113"/>
      <c r="AN16" s="113"/>
      <c r="AO16" s="1179"/>
      <c r="AP16" s="917"/>
      <c r="AQ16" s="113"/>
      <c r="AR16" s="113"/>
      <c r="AS16" s="1179"/>
      <c r="AT16" s="110"/>
      <c r="AU16" s="110"/>
      <c r="AV16" s="110"/>
      <c r="AW16" s="110"/>
      <c r="AX16" s="110"/>
      <c r="AY16" s="131"/>
      <c r="AZ16" s="131">
        <v>290.60820000000001</v>
      </c>
      <c r="BA16" s="131">
        <v>320.0455</v>
      </c>
      <c r="BB16" s="131">
        <v>299.88</v>
      </c>
      <c r="BC16" s="131">
        <v>979.25249999999994</v>
      </c>
      <c r="BD16" s="131"/>
      <c r="BE16" s="110"/>
      <c r="BF16" s="110"/>
      <c r="BG16" s="110"/>
      <c r="BH16" s="110"/>
      <c r="BI16" s="110"/>
      <c r="BJ16" s="110"/>
    </row>
    <row r="17" spans="1:62" hidden="1">
      <c r="A17" s="110" t="s">
        <v>315</v>
      </c>
      <c r="B17" s="1180">
        <v>0</v>
      </c>
      <c r="C17" s="132">
        <v>0</v>
      </c>
      <c r="D17" s="132">
        <v>0</v>
      </c>
      <c r="E17" s="132">
        <v>12.24</v>
      </c>
      <c r="F17" s="1180">
        <v>12.98</v>
      </c>
      <c r="G17" s="132">
        <v>12.3</v>
      </c>
      <c r="H17" s="132">
        <v>11.9</v>
      </c>
      <c r="I17" s="132">
        <v>11.8</v>
      </c>
      <c r="J17" s="1180">
        <v>11.8</v>
      </c>
      <c r="K17" s="132">
        <v>10.5</v>
      </c>
      <c r="L17" s="132">
        <v>10.4</v>
      </c>
      <c r="M17" s="132">
        <v>10.5</v>
      </c>
      <c r="N17" s="1180">
        <v>12.6</v>
      </c>
      <c r="O17" s="132">
        <v>15.299999999999999</v>
      </c>
      <c r="P17" s="132">
        <v>16.3</v>
      </c>
      <c r="Q17" s="1181">
        <v>17.7</v>
      </c>
      <c r="R17" s="1180">
        <v>18</v>
      </c>
      <c r="S17" s="132">
        <v>16.399999999999999</v>
      </c>
      <c r="T17" s="132">
        <v>15.8</v>
      </c>
      <c r="U17" s="1181">
        <v>14.1</v>
      </c>
      <c r="V17" s="1180">
        <v>13.3</v>
      </c>
      <c r="W17" s="132">
        <v>13</v>
      </c>
      <c r="X17" s="132">
        <v>12.1</v>
      </c>
      <c r="Y17" s="132">
        <v>11.5</v>
      </c>
      <c r="Z17" s="1180">
        <v>11.4</v>
      </c>
      <c r="AA17" s="132">
        <v>11.4</v>
      </c>
      <c r="AB17" s="132">
        <v>11.9</v>
      </c>
      <c r="AC17" s="132">
        <v>10.9</v>
      </c>
      <c r="AD17" s="1180">
        <v>11.3</v>
      </c>
      <c r="AE17" s="132">
        <v>11.4</v>
      </c>
      <c r="AF17" s="132">
        <v>10.9</v>
      </c>
      <c r="AG17" s="132">
        <v>10.8</v>
      </c>
      <c r="AH17" s="1182"/>
      <c r="AI17" s="133"/>
      <c r="AJ17" s="133"/>
      <c r="AK17" s="1183"/>
      <c r="AL17" s="1182"/>
      <c r="AM17" s="133"/>
      <c r="AN17" s="133"/>
      <c r="AO17" s="1183"/>
      <c r="AP17" s="1182"/>
      <c r="AQ17" s="133"/>
      <c r="AR17" s="133"/>
      <c r="AS17" s="1183"/>
      <c r="AT17" s="110"/>
      <c r="AU17" s="110"/>
      <c r="AV17" s="110"/>
      <c r="AW17" s="110"/>
      <c r="AX17" s="110"/>
      <c r="AY17" s="134"/>
      <c r="AZ17" s="511">
        <v>12.24</v>
      </c>
      <c r="BA17" s="511">
        <v>11.8</v>
      </c>
      <c r="BB17" s="511">
        <v>10.5</v>
      </c>
      <c r="BC17" s="511">
        <v>17.7</v>
      </c>
      <c r="BD17" s="134"/>
      <c r="BE17" s="110"/>
      <c r="BF17" s="110"/>
      <c r="BG17" s="110"/>
      <c r="BH17" s="110"/>
      <c r="BI17" s="110"/>
      <c r="BJ17" s="110"/>
    </row>
    <row r="18" spans="1:62" hidden="1">
      <c r="A18" s="126" t="s">
        <v>316</v>
      </c>
      <c r="B18" s="1184">
        <v>9122</v>
      </c>
      <c r="C18" s="130">
        <v>-4167</v>
      </c>
      <c r="D18" s="130">
        <v>4542</v>
      </c>
      <c r="E18" s="1185">
        <v>766</v>
      </c>
      <c r="F18" s="1184">
        <v>34</v>
      </c>
      <c r="G18" s="130">
        <v>503</v>
      </c>
      <c r="H18" s="130">
        <v>49</v>
      </c>
      <c r="I18" s="1185">
        <v>307</v>
      </c>
      <c r="J18" s="1184">
        <v>-558</v>
      </c>
      <c r="K18" s="130">
        <v>564</v>
      </c>
      <c r="L18" s="130">
        <v>262</v>
      </c>
      <c r="M18" s="1185">
        <v>967</v>
      </c>
      <c r="N18" s="1184">
        <v>8100</v>
      </c>
      <c r="O18" s="130">
        <v>295</v>
      </c>
      <c r="P18" s="130">
        <v>1344</v>
      </c>
      <c r="Q18" s="1185">
        <v>370</v>
      </c>
      <c r="R18" s="1184">
        <v>242</v>
      </c>
      <c r="S18" s="130">
        <v>249</v>
      </c>
      <c r="T18" s="130">
        <v>-486</v>
      </c>
      <c r="U18" s="1185">
        <v>719</v>
      </c>
      <c r="V18" s="1184">
        <v>1000</v>
      </c>
      <c r="W18" s="130">
        <v>414</v>
      </c>
      <c r="X18" s="130">
        <v>-31</v>
      </c>
      <c r="Y18" s="130">
        <v>119</v>
      </c>
      <c r="Z18" s="1184">
        <v>1385</v>
      </c>
      <c r="AA18" s="130">
        <v>1942</v>
      </c>
      <c r="AB18" s="130">
        <v>5041</v>
      </c>
      <c r="AC18" s="130">
        <v>-71</v>
      </c>
      <c r="AD18" s="1184">
        <v>1164</v>
      </c>
      <c r="AE18" s="130">
        <v>709</v>
      </c>
      <c r="AF18" s="130">
        <v>445</v>
      </c>
      <c r="AG18" s="130">
        <v>436</v>
      </c>
      <c r="AH18" s="1184">
        <v>9123.1349999999948</v>
      </c>
      <c r="AI18" s="130">
        <v>44.900134999996226</v>
      </c>
      <c r="AJ18" s="130">
        <v>-44.945035135002399</v>
      </c>
      <c r="AK18" s="1185">
        <v>224.50045049931941</v>
      </c>
      <c r="AL18" s="1184">
        <v>225.62295275181532</v>
      </c>
      <c r="AM18" s="130">
        <v>453.5021350311581</v>
      </c>
      <c r="AN18" s="130">
        <v>-45.803715638146969</v>
      </c>
      <c r="AO18" s="1185">
        <v>228.78955961253814</v>
      </c>
      <c r="AP18" s="1184">
        <v>229.93350741060567</v>
      </c>
      <c r="AQ18" s="130">
        <v>462.16634989532031</v>
      </c>
      <c r="AR18" s="130">
        <v>-46.678801339425263</v>
      </c>
      <c r="AS18" s="1185">
        <v>233.16061269043712</v>
      </c>
      <c r="AT18" s="110"/>
      <c r="AU18" s="110"/>
      <c r="AV18" s="110"/>
      <c r="AW18" s="110"/>
      <c r="AX18" s="110"/>
      <c r="AY18" s="130"/>
      <c r="AZ18" s="130">
        <v>766</v>
      </c>
      <c r="BA18" s="130">
        <v>307</v>
      </c>
      <c r="BB18" s="130">
        <v>967</v>
      </c>
      <c r="BC18" s="130">
        <v>370</v>
      </c>
      <c r="BD18" s="130"/>
      <c r="BE18" s="110"/>
      <c r="BF18" s="110"/>
      <c r="BG18" s="110"/>
      <c r="BH18" s="110"/>
      <c r="BI18" s="110"/>
      <c r="BJ18" s="110"/>
    </row>
    <row r="19" spans="1:62" hidden="1">
      <c r="A19" s="110"/>
      <c r="B19" s="383"/>
      <c r="C19" s="110"/>
      <c r="D19" s="110"/>
      <c r="E19" s="1171"/>
      <c r="F19" s="383"/>
      <c r="G19" s="110"/>
      <c r="H19" s="110"/>
      <c r="I19" s="1171"/>
      <c r="J19" s="383"/>
      <c r="K19" s="110"/>
      <c r="L19" s="110"/>
      <c r="M19" s="1171"/>
      <c r="N19" s="383"/>
      <c r="O19" s="110"/>
      <c r="P19" s="110"/>
      <c r="Q19" s="1171"/>
      <c r="R19" s="383"/>
      <c r="S19" s="110"/>
      <c r="T19" s="110"/>
      <c r="U19" s="1171"/>
      <c r="V19" s="383"/>
      <c r="W19" s="110"/>
      <c r="X19" s="110"/>
      <c r="Y19" s="1171"/>
      <c r="Z19" s="383"/>
      <c r="AA19" s="110"/>
      <c r="AB19" s="110"/>
      <c r="AC19" s="1171"/>
      <c r="AD19" s="383"/>
      <c r="AE19" s="110"/>
      <c r="AF19" s="110"/>
      <c r="AG19" s="1171"/>
      <c r="AH19" s="383"/>
      <c r="AI19" s="110"/>
      <c r="AJ19" s="110"/>
      <c r="AK19" s="1171"/>
      <c r="AL19" s="383"/>
      <c r="AM19" s="110"/>
      <c r="AN19" s="110"/>
      <c r="AO19" s="1171"/>
      <c r="AP19" s="383"/>
      <c r="AQ19" s="110"/>
      <c r="AR19" s="110"/>
      <c r="AS19" s="1171"/>
      <c r="AT19" s="110"/>
      <c r="AU19" s="110"/>
      <c r="AV19" s="110"/>
      <c r="AW19" s="110"/>
      <c r="AX19" s="110"/>
      <c r="AY19" s="110"/>
      <c r="AZ19" s="110"/>
      <c r="BA19" s="110"/>
      <c r="BB19" s="110"/>
      <c r="BC19" s="110"/>
      <c r="BD19" s="110"/>
      <c r="BE19" s="110"/>
      <c r="BF19" s="110"/>
      <c r="BG19" s="110"/>
      <c r="BH19" s="110"/>
      <c r="BI19" s="110"/>
      <c r="BJ19" s="110"/>
    </row>
    <row r="20" spans="1:62" ht="15" hidden="1" thickBot="1">
      <c r="A20" s="116" t="s">
        <v>317</v>
      </c>
      <c r="B20" s="119"/>
      <c r="C20" s="116"/>
      <c r="D20" s="116"/>
      <c r="E20" s="118"/>
      <c r="F20" s="119"/>
      <c r="G20" s="116"/>
      <c r="H20" s="116"/>
      <c r="I20" s="118"/>
      <c r="J20" s="119"/>
      <c r="K20" s="116"/>
      <c r="L20" s="116"/>
      <c r="M20" s="118"/>
      <c r="N20" s="119"/>
      <c r="O20" s="116"/>
      <c r="P20" s="116"/>
      <c r="Q20" s="118"/>
      <c r="R20" s="119"/>
      <c r="S20" s="116"/>
      <c r="T20" s="116"/>
      <c r="U20" s="118"/>
      <c r="V20" s="119"/>
      <c r="W20" s="116"/>
      <c r="X20" s="116"/>
      <c r="Y20" s="118"/>
      <c r="Z20" s="119"/>
      <c r="AA20" s="116"/>
      <c r="AB20" s="116"/>
      <c r="AC20" s="118"/>
      <c r="AD20" s="119"/>
      <c r="AE20" s="116"/>
      <c r="AF20" s="116"/>
      <c r="AG20" s="118"/>
      <c r="AH20" s="119"/>
      <c r="AI20" s="116"/>
      <c r="AJ20" s="116"/>
      <c r="AK20" s="118"/>
      <c r="AL20" s="119"/>
      <c r="AM20" s="116"/>
      <c r="AN20" s="116"/>
      <c r="AO20" s="118"/>
      <c r="AP20" s="119"/>
      <c r="AQ20" s="116"/>
      <c r="AR20" s="116"/>
      <c r="AS20" s="118"/>
      <c r="AT20" s="116"/>
      <c r="AU20" s="120"/>
      <c r="AV20" s="120"/>
      <c r="AW20" s="120"/>
      <c r="AX20" s="120"/>
      <c r="AY20" s="120"/>
      <c r="AZ20" s="120"/>
      <c r="BA20" s="120"/>
      <c r="BB20" s="120"/>
      <c r="BC20" s="120"/>
      <c r="BD20" s="120"/>
      <c r="BE20" s="120"/>
      <c r="BF20" s="120"/>
      <c r="BG20" s="120"/>
      <c r="BH20" s="120"/>
      <c r="BI20" s="120"/>
      <c r="BJ20" s="120"/>
    </row>
    <row r="21" spans="1:62" hidden="1">
      <c r="A21" s="135" t="s">
        <v>318</v>
      </c>
      <c r="B21" s="1186">
        <v>0.97577285682964265</v>
      </c>
      <c r="C21" s="136">
        <v>0.95620585267406655</v>
      </c>
      <c r="D21" s="136">
        <v>0.97809834684637253</v>
      </c>
      <c r="E21" s="136">
        <v>0.91230634317451043</v>
      </c>
      <c r="F21" s="1186">
        <v>0.92182188987083613</v>
      </c>
      <c r="G21" s="136">
        <v>0.91861111111111116</v>
      </c>
      <c r="H21" s="136">
        <v>0.91861001013918331</v>
      </c>
      <c r="I21" s="136">
        <v>0.92093940480458947</v>
      </c>
      <c r="J21" s="1186">
        <v>0.91866389884883937</v>
      </c>
      <c r="K21" s="136">
        <v>0.92107149256405663</v>
      </c>
      <c r="L21" s="136">
        <v>0.92244397759103647</v>
      </c>
      <c r="M21" s="136">
        <v>0.9255911548704705</v>
      </c>
      <c r="N21" s="1186">
        <v>0.94378019618369036</v>
      </c>
      <c r="O21" s="136">
        <v>0.94193206966227272</v>
      </c>
      <c r="P21" s="136">
        <v>0.94613646633529147</v>
      </c>
      <c r="Q21" s="1187">
        <v>0.94640000000000002</v>
      </c>
      <c r="R21" s="1188">
        <v>0.94512355993316333</v>
      </c>
      <c r="S21" s="136">
        <v>0.94349963029011352</v>
      </c>
      <c r="T21" s="136">
        <v>0.93992446123083762</v>
      </c>
      <c r="U21" s="1187">
        <v>0.9393300034447124</v>
      </c>
      <c r="V21" s="1188">
        <v>0.93964663143989435</v>
      </c>
      <c r="W21" s="136">
        <v>0.93883432096761099</v>
      </c>
      <c r="X21" s="136">
        <v>0.93904173609135611</v>
      </c>
      <c r="Y21" s="136">
        <v>0.94002264822454096</v>
      </c>
      <c r="Z21" s="609">
        <v>0.94075293937421012</v>
      </c>
      <c r="AA21" s="136">
        <v>0.94321462945139556</v>
      </c>
      <c r="AB21" s="136">
        <v>0.93615156826010759</v>
      </c>
      <c r="AC21" s="136">
        <v>0.93534809072464642</v>
      </c>
      <c r="AD21" s="609">
        <v>0.93640857635943486</v>
      </c>
      <c r="AE21" s="911">
        <v>0.93735671710224666</v>
      </c>
      <c r="AF21" s="136">
        <v>0.93879629891627292</v>
      </c>
      <c r="AG21" s="136">
        <v>0.94035274058752827</v>
      </c>
      <c r="AH21" s="1188">
        <v>0.94035274058752827</v>
      </c>
      <c r="AI21" s="137">
        <v>0.94035274058752827</v>
      </c>
      <c r="AJ21" s="137">
        <v>0.94035274058752827</v>
      </c>
      <c r="AK21" s="1187">
        <v>0.94035274058752827</v>
      </c>
      <c r="AL21" s="1188">
        <v>0.94035274058752827</v>
      </c>
      <c r="AM21" s="137">
        <v>0.94035274058752827</v>
      </c>
      <c r="AN21" s="137">
        <v>0.94035274058752827</v>
      </c>
      <c r="AO21" s="1187">
        <v>0.94035274058752827</v>
      </c>
      <c r="AP21" s="1188">
        <v>0.94035274058752827</v>
      </c>
      <c r="AQ21" s="137">
        <v>0.94035274058752827</v>
      </c>
      <c r="AR21" s="137">
        <v>0.94035274058752827</v>
      </c>
      <c r="AS21" s="1187">
        <v>0.94035274058752827</v>
      </c>
      <c r="AT21" s="138"/>
      <c r="AU21" s="110"/>
      <c r="AV21" s="110"/>
      <c r="AW21" s="110"/>
      <c r="AX21" s="110"/>
      <c r="AY21" s="110"/>
      <c r="AZ21" s="110"/>
      <c r="BA21" s="110"/>
      <c r="BB21" s="110"/>
      <c r="BC21" s="110"/>
      <c r="BD21" s="110"/>
      <c r="BE21" s="110"/>
      <c r="BF21" s="110"/>
      <c r="BG21" s="110"/>
      <c r="BH21" s="110"/>
      <c r="BI21" s="110"/>
      <c r="BJ21" s="110"/>
    </row>
    <row r="22" spans="1:62" hidden="1">
      <c r="A22" s="110" t="s">
        <v>309</v>
      </c>
      <c r="B22" s="1189">
        <v>0.24303880727910546</v>
      </c>
      <c r="C22" s="139">
        <v>0.47810292633703327</v>
      </c>
      <c r="D22" s="139">
        <v>0.25355375381699485</v>
      </c>
      <c r="E22" s="139">
        <v>0.22849069472863684</v>
      </c>
      <c r="F22" s="1189">
        <v>0.23589394969408567</v>
      </c>
      <c r="G22" s="139">
        <v>0.22851851851851851</v>
      </c>
      <c r="H22" s="139">
        <v>0.22591943957968477</v>
      </c>
      <c r="I22" s="139">
        <v>0.21970240229472929</v>
      </c>
      <c r="J22" s="1189">
        <v>0.21324778260049065</v>
      </c>
      <c r="K22" s="139">
        <v>0.22612435047482529</v>
      </c>
      <c r="L22" s="139">
        <v>0.21936274509803921</v>
      </c>
      <c r="M22" s="139">
        <v>0.20466467597449761</v>
      </c>
      <c r="N22" s="1189">
        <v>0.16402322971060465</v>
      </c>
      <c r="O22" s="139">
        <v>0.1663619744058501</v>
      </c>
      <c r="P22" s="139">
        <v>0.1518300948938093</v>
      </c>
      <c r="Q22" s="1190">
        <v>0.16</v>
      </c>
      <c r="R22" s="1191">
        <v>0.16</v>
      </c>
      <c r="S22" s="139">
        <v>0.16</v>
      </c>
      <c r="T22" s="139">
        <v>0.16</v>
      </c>
      <c r="U22" s="1190">
        <v>0.15</v>
      </c>
      <c r="V22" s="1191">
        <v>0.15</v>
      </c>
      <c r="W22" s="139">
        <v>0.15</v>
      </c>
      <c r="X22" s="139">
        <v>0.15</v>
      </c>
      <c r="Y22" s="139">
        <v>0.15</v>
      </c>
      <c r="Z22" s="610">
        <v>0.15</v>
      </c>
      <c r="AA22" s="139">
        <v>0.15</v>
      </c>
      <c r="AB22" s="139">
        <v>0.15</v>
      </c>
      <c r="AC22" s="139">
        <v>0.15</v>
      </c>
      <c r="AD22" s="610">
        <v>0.15</v>
      </c>
      <c r="AE22" s="139">
        <v>0.15</v>
      </c>
      <c r="AF22" s="139">
        <v>0.15</v>
      </c>
      <c r="AG22" s="139">
        <v>0.15</v>
      </c>
      <c r="AH22" s="1191">
        <v>0.16</v>
      </c>
      <c r="AI22" s="152">
        <v>0.16</v>
      </c>
      <c r="AJ22" s="152">
        <v>0.16</v>
      </c>
      <c r="AK22" s="1190">
        <v>0.16</v>
      </c>
      <c r="AL22" s="1191">
        <v>0.16</v>
      </c>
      <c r="AM22" s="152">
        <v>0.16</v>
      </c>
      <c r="AN22" s="152">
        <v>0.16</v>
      </c>
      <c r="AO22" s="1190">
        <v>0.16</v>
      </c>
      <c r="AP22" s="1191">
        <v>0.16</v>
      </c>
      <c r="AQ22" s="152">
        <v>0.16</v>
      </c>
      <c r="AR22" s="152">
        <v>0.16</v>
      </c>
      <c r="AS22" s="1190">
        <v>0.16</v>
      </c>
      <c r="AT22" s="110"/>
      <c r="AU22" s="16"/>
      <c r="AV22" s="16"/>
      <c r="AW22" s="16"/>
      <c r="AX22" s="16"/>
      <c r="AY22" s="141"/>
      <c r="AZ22" s="141"/>
      <c r="BA22" s="141"/>
      <c r="BB22" s="141"/>
      <c r="BC22" s="141"/>
      <c r="BD22" s="141"/>
      <c r="BE22" s="9"/>
      <c r="BF22" s="9"/>
      <c r="BG22" s="9"/>
      <c r="BH22" s="9"/>
      <c r="BI22" s="9"/>
      <c r="BJ22" s="9"/>
    </row>
    <row r="23" spans="1:62" hidden="1">
      <c r="A23" s="123" t="s">
        <v>310</v>
      </c>
      <c r="B23" s="1192">
        <v>0.73273404955053723</v>
      </c>
      <c r="C23" s="142">
        <v>0.47810292633703327</v>
      </c>
      <c r="D23" s="142">
        <v>0.72454459302937768</v>
      </c>
      <c r="E23" s="142">
        <v>0.6838156484458735</v>
      </c>
      <c r="F23" s="1192">
        <v>0.68592794017675041</v>
      </c>
      <c r="G23" s="142">
        <v>0.69009259259259259</v>
      </c>
      <c r="H23" s="142">
        <v>0.69269057055949856</v>
      </c>
      <c r="I23" s="142">
        <v>0.70123700250986021</v>
      </c>
      <c r="J23" s="1192">
        <v>0.70541611624834877</v>
      </c>
      <c r="K23" s="142">
        <v>0.69494714208923136</v>
      </c>
      <c r="L23" s="142">
        <v>0.70308123249299714</v>
      </c>
      <c r="M23" s="142">
        <v>0.72092647889597283</v>
      </c>
      <c r="N23" s="1192">
        <v>0.77975696647308568</v>
      </c>
      <c r="O23" s="142">
        <v>0.77557009525642262</v>
      </c>
      <c r="P23" s="142">
        <v>0.7943063714414822</v>
      </c>
      <c r="Q23" s="1193">
        <v>0.78639999999999999</v>
      </c>
      <c r="R23" s="1194">
        <v>0.7851235599331633</v>
      </c>
      <c r="S23" s="142">
        <v>0.78349963029011349</v>
      </c>
      <c r="T23" s="142">
        <v>0.77992446123083758</v>
      </c>
      <c r="U23" s="1193">
        <v>0.78933000344471238</v>
      </c>
      <c r="V23" s="1194">
        <v>0.78964663143989433</v>
      </c>
      <c r="W23" s="142">
        <v>0.78883432096761097</v>
      </c>
      <c r="X23" s="142">
        <v>0.78904173609135608</v>
      </c>
      <c r="Y23" s="142">
        <v>0.79002264822454094</v>
      </c>
      <c r="Z23" s="611">
        <v>0.7907529393742101</v>
      </c>
      <c r="AA23" s="142">
        <v>0.79321462945139554</v>
      </c>
      <c r="AB23" s="142">
        <v>0.78615156826010757</v>
      </c>
      <c r="AC23" s="142">
        <v>0.7853480907246464</v>
      </c>
      <c r="AD23" s="611">
        <v>0.78640857635943484</v>
      </c>
      <c r="AE23" s="142">
        <v>0.78735671710224664</v>
      </c>
      <c r="AF23" s="142">
        <v>0.7887962989162729</v>
      </c>
      <c r="AG23" s="142">
        <v>0.79035274058752825</v>
      </c>
      <c r="AH23" s="1194">
        <v>0.78035274058752824</v>
      </c>
      <c r="AI23" s="143">
        <v>0.78035274058752824</v>
      </c>
      <c r="AJ23" s="143">
        <v>0.78035274058752824</v>
      </c>
      <c r="AK23" s="1193">
        <v>0.78035274058752824</v>
      </c>
      <c r="AL23" s="1194">
        <v>0.78035274058752824</v>
      </c>
      <c r="AM23" s="143">
        <v>0.78035274058752824</v>
      </c>
      <c r="AN23" s="143">
        <v>0.78035274058752824</v>
      </c>
      <c r="AO23" s="1193">
        <v>0.78035274058752824</v>
      </c>
      <c r="AP23" s="1194">
        <v>0.78035274058752824</v>
      </c>
      <c r="AQ23" s="143">
        <v>0.78035274058752824</v>
      </c>
      <c r="AR23" s="143">
        <v>0.78035274058752824</v>
      </c>
      <c r="AS23" s="1193">
        <v>0.78035274058752824</v>
      </c>
      <c r="AT23" s="123"/>
      <c r="AU23" s="141"/>
      <c r="AV23" s="16"/>
      <c r="AW23" s="16"/>
      <c r="AX23" s="16"/>
      <c r="AY23" s="141"/>
      <c r="AZ23" s="141"/>
      <c r="BA23" s="141"/>
      <c r="BB23" s="141"/>
      <c r="BC23" s="141"/>
      <c r="BD23" s="141"/>
      <c r="BE23" s="9"/>
      <c r="BF23" s="9"/>
      <c r="BG23" s="9"/>
      <c r="BH23" s="9"/>
      <c r="BI23" s="9"/>
      <c r="BJ23" s="9"/>
    </row>
    <row r="24" spans="1:62" hidden="1">
      <c r="A24" s="110" t="s">
        <v>312</v>
      </c>
      <c r="B24" s="378">
        <v>2.4227143170357377E-2</v>
      </c>
      <c r="C24" s="155">
        <v>4.3794147325933404E-2</v>
      </c>
      <c r="D24" s="155">
        <v>2.1901653153627462E-2</v>
      </c>
      <c r="E24" s="155">
        <v>8.769365682548963E-2</v>
      </c>
      <c r="F24" s="378">
        <v>7.8178110129163828E-2</v>
      </c>
      <c r="G24" s="155">
        <v>8.1388888888888886E-2</v>
      </c>
      <c r="H24" s="155">
        <v>8.1389989860816664E-2</v>
      </c>
      <c r="I24" s="155">
        <v>7.9060595195410546E-2</v>
      </c>
      <c r="J24" s="378">
        <v>8.1336101151160592E-2</v>
      </c>
      <c r="K24" s="155">
        <v>7.8928507435943374E-2</v>
      </c>
      <c r="L24" s="155">
        <v>7.7556022408963587E-2</v>
      </c>
      <c r="M24" s="155">
        <v>7.4408845129529499E-2</v>
      </c>
      <c r="N24" s="378">
        <v>5.6219803816309602E-2</v>
      </c>
      <c r="O24" s="155">
        <v>5.8067930337727315E-2</v>
      </c>
      <c r="P24" s="155">
        <v>5.3863533664708543E-2</v>
      </c>
      <c r="Q24" s="155">
        <v>5.3600000000000002E-2</v>
      </c>
      <c r="R24" s="378">
        <v>5.4876440066836688E-2</v>
      </c>
      <c r="S24" s="155">
        <v>5.6500369709886478E-2</v>
      </c>
      <c r="T24" s="155">
        <v>6.0075538769162405E-2</v>
      </c>
      <c r="U24" s="155">
        <v>6.0669996555287632E-2</v>
      </c>
      <c r="V24" s="378">
        <v>6.0353368560105682E-2</v>
      </c>
      <c r="W24" s="155">
        <v>6.1165679032388995E-2</v>
      </c>
      <c r="X24" s="155">
        <v>6.0958263908643881E-2</v>
      </c>
      <c r="Y24" s="155">
        <v>5.9977351775459029E-2</v>
      </c>
      <c r="Z24" s="612">
        <v>5.9247060625789896E-2</v>
      </c>
      <c r="AA24" s="155">
        <v>5.6785370548604427E-2</v>
      </c>
      <c r="AB24" s="155">
        <v>6.3848431739892422E-2</v>
      </c>
      <c r="AC24" s="155">
        <v>6.4651909275353539E-2</v>
      </c>
      <c r="AD24" s="612">
        <v>6.3591423640565123E-2</v>
      </c>
      <c r="AE24" s="155">
        <v>6.2643282897753325E-2</v>
      </c>
      <c r="AF24" s="155">
        <v>6.1203701083727115E-2</v>
      </c>
      <c r="AG24" s="155">
        <v>5.9647259412471697E-2</v>
      </c>
      <c r="AH24" s="1195">
        <v>5.9647259412471697E-2</v>
      </c>
      <c r="AI24" s="140">
        <v>5.9647259412471697E-2</v>
      </c>
      <c r="AJ24" s="140">
        <v>5.9647259412471697E-2</v>
      </c>
      <c r="AK24" s="1196">
        <v>5.9647259412471697E-2</v>
      </c>
      <c r="AL24" s="1195">
        <v>5.9647259412471697E-2</v>
      </c>
      <c r="AM24" s="140">
        <v>5.9647259412471697E-2</v>
      </c>
      <c r="AN24" s="140">
        <v>5.9647259412471697E-2</v>
      </c>
      <c r="AO24" s="1196">
        <v>5.9647259412471697E-2</v>
      </c>
      <c r="AP24" s="1195">
        <v>5.9647259412471697E-2</v>
      </c>
      <c r="AQ24" s="140">
        <v>5.9647259412471697E-2</v>
      </c>
      <c r="AR24" s="140">
        <v>5.9647259412471697E-2</v>
      </c>
      <c r="AS24" s="1196">
        <v>5.9647259412471697E-2</v>
      </c>
      <c r="AT24" s="110"/>
      <c r="AU24" s="110"/>
      <c r="AV24" s="110"/>
      <c r="AW24" s="110"/>
      <c r="AX24" s="110"/>
      <c r="AY24" s="110"/>
      <c r="AZ24" s="110"/>
      <c r="BA24" s="110"/>
      <c r="BB24" s="110"/>
      <c r="BC24" s="110"/>
      <c r="BD24" s="110"/>
      <c r="BE24" s="110"/>
      <c r="BF24" s="110"/>
      <c r="BG24" s="110"/>
      <c r="BH24" s="110"/>
      <c r="BI24" s="110"/>
      <c r="BJ24" s="110"/>
    </row>
    <row r="25" spans="1:62" hidden="1">
      <c r="A25" s="144" t="s">
        <v>319</v>
      </c>
      <c r="B25" s="1197"/>
      <c r="C25" s="145"/>
      <c r="D25" s="145"/>
      <c r="E25" s="145">
        <v>8.0657049594608843E-2</v>
      </c>
      <c r="F25" s="1197">
        <v>3.3128714800740866E-3</v>
      </c>
      <c r="G25" s="145">
        <v>4.8849179372632889E-2</v>
      </c>
      <c r="H25" s="145">
        <v>4.5370370370370061E-3</v>
      </c>
      <c r="I25" s="145">
        <v>2.8297538943681477E-2</v>
      </c>
      <c r="J25" s="1197">
        <v>-5.0017927572606702E-2</v>
      </c>
      <c r="K25" s="145">
        <v>5.3217588224193202E-2</v>
      </c>
      <c r="L25" s="145">
        <v>2.3472495968464457E-2</v>
      </c>
      <c r="M25" s="145">
        <v>8.4646358543417399E-2</v>
      </c>
      <c r="N25" s="1197">
        <v>0.6537002663223308</v>
      </c>
      <c r="O25" s="145">
        <v>1.4396564345322327E-2</v>
      </c>
      <c r="P25" s="145">
        <v>6.465890503223326E-2</v>
      </c>
      <c r="Q25" s="145">
        <v>1.6719385449615931E-2</v>
      </c>
      <c r="R25" s="1197">
        <v>1.0755555555555629E-2</v>
      </c>
      <c r="S25" s="145">
        <v>1.0948905109489093E-2</v>
      </c>
      <c r="T25" s="145">
        <v>-2.1138706450350098E-2</v>
      </c>
      <c r="U25" s="145">
        <v>3.194845589868911E-2</v>
      </c>
      <c r="V25" s="1197">
        <v>4.305890458146755E-2</v>
      </c>
      <c r="W25" s="145">
        <v>1.7090488771466239E-2</v>
      </c>
      <c r="X25" s="145">
        <v>-1.2582190112834235E-3</v>
      </c>
      <c r="Y25" s="145">
        <v>4.836022270085838E-3</v>
      </c>
      <c r="Z25" s="613">
        <v>5.6013912480789463E-2</v>
      </c>
      <c r="AA25" s="145">
        <v>7.43747845735514E-2</v>
      </c>
      <c r="AB25" s="145">
        <v>0.1796955762307062</v>
      </c>
      <c r="AC25" s="145">
        <v>-2.1454040007251596E-3</v>
      </c>
      <c r="AD25" s="613">
        <v>3.5248160373073212E-2</v>
      </c>
      <c r="AE25" s="145">
        <v>2.0738877351039964E-2</v>
      </c>
      <c r="AF25" s="145">
        <v>1.2752177900045902E-2</v>
      </c>
      <c r="AG25" s="145">
        <v>1.2336945757052797E-2</v>
      </c>
      <c r="AH25" s="1198">
        <v>0.255</v>
      </c>
      <c r="AI25" s="146">
        <v>1E-3</v>
      </c>
      <c r="AJ25" s="146">
        <v>-1E-3</v>
      </c>
      <c r="AK25" s="1199">
        <v>5.0000000000000001E-3</v>
      </c>
      <c r="AL25" s="1198">
        <v>5.0000000000000001E-3</v>
      </c>
      <c r="AM25" s="146">
        <v>0.01</v>
      </c>
      <c r="AN25" s="146">
        <v>-1E-3</v>
      </c>
      <c r="AO25" s="1199">
        <v>5.0000000000000001E-3</v>
      </c>
      <c r="AP25" s="1198">
        <v>5.0000000000000001E-3</v>
      </c>
      <c r="AQ25" s="146">
        <v>0.01</v>
      </c>
      <c r="AR25" s="146">
        <v>-1E-3</v>
      </c>
      <c r="AS25" s="1199">
        <v>5.0000000000000001E-3</v>
      </c>
      <c r="AT25" s="144"/>
      <c r="AU25" s="147"/>
      <c r="AV25" s="57"/>
      <c r="AW25" s="57"/>
      <c r="AX25" s="57"/>
      <c r="AY25" s="148"/>
      <c r="AZ25" s="148"/>
      <c r="BA25" s="148"/>
      <c r="BB25" s="148"/>
      <c r="BC25" s="148"/>
      <c r="BD25" s="148"/>
      <c r="BE25" s="57"/>
      <c r="BF25" s="57"/>
      <c r="BG25" s="57"/>
      <c r="BH25" s="57"/>
      <c r="BI25" s="57"/>
      <c r="BJ25" s="57"/>
    </row>
    <row r="26" spans="1:62" hidden="1">
      <c r="A26" s="110"/>
      <c r="B26" s="383"/>
      <c r="C26" s="110"/>
      <c r="D26" s="110"/>
      <c r="E26" s="1171"/>
      <c r="F26" s="383"/>
      <c r="G26" s="110"/>
      <c r="H26" s="110"/>
      <c r="I26" s="1171"/>
      <c r="J26" s="383"/>
      <c r="K26" s="110"/>
      <c r="L26" s="110"/>
      <c r="M26" s="1171"/>
      <c r="N26" s="383"/>
      <c r="O26" s="110"/>
      <c r="P26" s="110"/>
      <c r="Q26" s="1171"/>
      <c r="R26" s="383"/>
      <c r="S26" s="110"/>
      <c r="T26" s="110"/>
      <c r="U26" s="1171"/>
      <c r="V26" s="383"/>
      <c r="W26" s="110"/>
      <c r="X26" s="110"/>
      <c r="Y26" s="1171"/>
      <c r="Z26" s="383"/>
      <c r="AA26" s="110"/>
      <c r="AB26" s="110"/>
      <c r="AC26" s="1171"/>
      <c r="AD26" s="383"/>
      <c r="AE26" s="110"/>
      <c r="AF26" s="110"/>
      <c r="AG26" s="1171"/>
      <c r="AH26" s="383"/>
      <c r="AI26" s="110"/>
      <c r="AJ26" s="110"/>
      <c r="AK26" s="1171"/>
      <c r="AL26" s="383"/>
      <c r="AM26" s="110"/>
      <c r="AN26" s="110"/>
      <c r="AO26" s="1171"/>
      <c r="AP26" s="383"/>
      <c r="AQ26" s="110"/>
      <c r="AR26" s="110"/>
      <c r="AS26" s="1171"/>
      <c r="AT26" s="110"/>
      <c r="AU26" s="110"/>
      <c r="AV26" s="110"/>
      <c r="AW26" s="110"/>
      <c r="AX26" s="110"/>
      <c r="AY26" s="110"/>
      <c r="AZ26" s="110"/>
      <c r="BA26" s="110"/>
      <c r="BB26" s="110"/>
      <c r="BC26" s="110"/>
      <c r="BD26" s="110"/>
      <c r="BE26" s="110"/>
      <c r="BF26" s="110"/>
      <c r="BG26" s="110"/>
      <c r="BH26" s="110"/>
      <c r="BI26" s="110"/>
      <c r="BJ26" s="110"/>
    </row>
    <row r="27" spans="1:62" ht="15" hidden="1" thickBot="1">
      <c r="A27" s="116" t="s">
        <v>320</v>
      </c>
      <c r="B27" s="119"/>
      <c r="C27" s="116"/>
      <c r="D27" s="116"/>
      <c r="E27" s="118"/>
      <c r="F27" s="119"/>
      <c r="G27" s="116"/>
      <c r="H27" s="116"/>
      <c r="I27" s="118"/>
      <c r="J27" s="119"/>
      <c r="K27" s="116"/>
      <c r="L27" s="116"/>
      <c r="M27" s="118"/>
      <c r="N27" s="119"/>
      <c r="O27" s="116"/>
      <c r="P27" s="116"/>
      <c r="Q27" s="118"/>
      <c r="R27" s="119"/>
      <c r="S27" s="116"/>
      <c r="T27" s="116"/>
      <c r="U27" s="118"/>
      <c r="V27" s="119"/>
      <c r="W27" s="116"/>
      <c r="X27" s="116"/>
      <c r="Y27" s="118"/>
      <c r="Z27" s="119"/>
      <c r="AA27" s="116"/>
      <c r="AB27" s="116"/>
      <c r="AC27" s="118"/>
      <c r="AD27" s="119"/>
      <c r="AE27" s="116"/>
      <c r="AF27" s="116"/>
      <c r="AG27" s="118"/>
      <c r="AH27" s="119"/>
      <c r="AI27" s="116"/>
      <c r="AJ27" s="116"/>
      <c r="AK27" s="118"/>
      <c r="AL27" s="119"/>
      <c r="AM27" s="116"/>
      <c r="AN27" s="116"/>
      <c r="AO27" s="118"/>
      <c r="AP27" s="119"/>
      <c r="AQ27" s="116"/>
      <c r="AR27" s="116"/>
      <c r="AS27" s="118"/>
      <c r="AT27" s="116"/>
      <c r="AU27" s="120"/>
      <c r="AV27" s="120"/>
      <c r="AW27" s="120"/>
      <c r="AX27" s="120"/>
      <c r="AY27" s="120"/>
      <c r="AZ27" s="120"/>
      <c r="BA27" s="120"/>
      <c r="BB27" s="120"/>
      <c r="BC27" s="120"/>
      <c r="BD27" s="120"/>
      <c r="BE27" s="120"/>
      <c r="BF27" s="120"/>
      <c r="BG27" s="120"/>
      <c r="BH27" s="120"/>
      <c r="BI27" s="120"/>
      <c r="BJ27" s="120"/>
    </row>
    <row r="28" spans="1:62" hidden="1">
      <c r="A28" s="110"/>
      <c r="B28" s="383"/>
      <c r="C28" s="110"/>
      <c r="D28" s="110"/>
      <c r="E28" s="1171"/>
      <c r="F28" s="383"/>
      <c r="G28" s="110"/>
      <c r="H28" s="110"/>
      <c r="I28" s="1171"/>
      <c r="J28" s="383"/>
      <c r="K28" s="110"/>
      <c r="L28" s="110"/>
      <c r="M28" s="1171"/>
      <c r="N28" s="383"/>
      <c r="O28" s="110"/>
      <c r="P28" s="110"/>
      <c r="Q28" s="1171"/>
      <c r="R28" s="383"/>
      <c r="S28" s="110"/>
      <c r="T28" s="110"/>
      <c r="U28" s="1171"/>
      <c r="V28" s="383"/>
      <c r="W28" s="110"/>
      <c r="X28" s="110"/>
      <c r="Y28" s="1171"/>
      <c r="Z28" s="383"/>
      <c r="AA28" s="110"/>
      <c r="AB28" s="110"/>
      <c r="AC28" s="1171"/>
      <c r="AD28" s="383"/>
      <c r="AE28" s="110"/>
      <c r="AF28" s="110"/>
      <c r="AG28" s="1171"/>
      <c r="AH28" s="383"/>
      <c r="AI28" s="110"/>
      <c r="AJ28" s="110"/>
      <c r="AK28" s="1171"/>
      <c r="AL28" s="383"/>
      <c r="AM28" s="110"/>
      <c r="AN28" s="110"/>
      <c r="AO28" s="1171"/>
      <c r="AP28" s="383"/>
      <c r="AQ28" s="110"/>
      <c r="AR28" s="110"/>
      <c r="AS28" s="1171"/>
      <c r="AT28" s="110"/>
      <c r="AU28" s="110"/>
      <c r="AV28" s="110"/>
      <c r="AW28" s="110"/>
      <c r="AX28" s="110"/>
      <c r="AY28" s="110"/>
      <c r="AZ28" s="110"/>
      <c r="BA28" s="110"/>
      <c r="BB28" s="110"/>
      <c r="BC28" s="110"/>
      <c r="BD28" s="110"/>
      <c r="BE28" s="110"/>
      <c r="BF28" s="110"/>
      <c r="BG28" s="110"/>
      <c r="BH28" s="110"/>
      <c r="BI28" s="110"/>
      <c r="BJ28" s="110"/>
    </row>
    <row r="29" spans="1:62" hidden="1">
      <c r="A29" s="149" t="s">
        <v>321</v>
      </c>
      <c r="B29" s="1200">
        <v>0</v>
      </c>
      <c r="C29" s="150">
        <v>0</v>
      </c>
      <c r="D29" s="150">
        <v>0</v>
      </c>
      <c r="E29" s="150">
        <v>79.3</v>
      </c>
      <c r="F29" s="1200">
        <v>80.5</v>
      </c>
      <c r="G29" s="150">
        <v>80.7</v>
      </c>
      <c r="H29" s="150">
        <v>79.3</v>
      </c>
      <c r="I29" s="150">
        <v>78.099999999999994</v>
      </c>
      <c r="J29" s="1200">
        <v>77</v>
      </c>
      <c r="K29" s="150">
        <v>81</v>
      </c>
      <c r="L29" s="150">
        <v>78.900000000000006</v>
      </c>
      <c r="M29" s="150">
        <v>81</v>
      </c>
      <c r="N29" s="1200">
        <v>77</v>
      </c>
      <c r="O29" s="150">
        <v>78.5</v>
      </c>
      <c r="P29" s="150">
        <v>77.100000000000009</v>
      </c>
      <c r="Q29" s="1201">
        <v>76.099999999999994</v>
      </c>
      <c r="R29" s="1200">
        <v>76.2</v>
      </c>
      <c r="S29" s="150">
        <v>77.3</v>
      </c>
      <c r="T29" s="150">
        <v>80.3</v>
      </c>
      <c r="U29" s="1201">
        <v>81.5</v>
      </c>
      <c r="V29" s="1200">
        <v>81</v>
      </c>
      <c r="W29" s="150">
        <v>80</v>
      </c>
      <c r="X29" s="150">
        <v>79.400000000000006</v>
      </c>
      <c r="Y29" s="150">
        <v>81.7</v>
      </c>
      <c r="Z29" s="1200">
        <v>81.400000000000006</v>
      </c>
      <c r="AA29" s="150">
        <v>81.7</v>
      </c>
      <c r="AB29" s="150">
        <v>81.3</v>
      </c>
      <c r="AC29" s="150">
        <v>82</v>
      </c>
      <c r="AD29" s="1200">
        <v>82.1</v>
      </c>
      <c r="AE29" s="150">
        <v>82.3</v>
      </c>
      <c r="AF29" s="150">
        <v>81.7</v>
      </c>
      <c r="AG29" s="150">
        <v>82.5</v>
      </c>
      <c r="AH29" s="1202"/>
      <c r="AI29" s="151"/>
      <c r="AJ29" s="151"/>
      <c r="AK29" s="1203"/>
      <c r="AL29" s="1202"/>
      <c r="AM29" s="151"/>
      <c r="AN29" s="151"/>
      <c r="AO29" s="1203"/>
      <c r="AP29" s="1202"/>
      <c r="AQ29" s="151"/>
      <c r="AR29" s="151"/>
      <c r="AS29" s="1203"/>
      <c r="AT29" s="126"/>
      <c r="AU29" s="16"/>
      <c r="AV29" s="16"/>
      <c r="AW29" s="16"/>
      <c r="AX29" s="16"/>
      <c r="AY29" s="16"/>
      <c r="AZ29" s="16"/>
      <c r="BA29" s="16"/>
      <c r="BB29" s="16"/>
      <c r="BC29" s="16"/>
      <c r="BD29" s="16"/>
      <c r="BE29" s="16"/>
      <c r="BF29" s="16"/>
      <c r="BG29" s="16"/>
      <c r="BH29" s="16"/>
      <c r="BI29" s="16"/>
      <c r="BJ29" s="16"/>
    </row>
    <row r="30" spans="1:62" hidden="1">
      <c r="A30" s="126" t="s">
        <v>322</v>
      </c>
      <c r="B30" s="529"/>
      <c r="C30" s="126"/>
      <c r="D30" s="126"/>
      <c r="E30" s="1204"/>
      <c r="F30" s="529"/>
      <c r="G30" s="126"/>
      <c r="H30" s="126"/>
      <c r="I30" s="1204"/>
      <c r="J30" s="529"/>
      <c r="K30" s="126"/>
      <c r="L30" s="126"/>
      <c r="M30" s="1204"/>
      <c r="N30" s="529"/>
      <c r="O30" s="126"/>
      <c r="P30" s="126"/>
      <c r="Q30" s="1204"/>
      <c r="R30" s="529"/>
      <c r="S30" s="126"/>
      <c r="T30" s="126"/>
      <c r="U30" s="1204"/>
      <c r="V30" s="529"/>
      <c r="W30" s="126"/>
      <c r="X30" s="126"/>
      <c r="Y30" s="1204"/>
      <c r="Z30" s="529"/>
      <c r="AA30" s="126"/>
      <c r="AB30" s="126"/>
      <c r="AC30" s="1204"/>
      <c r="AD30" s="529"/>
      <c r="AE30" s="126"/>
      <c r="AF30" s="126"/>
      <c r="AG30" s="1204"/>
      <c r="AH30" s="529"/>
      <c r="AI30" s="126"/>
      <c r="AJ30" s="126"/>
      <c r="AK30" s="1204"/>
      <c r="AL30" s="529"/>
      <c r="AM30" s="126"/>
      <c r="AN30" s="126"/>
      <c r="AO30" s="1204"/>
      <c r="AP30" s="529"/>
      <c r="AQ30" s="126"/>
      <c r="AR30" s="126"/>
      <c r="AS30" s="1204"/>
      <c r="AT30" s="126"/>
      <c r="AU30" s="16"/>
      <c r="AV30" s="16"/>
      <c r="AW30" s="16"/>
      <c r="AX30" s="16"/>
      <c r="AY30" s="16"/>
      <c r="AZ30" s="141"/>
      <c r="BA30" s="141"/>
      <c r="BB30" s="141"/>
      <c r="BC30" s="141"/>
      <c r="BD30" s="141"/>
      <c r="BE30" s="16"/>
      <c r="BF30" s="16"/>
      <c r="BG30" s="16"/>
      <c r="BH30" s="16"/>
      <c r="BI30" s="16"/>
      <c r="BJ30" s="16"/>
    </row>
    <row r="31" spans="1:62" hidden="1">
      <c r="A31" s="110"/>
      <c r="B31" s="383"/>
      <c r="C31" s="110"/>
      <c r="D31" s="110"/>
      <c r="E31" s="1171"/>
      <c r="F31" s="383"/>
      <c r="G31" s="110"/>
      <c r="H31" s="110"/>
      <c r="I31" s="1171"/>
      <c r="J31" s="383"/>
      <c r="K31" s="110"/>
      <c r="L31" s="110"/>
      <c r="M31" s="1171"/>
      <c r="N31" s="383"/>
      <c r="O31" s="110"/>
      <c r="P31" s="110"/>
      <c r="Q31" s="1171"/>
      <c r="R31" s="383"/>
      <c r="S31" s="110"/>
      <c r="T31" s="110"/>
      <c r="U31" s="1171"/>
      <c r="V31" s="383"/>
      <c r="W31" s="110"/>
      <c r="X31" s="110"/>
      <c r="Y31" s="1171"/>
      <c r="Z31" s="383"/>
      <c r="AA31" s="110"/>
      <c r="AB31" s="110"/>
      <c r="AC31" s="1171"/>
      <c r="AD31" s="383"/>
      <c r="AE31" s="110"/>
      <c r="AF31" s="110"/>
      <c r="AG31" s="1171"/>
      <c r="AH31" s="383"/>
      <c r="AI31" s="110"/>
      <c r="AJ31" s="110"/>
      <c r="AK31" s="1171"/>
      <c r="AL31" s="383"/>
      <c r="AM31" s="110"/>
      <c r="AN31" s="110"/>
      <c r="AO31" s="1171"/>
      <c r="AP31" s="383"/>
      <c r="AQ31" s="110"/>
      <c r="AR31" s="110"/>
      <c r="AS31" s="1171"/>
      <c r="AT31" s="110"/>
      <c r="AU31" s="110"/>
      <c r="AV31" s="110"/>
      <c r="AW31" s="110"/>
      <c r="AX31" s="110"/>
      <c r="AY31" s="110"/>
      <c r="AZ31" s="110"/>
      <c r="BA31" s="110"/>
      <c r="BB31" s="110"/>
      <c r="BC31" s="110"/>
      <c r="BD31" s="110"/>
      <c r="BE31" s="110"/>
      <c r="BF31" s="110"/>
      <c r="BG31" s="110"/>
      <c r="BH31" s="110"/>
      <c r="BI31" s="110"/>
      <c r="BJ31" s="110"/>
    </row>
    <row r="32" spans="1:62" hidden="1">
      <c r="A32" s="126" t="s">
        <v>323</v>
      </c>
      <c r="B32" s="529"/>
      <c r="C32" s="126"/>
      <c r="D32" s="126"/>
      <c r="E32" s="1204"/>
      <c r="F32" s="529"/>
      <c r="G32" s="126"/>
      <c r="H32" s="126"/>
      <c r="I32" s="1204"/>
      <c r="J32" s="529"/>
      <c r="K32" s="126"/>
      <c r="L32" s="126"/>
      <c r="M32" s="1204"/>
      <c r="N32" s="529"/>
      <c r="O32" s="126"/>
      <c r="P32" s="126"/>
      <c r="Q32" s="1204"/>
      <c r="R32" s="529"/>
      <c r="S32" s="126"/>
      <c r="T32" s="126"/>
      <c r="U32" s="1204"/>
      <c r="V32" s="529"/>
      <c r="W32" s="126"/>
      <c r="X32" s="126"/>
      <c r="Y32" s="1204"/>
      <c r="Z32" s="529"/>
      <c r="AA32" s="126"/>
      <c r="AB32" s="126"/>
      <c r="AC32" s="1204"/>
      <c r="AD32" s="529"/>
      <c r="AE32" s="126"/>
      <c r="AF32" s="126"/>
      <c r="AG32" s="1204"/>
      <c r="AH32" s="529"/>
      <c r="AI32" s="126"/>
      <c r="AJ32" s="126"/>
      <c r="AK32" s="1204"/>
      <c r="AL32" s="529"/>
      <c r="AM32" s="126"/>
      <c r="AN32" s="126"/>
      <c r="AO32" s="1204"/>
      <c r="AP32" s="529"/>
      <c r="AQ32" s="126"/>
      <c r="AR32" s="126"/>
      <c r="AS32" s="1204"/>
      <c r="AT32" s="126"/>
      <c r="AU32" s="110"/>
      <c r="AV32" s="110"/>
      <c r="AW32" s="110"/>
      <c r="AX32" s="110"/>
      <c r="AY32" s="110"/>
      <c r="AZ32" s="110"/>
      <c r="BA32" s="110"/>
      <c r="BB32" s="110"/>
      <c r="BC32" s="110"/>
      <c r="BD32" s="110"/>
      <c r="BE32" s="110"/>
      <c r="BF32" s="110"/>
      <c r="BG32" s="110"/>
      <c r="BH32" s="110"/>
      <c r="BI32" s="110"/>
      <c r="BJ32" s="110"/>
    </row>
    <row r="33" spans="1:62" hidden="1">
      <c r="A33" s="110" t="s">
        <v>324</v>
      </c>
      <c r="B33" s="1191">
        <v>0.9</v>
      </c>
      <c r="C33" s="152">
        <v>0.9</v>
      </c>
      <c r="D33" s="152">
        <v>0.9</v>
      </c>
      <c r="E33" s="152">
        <v>0.9</v>
      </c>
      <c r="F33" s="1191">
        <v>0.9</v>
      </c>
      <c r="G33" s="152">
        <v>0.9</v>
      </c>
      <c r="H33" s="152">
        <v>0.9</v>
      </c>
      <c r="I33" s="152">
        <v>0.9</v>
      </c>
      <c r="J33" s="1191">
        <v>0.9</v>
      </c>
      <c r="K33" s="152">
        <v>0.9</v>
      </c>
      <c r="L33" s="152">
        <v>0.9</v>
      </c>
      <c r="M33" s="152">
        <v>0.9</v>
      </c>
      <c r="N33" s="1191">
        <v>0.9</v>
      </c>
      <c r="O33" s="152">
        <v>0.9</v>
      </c>
      <c r="P33" s="152">
        <v>0.9</v>
      </c>
      <c r="Q33" s="152">
        <v>0.9</v>
      </c>
      <c r="R33" s="1191">
        <v>0.9</v>
      </c>
      <c r="S33" s="152">
        <v>0.9</v>
      </c>
      <c r="T33" s="153">
        <v>0.9</v>
      </c>
      <c r="U33" s="152">
        <v>0.91</v>
      </c>
      <c r="V33" s="1191">
        <v>0.91</v>
      </c>
      <c r="W33" s="152">
        <v>0.91</v>
      </c>
      <c r="X33" s="153">
        <v>0.9</v>
      </c>
      <c r="Y33" s="153">
        <v>0.9</v>
      </c>
      <c r="Z33" s="1191">
        <v>0.91</v>
      </c>
      <c r="AA33" s="152">
        <v>0.91</v>
      </c>
      <c r="AB33" s="152">
        <v>0.91</v>
      </c>
      <c r="AC33" s="152">
        <v>0.91</v>
      </c>
      <c r="AD33" s="1191">
        <v>0.91</v>
      </c>
      <c r="AE33" s="152">
        <v>0.91</v>
      </c>
      <c r="AF33" s="152">
        <v>0.91</v>
      </c>
      <c r="AG33" s="152">
        <v>0.91</v>
      </c>
      <c r="AH33" s="1205">
        <v>0.9</v>
      </c>
      <c r="AI33" s="153">
        <v>0.9</v>
      </c>
      <c r="AJ33" s="153">
        <v>0.9</v>
      </c>
      <c r="AK33" s="1206">
        <v>0.9</v>
      </c>
      <c r="AL33" s="1205">
        <v>0.9</v>
      </c>
      <c r="AM33" s="153">
        <v>0.9</v>
      </c>
      <c r="AN33" s="153">
        <v>0.9</v>
      </c>
      <c r="AO33" s="1206">
        <v>0.9</v>
      </c>
      <c r="AP33" s="1205">
        <v>0.9</v>
      </c>
      <c r="AQ33" s="153">
        <v>0.9</v>
      </c>
      <c r="AR33" s="153">
        <v>0.9</v>
      </c>
      <c r="AS33" s="1206">
        <v>0.9</v>
      </c>
      <c r="AT33" s="110"/>
      <c r="AU33" s="154"/>
      <c r="AV33" s="154"/>
      <c r="AW33" s="154"/>
      <c r="AX33" s="154"/>
      <c r="AY33" s="154"/>
      <c r="AZ33" s="154"/>
      <c r="BA33" s="154"/>
      <c r="BB33" s="154"/>
      <c r="BC33" s="154"/>
      <c r="BD33" s="154"/>
      <c r="BE33" s="154"/>
      <c r="BF33" s="154"/>
      <c r="BG33" s="154"/>
      <c r="BH33" s="154"/>
      <c r="BI33" s="154"/>
      <c r="BJ33" s="154"/>
    </row>
    <row r="34" spans="1:62" hidden="1">
      <c r="A34" s="110" t="s">
        <v>325</v>
      </c>
      <c r="B34" s="155">
        <v>-0.29851885098743269</v>
      </c>
      <c r="C34" s="155">
        <v>-0.9</v>
      </c>
      <c r="D34" s="155">
        <v>-0.31495422177009158</v>
      </c>
      <c r="E34" s="155">
        <v>0.75724693644913066</v>
      </c>
      <c r="F34" s="155">
        <v>0.77232903865213087</v>
      </c>
      <c r="G34" s="155">
        <v>0.776203810546089</v>
      </c>
      <c r="H34" s="155">
        <v>0.75810219560878234</v>
      </c>
      <c r="I34" s="155">
        <v>0.74371647705483812</v>
      </c>
      <c r="J34" s="155">
        <v>0.73070090957731404</v>
      </c>
      <c r="K34" s="155">
        <v>0.78071548278973846</v>
      </c>
      <c r="L34" s="155">
        <v>0.75436777888446216</v>
      </c>
      <c r="M34" s="155">
        <v>0.78444979290272032</v>
      </c>
      <c r="N34" s="378">
        <v>0.74265427462761291</v>
      </c>
      <c r="O34" s="155">
        <v>0.76033217542336085</v>
      </c>
      <c r="P34" s="155">
        <v>0.74634190465354433</v>
      </c>
      <c r="Q34" s="155">
        <v>0.73452380952380936</v>
      </c>
      <c r="R34" s="378">
        <v>0.73387703805260962</v>
      </c>
      <c r="S34" s="155">
        <v>0.74706508029560159</v>
      </c>
      <c r="T34" s="155">
        <v>0.78310063695719034</v>
      </c>
      <c r="U34" s="155">
        <v>0.79694671438078923</v>
      </c>
      <c r="V34" s="378">
        <v>0.79100416135170737</v>
      </c>
      <c r="W34" s="155">
        <v>0.77908306020488505</v>
      </c>
      <c r="X34" s="155">
        <v>0.7738489746831857</v>
      </c>
      <c r="Y34" s="155">
        <v>0.80124095811939133</v>
      </c>
      <c r="Z34" s="378">
        <v>0.79578950809668092</v>
      </c>
      <c r="AA34" s="155">
        <v>0.79941333495116196</v>
      </c>
      <c r="AB34" s="155">
        <v>0.79449211858445845</v>
      </c>
      <c r="AC34" s="155">
        <v>0.80281017021695</v>
      </c>
      <c r="AD34" s="378">
        <v>0.80402409154564158</v>
      </c>
      <c r="AE34" s="155">
        <v>0.80642555576584318</v>
      </c>
      <c r="AF34" s="155">
        <v>0.79931482574250678</v>
      </c>
      <c r="AG34" s="155">
        <v>0.80886796256248561</v>
      </c>
      <c r="AH34" s="1205">
        <v>0.81</v>
      </c>
      <c r="AI34" s="153">
        <v>0.81</v>
      </c>
      <c r="AJ34" s="153">
        <v>0.81</v>
      </c>
      <c r="AK34" s="1206">
        <v>0.81</v>
      </c>
      <c r="AL34" s="1205">
        <v>0.81</v>
      </c>
      <c r="AM34" s="153">
        <v>0.81</v>
      </c>
      <c r="AN34" s="153">
        <v>0.81</v>
      </c>
      <c r="AO34" s="1206">
        <v>0.81</v>
      </c>
      <c r="AP34" s="1205">
        <v>0.81</v>
      </c>
      <c r="AQ34" s="153">
        <v>0.81</v>
      </c>
      <c r="AR34" s="153">
        <v>0.81</v>
      </c>
      <c r="AS34" s="1206">
        <v>0.81</v>
      </c>
      <c r="AT34" s="110"/>
      <c r="AU34" s="156"/>
      <c r="AV34" s="154"/>
      <c r="AW34" s="154"/>
      <c r="AX34" s="156"/>
      <c r="AY34" s="156"/>
      <c r="AZ34" s="154"/>
      <c r="BA34" s="154"/>
      <c r="BB34" s="154"/>
      <c r="BC34" s="154"/>
      <c r="BD34" s="154"/>
      <c r="BE34" s="154"/>
      <c r="BF34" s="154"/>
      <c r="BG34" s="154"/>
      <c r="BH34" s="154"/>
      <c r="BI34" s="154"/>
      <c r="BJ34" s="154"/>
    </row>
    <row r="35" spans="1:62" hidden="1">
      <c r="A35" s="126" t="s">
        <v>326</v>
      </c>
      <c r="B35" s="1207">
        <v>0</v>
      </c>
      <c r="C35" s="157">
        <v>0</v>
      </c>
      <c r="D35" s="157">
        <v>0</v>
      </c>
      <c r="E35" s="1208">
        <v>0.79299999999999993</v>
      </c>
      <c r="F35" s="1207">
        <v>0.80500000000000005</v>
      </c>
      <c r="G35" s="157">
        <v>0.80700000000000005</v>
      </c>
      <c r="H35" s="157">
        <v>0.79299999999999993</v>
      </c>
      <c r="I35" s="1208">
        <v>0.78099999999999992</v>
      </c>
      <c r="J35" s="1207">
        <v>0.77</v>
      </c>
      <c r="K35" s="157">
        <v>0.81</v>
      </c>
      <c r="L35" s="157">
        <v>0.78900000000000003</v>
      </c>
      <c r="M35" s="1208">
        <v>0.81</v>
      </c>
      <c r="N35" s="1207">
        <v>0.77</v>
      </c>
      <c r="O35" s="157">
        <v>0.78499999999999992</v>
      </c>
      <c r="P35" s="157">
        <v>0.77100000000000002</v>
      </c>
      <c r="Q35" s="1208">
        <v>0.7609999999999999</v>
      </c>
      <c r="R35" s="1207">
        <v>0.76200000000000001</v>
      </c>
      <c r="S35" s="157">
        <v>0.77300000000000002</v>
      </c>
      <c r="T35" s="157">
        <v>0.80299999999999994</v>
      </c>
      <c r="U35" s="1208">
        <v>0.81499999999999995</v>
      </c>
      <c r="V35" s="1207">
        <v>0.81</v>
      </c>
      <c r="W35" s="157">
        <v>0.8</v>
      </c>
      <c r="X35" s="157">
        <v>0.79400000000000004</v>
      </c>
      <c r="Y35" s="157">
        <v>0.81700000000000006</v>
      </c>
      <c r="Z35" s="1207">
        <v>0.81400000000000006</v>
      </c>
      <c r="AA35" s="157">
        <v>0.81700000000000006</v>
      </c>
      <c r="AB35" s="157">
        <v>0.81299999999999994</v>
      </c>
      <c r="AC35" s="157">
        <v>0.82</v>
      </c>
      <c r="AD35" s="1207">
        <v>0.82099999999999995</v>
      </c>
      <c r="AE35" s="157">
        <v>0.82299999999999995</v>
      </c>
      <c r="AF35" s="157">
        <v>0.81700000000000006</v>
      </c>
      <c r="AG35" s="157">
        <v>0.82499999999999984</v>
      </c>
      <c r="AH35" s="1207">
        <v>0.82531340249085994</v>
      </c>
      <c r="AI35" s="157">
        <v>0.82531340249085983</v>
      </c>
      <c r="AJ35" s="157">
        <v>0.82531340249086005</v>
      </c>
      <c r="AK35" s="1208">
        <v>0.82531340249085994</v>
      </c>
      <c r="AL35" s="1207">
        <v>0.82531340249085983</v>
      </c>
      <c r="AM35" s="157">
        <v>0.82531340249085994</v>
      </c>
      <c r="AN35" s="157">
        <v>0.82531340249085994</v>
      </c>
      <c r="AO35" s="1208">
        <v>0.82531340249085994</v>
      </c>
      <c r="AP35" s="1207">
        <v>0.82531340249086016</v>
      </c>
      <c r="AQ35" s="157">
        <v>0.82531340249085994</v>
      </c>
      <c r="AR35" s="157">
        <v>0.82531340249086005</v>
      </c>
      <c r="AS35" s="1208">
        <v>0.82531340249085994</v>
      </c>
      <c r="AT35" s="126"/>
      <c r="AU35" s="158"/>
      <c r="AV35" s="159"/>
      <c r="AW35" s="159"/>
      <c r="AX35" s="158"/>
      <c r="AY35" s="158"/>
      <c r="AZ35" s="158"/>
      <c r="BA35" s="158"/>
      <c r="BB35" s="158"/>
      <c r="BC35" s="158"/>
      <c r="BD35" s="158"/>
      <c r="BE35" s="159"/>
      <c r="BF35" s="159"/>
      <c r="BG35" s="159"/>
      <c r="BH35" s="159"/>
      <c r="BI35" s="159"/>
      <c r="BJ35" s="159"/>
    </row>
    <row r="36" spans="1:62" hidden="1">
      <c r="A36" s="110"/>
      <c r="B36" s="383"/>
      <c r="C36" s="110"/>
      <c r="D36" s="110"/>
      <c r="E36" s="1171"/>
      <c r="F36" s="383"/>
      <c r="G36" s="110"/>
      <c r="H36" s="110"/>
      <c r="I36" s="1171"/>
      <c r="J36" s="383"/>
      <c r="K36" s="110"/>
      <c r="L36" s="110"/>
      <c r="M36" s="1171"/>
      <c r="N36" s="383"/>
      <c r="O36" s="110"/>
      <c r="P36" s="110"/>
      <c r="Q36" s="1171"/>
      <c r="R36" s="383"/>
      <c r="S36" s="110"/>
      <c r="T36" s="110"/>
      <c r="U36" s="1171"/>
      <c r="V36" s="383"/>
      <c r="W36" s="110"/>
      <c r="X36" s="110"/>
      <c r="Y36" s="1171"/>
      <c r="Z36" s="383"/>
      <c r="AA36" s="110"/>
      <c r="AB36" s="110"/>
      <c r="AC36" s="110"/>
      <c r="AD36" s="383"/>
      <c r="AE36" s="110"/>
      <c r="AF36" s="110"/>
      <c r="AG36" s="110"/>
      <c r="AH36" s="383"/>
      <c r="AI36" s="110"/>
      <c r="AJ36" s="110"/>
      <c r="AK36" s="1171"/>
      <c r="AL36" s="383"/>
      <c r="AM36" s="110"/>
      <c r="AN36" s="110"/>
      <c r="AO36" s="1171"/>
      <c r="AP36" s="383"/>
      <c r="AQ36" s="110"/>
      <c r="AR36" s="110"/>
      <c r="AS36" s="1171"/>
      <c r="AT36" s="110"/>
      <c r="AU36" s="110"/>
      <c r="AV36" s="110"/>
      <c r="AW36" s="110"/>
      <c r="AX36" s="110"/>
      <c r="AY36" s="110"/>
      <c r="AZ36" s="110"/>
      <c r="BA36" s="110"/>
      <c r="BB36" s="110"/>
      <c r="BC36" s="110"/>
      <c r="BD36" s="110"/>
      <c r="BE36" s="110"/>
      <c r="BF36" s="110"/>
      <c r="BG36" s="110"/>
      <c r="BH36" s="110"/>
      <c r="BI36" s="110"/>
      <c r="BJ36" s="110"/>
    </row>
    <row r="37" spans="1:62" hidden="1">
      <c r="A37" s="126" t="s">
        <v>327</v>
      </c>
      <c r="B37" s="1209">
        <v>26703</v>
      </c>
      <c r="C37" s="160">
        <v>14214</v>
      </c>
      <c r="D37" s="160">
        <v>27867</v>
      </c>
      <c r="E37" s="1210">
        <v>28089</v>
      </c>
      <c r="F37" s="1209">
        <v>28476</v>
      </c>
      <c r="G37" s="160">
        <v>29763</v>
      </c>
      <c r="H37" s="160">
        <v>29898</v>
      </c>
      <c r="I37" s="1210">
        <v>30822</v>
      </c>
      <c r="J37" s="1209">
        <v>29208</v>
      </c>
      <c r="K37" s="160">
        <v>30843</v>
      </c>
      <c r="L37" s="160">
        <v>31614</v>
      </c>
      <c r="M37" s="160">
        <v>34407</v>
      </c>
      <c r="N37" s="1209">
        <v>58017</v>
      </c>
      <c r="O37" s="160">
        <v>58737</v>
      </c>
      <c r="P37" s="160">
        <v>62814</v>
      </c>
      <c r="Q37" s="160">
        <v>63882</v>
      </c>
      <c r="R37" s="1209">
        <v>64482</v>
      </c>
      <c r="S37" s="160">
        <v>65076</v>
      </c>
      <c r="T37" s="160">
        <v>63459</v>
      </c>
      <c r="U37" s="160">
        <v>65445</v>
      </c>
      <c r="V37" s="1209">
        <v>68286</v>
      </c>
      <c r="W37" s="160">
        <v>69393</v>
      </c>
      <c r="X37" s="160">
        <v>69321</v>
      </c>
      <c r="Y37" s="160">
        <v>69729</v>
      </c>
      <c r="Z37" s="1209">
        <v>73692</v>
      </c>
      <c r="AA37" s="160">
        <v>79380</v>
      </c>
      <c r="AB37" s="160">
        <v>92943</v>
      </c>
      <c r="AC37" s="160">
        <v>92664</v>
      </c>
      <c r="AD37" s="1209">
        <v>96039</v>
      </c>
      <c r="AE37" s="160">
        <v>98130</v>
      </c>
      <c r="AF37" s="160">
        <v>99534</v>
      </c>
      <c r="AG37" s="160">
        <v>100929</v>
      </c>
      <c r="AH37" s="1209">
        <v>126665.89499999999</v>
      </c>
      <c r="AI37" s="160">
        <v>126792.56089499996</v>
      </c>
      <c r="AJ37" s="160">
        <v>126665.76833410494</v>
      </c>
      <c r="AK37" s="1210">
        <v>127299.09717577546</v>
      </c>
      <c r="AL37" s="1209">
        <v>127935.59266165433</v>
      </c>
      <c r="AM37" s="160">
        <v>129214.94858827087</v>
      </c>
      <c r="AN37" s="160">
        <v>129085.73363968258</v>
      </c>
      <c r="AO37" s="1210">
        <v>129731.16230788099</v>
      </c>
      <c r="AP37" s="1209">
        <v>130379.81811942036</v>
      </c>
      <c r="AQ37" s="160">
        <v>131683.61630061458</v>
      </c>
      <c r="AR37" s="160">
        <v>131551.93268431397</v>
      </c>
      <c r="AS37" s="1210">
        <v>132209.69234773554</v>
      </c>
      <c r="AT37" s="126"/>
      <c r="AU37" s="161"/>
      <c r="AV37" s="162"/>
      <c r="AW37" s="162"/>
      <c r="AX37" s="161"/>
      <c r="AY37" s="161"/>
      <c r="AZ37" s="162"/>
      <c r="BA37" s="162"/>
      <c r="BB37" s="162"/>
      <c r="BC37" s="162"/>
      <c r="BD37" s="162"/>
      <c r="BE37" s="162"/>
      <c r="BF37" s="162"/>
      <c r="BG37" s="162"/>
      <c r="BH37" s="162"/>
      <c r="BI37" s="162"/>
      <c r="BJ37" s="162"/>
    </row>
    <row r="38" spans="1:62" hidden="1">
      <c r="A38" s="144" t="s">
        <v>328</v>
      </c>
      <c r="B38" s="1211">
        <v>6651</v>
      </c>
      <c r="C38" s="163">
        <v>7107</v>
      </c>
      <c r="D38" s="163">
        <v>7224</v>
      </c>
      <c r="E38" s="1212">
        <v>7035</v>
      </c>
      <c r="F38" s="1211">
        <v>7287</v>
      </c>
      <c r="G38" s="163">
        <v>7404</v>
      </c>
      <c r="H38" s="163">
        <v>7353</v>
      </c>
      <c r="I38" s="1212">
        <v>7353</v>
      </c>
      <c r="J38" s="1211">
        <v>6780</v>
      </c>
      <c r="K38" s="163">
        <v>7572</v>
      </c>
      <c r="L38" s="163">
        <v>7518</v>
      </c>
      <c r="M38" s="163">
        <v>7608</v>
      </c>
      <c r="N38" s="1211">
        <v>10083</v>
      </c>
      <c r="O38" s="163">
        <v>10374</v>
      </c>
      <c r="P38" s="163">
        <v>10080</v>
      </c>
      <c r="Q38" s="163">
        <v>10221.119999999999</v>
      </c>
      <c r="R38" s="1211">
        <v>10916.16</v>
      </c>
      <c r="S38" s="163">
        <v>11035.68</v>
      </c>
      <c r="T38" s="163">
        <v>10802.400000000001</v>
      </c>
      <c r="U38" s="163">
        <v>10450.799999999999</v>
      </c>
      <c r="V38" s="1211">
        <v>10900.8</v>
      </c>
      <c r="W38" s="163">
        <v>11087.099999999999</v>
      </c>
      <c r="X38" s="163">
        <v>11073.15</v>
      </c>
      <c r="Y38" s="163">
        <v>11126.699999999999</v>
      </c>
      <c r="Z38" s="1211">
        <v>11749.949999999999</v>
      </c>
      <c r="AA38" s="163">
        <v>12623.849999999999</v>
      </c>
      <c r="AB38" s="163">
        <v>14892.3</v>
      </c>
      <c r="AC38" s="163">
        <v>14860.349999999999</v>
      </c>
      <c r="AD38" s="1211">
        <v>15384.150000000001</v>
      </c>
      <c r="AE38" s="163">
        <v>15703.199999999999</v>
      </c>
      <c r="AF38" s="163">
        <v>15903.449999999999</v>
      </c>
      <c r="AG38" s="163">
        <v>16099.650000000001</v>
      </c>
      <c r="AH38" s="1211">
        <v>21552.064799999996</v>
      </c>
      <c r="AI38" s="163">
        <v>21573.616864799995</v>
      </c>
      <c r="AJ38" s="163">
        <v>21552.043247935195</v>
      </c>
      <c r="AK38" s="1212">
        <v>21659.803464174867</v>
      </c>
      <c r="AL38" s="1211">
        <v>21768.102481495738</v>
      </c>
      <c r="AM38" s="163">
        <v>21985.783506310694</v>
      </c>
      <c r="AN38" s="163">
        <v>21963.797722804386</v>
      </c>
      <c r="AO38" s="1212">
        <v>22073.616711418403</v>
      </c>
      <c r="AP38" s="1211">
        <v>22183.984794975495</v>
      </c>
      <c r="AQ38" s="163">
        <v>22405.824642925247</v>
      </c>
      <c r="AR38" s="163">
        <v>22383.418818282324</v>
      </c>
      <c r="AS38" s="1212">
        <v>22495.335912373732</v>
      </c>
      <c r="AT38" s="144"/>
      <c r="AU38" s="164"/>
      <c r="AV38" s="122"/>
      <c r="AW38" s="122"/>
      <c r="AX38" s="164"/>
      <c r="AY38" s="164"/>
      <c r="AZ38" s="122"/>
      <c r="BA38" s="122"/>
      <c r="BB38" s="122"/>
      <c r="BC38" s="122"/>
      <c r="BD38" s="122"/>
      <c r="BE38" s="122"/>
      <c r="BF38" s="122"/>
      <c r="BG38" s="122"/>
      <c r="BH38" s="122"/>
      <c r="BI38" s="122"/>
      <c r="BJ38" s="122"/>
    </row>
    <row r="39" spans="1:62" hidden="1">
      <c r="A39" s="144" t="s">
        <v>329</v>
      </c>
      <c r="B39" s="1211">
        <v>20052</v>
      </c>
      <c r="C39" s="163">
        <v>7107</v>
      </c>
      <c r="D39" s="163">
        <v>20643</v>
      </c>
      <c r="E39" s="1212">
        <v>21054</v>
      </c>
      <c r="F39" s="1211">
        <v>21189</v>
      </c>
      <c r="G39" s="163">
        <v>22359</v>
      </c>
      <c r="H39" s="163">
        <v>22545</v>
      </c>
      <c r="I39" s="1212">
        <v>23469</v>
      </c>
      <c r="J39" s="1211">
        <v>22428</v>
      </c>
      <c r="K39" s="163">
        <v>23271</v>
      </c>
      <c r="L39" s="163">
        <v>24096</v>
      </c>
      <c r="M39" s="163">
        <v>26799</v>
      </c>
      <c r="N39" s="1211">
        <v>47934</v>
      </c>
      <c r="O39" s="163">
        <v>48363</v>
      </c>
      <c r="P39" s="163">
        <v>52734</v>
      </c>
      <c r="Q39" s="163">
        <v>53660.88</v>
      </c>
      <c r="R39" s="1211">
        <v>53565.84</v>
      </c>
      <c r="S39" s="163">
        <v>54040.319999999992</v>
      </c>
      <c r="T39" s="163">
        <v>52656.600000000006</v>
      </c>
      <c r="U39" s="163">
        <v>54994.200000000004</v>
      </c>
      <c r="V39" s="1211">
        <v>57385.200000000004</v>
      </c>
      <c r="W39" s="163">
        <v>58305.899999999994</v>
      </c>
      <c r="X39" s="163">
        <v>58247.850000000006</v>
      </c>
      <c r="Y39" s="163">
        <v>58602.299999999996</v>
      </c>
      <c r="Z39" s="1211">
        <v>61942.049999999996</v>
      </c>
      <c r="AA39" s="163">
        <v>66756.149999999994</v>
      </c>
      <c r="AB39" s="163">
        <v>78050.700000000012</v>
      </c>
      <c r="AC39" s="163">
        <v>77803.649999999994</v>
      </c>
      <c r="AD39" s="1211">
        <v>80654.850000000006</v>
      </c>
      <c r="AE39" s="163">
        <v>82426.799999999988</v>
      </c>
      <c r="AF39" s="163">
        <v>83630.55</v>
      </c>
      <c r="AG39" s="163">
        <v>84829.349999999991</v>
      </c>
      <c r="AH39" s="1211">
        <v>105113.8302</v>
      </c>
      <c r="AI39" s="163">
        <v>105218.94403019996</v>
      </c>
      <c r="AJ39" s="163">
        <v>105113.72508616975</v>
      </c>
      <c r="AK39" s="1212">
        <v>105639.29371160059</v>
      </c>
      <c r="AL39" s="1211">
        <v>106167.49018015858</v>
      </c>
      <c r="AM39" s="163">
        <v>107229.16508196018</v>
      </c>
      <c r="AN39" s="163">
        <v>107121.93591687821</v>
      </c>
      <c r="AO39" s="1212">
        <v>107657.54559646259</v>
      </c>
      <c r="AP39" s="1211">
        <v>108195.83332444489</v>
      </c>
      <c r="AQ39" s="163">
        <v>109277.79165768935</v>
      </c>
      <c r="AR39" s="163">
        <v>109168.51386603166</v>
      </c>
      <c r="AS39" s="1212">
        <v>109714.35643536181</v>
      </c>
      <c r="AT39" s="144"/>
      <c r="AU39" s="164"/>
      <c r="AV39" s="122"/>
      <c r="AW39" s="122"/>
      <c r="AX39" s="164"/>
      <c r="AY39" s="164"/>
      <c r="AZ39" s="122"/>
      <c r="BA39" s="122"/>
      <c r="BB39" s="122"/>
      <c r="BC39" s="122"/>
      <c r="BD39" s="122"/>
      <c r="BE39" s="122"/>
      <c r="BF39" s="122"/>
      <c r="BG39" s="122"/>
      <c r="BH39" s="122"/>
      <c r="BI39" s="122"/>
      <c r="BJ39" s="122"/>
    </row>
    <row r="40" spans="1:62" hidden="1">
      <c r="A40" s="165"/>
      <c r="B40" s="1213"/>
      <c r="C40" s="166"/>
      <c r="D40" s="166"/>
      <c r="E40" s="1214"/>
      <c r="F40" s="1213"/>
      <c r="G40" s="166"/>
      <c r="H40" s="166"/>
      <c r="I40" s="1214"/>
      <c r="J40" s="1213"/>
      <c r="K40" s="166"/>
      <c r="L40" s="166"/>
      <c r="M40" s="166"/>
      <c r="N40" s="1213"/>
      <c r="O40" s="166"/>
      <c r="P40" s="166"/>
      <c r="Q40" s="1214"/>
      <c r="R40" s="1213"/>
      <c r="S40" s="166"/>
      <c r="T40" s="166"/>
      <c r="U40" s="1214"/>
      <c r="V40" s="1213"/>
      <c r="W40" s="166"/>
      <c r="X40" s="166"/>
      <c r="Y40" s="166"/>
      <c r="Z40" s="1213"/>
      <c r="AA40" s="166"/>
      <c r="AB40" s="166"/>
      <c r="AC40" s="166"/>
      <c r="AD40" s="1213"/>
      <c r="AE40" s="166"/>
      <c r="AF40" s="166"/>
      <c r="AG40" s="166"/>
      <c r="AH40" s="1213"/>
      <c r="AI40" s="166"/>
      <c r="AJ40" s="166"/>
      <c r="AK40" s="1214"/>
      <c r="AL40" s="1213"/>
      <c r="AM40" s="166"/>
      <c r="AN40" s="166"/>
      <c r="AO40" s="1214"/>
      <c r="AP40" s="1213"/>
      <c r="AQ40" s="166"/>
      <c r="AR40" s="166"/>
      <c r="AS40" s="1214"/>
      <c r="AT40" s="165"/>
      <c r="AU40" s="110"/>
      <c r="AV40" s="110"/>
      <c r="AW40" s="110"/>
      <c r="AX40" s="110"/>
      <c r="AY40" s="110"/>
      <c r="AZ40" s="110"/>
      <c r="BA40" s="110"/>
      <c r="BB40" s="110"/>
      <c r="BC40" s="110"/>
      <c r="BD40" s="110"/>
      <c r="BE40" s="110"/>
      <c r="BF40" s="110"/>
      <c r="BG40" s="110"/>
      <c r="BH40" s="110"/>
      <c r="BI40" s="110"/>
      <c r="BJ40" s="110"/>
    </row>
    <row r="41" spans="1:62" hidden="1">
      <c r="A41" s="126" t="s">
        <v>330</v>
      </c>
      <c r="B41" s="1215">
        <v>0</v>
      </c>
      <c r="C41" s="167">
        <v>0</v>
      </c>
      <c r="D41" s="167">
        <v>0</v>
      </c>
      <c r="E41" s="167">
        <v>22274.576999999997</v>
      </c>
      <c r="F41" s="1215">
        <v>22923.18</v>
      </c>
      <c r="G41" s="167">
        <v>24018.741000000002</v>
      </c>
      <c r="H41" s="167">
        <v>23709.113999999998</v>
      </c>
      <c r="I41" s="167">
        <v>24071.981999999996</v>
      </c>
      <c r="J41" s="1215">
        <v>22490.16</v>
      </c>
      <c r="K41" s="167">
        <v>24982.83</v>
      </c>
      <c r="L41" s="167">
        <v>24943.446</v>
      </c>
      <c r="M41" s="167">
        <v>27869.670000000002</v>
      </c>
      <c r="N41" s="1215">
        <v>44673.090000000004</v>
      </c>
      <c r="O41" s="167">
        <v>46108.544999999998</v>
      </c>
      <c r="P41" s="167">
        <v>48429.594000000005</v>
      </c>
      <c r="Q41" s="167">
        <v>48614.20199999999</v>
      </c>
      <c r="R41" s="1215">
        <v>49135.284</v>
      </c>
      <c r="S41" s="167">
        <v>50303.748</v>
      </c>
      <c r="T41" s="167">
        <v>50957.576999999997</v>
      </c>
      <c r="U41" s="167">
        <v>53337.674999999996</v>
      </c>
      <c r="V41" s="1215">
        <v>55311.66</v>
      </c>
      <c r="W41" s="167">
        <v>55514.400000000001</v>
      </c>
      <c r="X41" s="167">
        <v>55040.874000000003</v>
      </c>
      <c r="Y41" s="167">
        <v>56968.593000000001</v>
      </c>
      <c r="Z41" s="1215">
        <v>59985.288000000008</v>
      </c>
      <c r="AA41" s="167">
        <v>64853.460000000006</v>
      </c>
      <c r="AB41" s="167">
        <v>75562.659</v>
      </c>
      <c r="AC41" s="167">
        <v>75984.479999999996</v>
      </c>
      <c r="AD41" s="1215">
        <v>78848.019</v>
      </c>
      <c r="AE41" s="167">
        <v>80760.989999999991</v>
      </c>
      <c r="AF41" s="167">
        <v>81319.278000000006</v>
      </c>
      <c r="AG41" s="167">
        <v>83266.424999999988</v>
      </c>
      <c r="AH41" s="1177">
        <v>104539.060782</v>
      </c>
      <c r="AI41" s="128">
        <v>104643.59984278196</v>
      </c>
      <c r="AJ41" s="128">
        <v>104538.95624293918</v>
      </c>
      <c r="AK41" s="1178">
        <v>105061.65102415386</v>
      </c>
      <c r="AL41" s="1177">
        <v>105586.95927927461</v>
      </c>
      <c r="AM41" s="128">
        <v>106642.82887206737</v>
      </c>
      <c r="AN41" s="128">
        <v>106536.1860431953</v>
      </c>
      <c r="AO41" s="1178">
        <v>107068.86697341126</v>
      </c>
      <c r="AP41" s="1177">
        <v>107604.21130827832</v>
      </c>
      <c r="AQ41" s="128">
        <v>108680.25342136109</v>
      </c>
      <c r="AR41" s="128">
        <v>108571.57316793974</v>
      </c>
      <c r="AS41" s="1178">
        <v>109114.43103377943</v>
      </c>
      <c r="AT41" s="126"/>
      <c r="AU41" s="162"/>
      <c r="AV41" s="162"/>
      <c r="AW41" s="162"/>
      <c r="AX41" s="162"/>
      <c r="AY41" s="162"/>
      <c r="AZ41" s="162"/>
      <c r="BA41" s="162"/>
      <c r="BB41" s="162"/>
      <c r="BC41" s="162"/>
      <c r="BD41" s="162"/>
      <c r="BE41" s="162"/>
      <c r="BF41" s="162"/>
      <c r="BG41" s="162"/>
      <c r="BH41" s="162"/>
      <c r="BI41" s="162"/>
      <c r="BJ41" s="162"/>
    </row>
    <row r="42" spans="1:62" hidden="1">
      <c r="A42" s="144" t="s">
        <v>328</v>
      </c>
      <c r="B42" s="1211">
        <v>5985.9000000000005</v>
      </c>
      <c r="C42" s="163">
        <v>6396.3</v>
      </c>
      <c r="D42" s="163">
        <v>6501.6</v>
      </c>
      <c r="E42" s="163">
        <v>6331.5</v>
      </c>
      <c r="F42" s="1211">
        <v>6558.3</v>
      </c>
      <c r="G42" s="163">
        <v>6663.6</v>
      </c>
      <c r="H42" s="163">
        <v>6617.7</v>
      </c>
      <c r="I42" s="163">
        <v>6617.7</v>
      </c>
      <c r="J42" s="1211">
        <v>6102</v>
      </c>
      <c r="K42" s="163">
        <v>6814.8</v>
      </c>
      <c r="L42" s="163">
        <v>6766.2</v>
      </c>
      <c r="M42" s="163">
        <v>6847.2</v>
      </c>
      <c r="N42" s="1211">
        <v>9074.7000000000007</v>
      </c>
      <c r="O42" s="163">
        <v>9336.6</v>
      </c>
      <c r="P42" s="163">
        <v>9072</v>
      </c>
      <c r="Q42" s="163">
        <v>9199.0079999999998</v>
      </c>
      <c r="R42" s="1211">
        <v>9824.5439999999999</v>
      </c>
      <c r="S42" s="163">
        <v>9932.112000000001</v>
      </c>
      <c r="T42" s="163">
        <v>9722.1600000000017</v>
      </c>
      <c r="U42" s="163">
        <v>9510.2279999999992</v>
      </c>
      <c r="V42" s="1211">
        <v>9919.7279999999992</v>
      </c>
      <c r="W42" s="163">
        <v>10089.260999999999</v>
      </c>
      <c r="X42" s="163">
        <v>9965.8349999999991</v>
      </c>
      <c r="Y42" s="163">
        <v>10014.029999999999</v>
      </c>
      <c r="Z42" s="1211">
        <v>10692.4545</v>
      </c>
      <c r="AA42" s="163">
        <v>11487.7035</v>
      </c>
      <c r="AB42" s="163">
        <v>13551.993</v>
      </c>
      <c r="AC42" s="163">
        <v>13522.9185</v>
      </c>
      <c r="AD42" s="1211">
        <v>13999.576500000001</v>
      </c>
      <c r="AE42" s="163">
        <v>14289.912</v>
      </c>
      <c r="AF42" s="163">
        <v>14472.139499999999</v>
      </c>
      <c r="AG42" s="163">
        <v>14650.681500000002</v>
      </c>
      <c r="AH42" s="1211">
        <v>19396.858319999996</v>
      </c>
      <c r="AI42" s="163">
        <v>19416.255178319996</v>
      </c>
      <c r="AJ42" s="163">
        <v>19396.838923141677</v>
      </c>
      <c r="AK42" s="1212">
        <v>19493.82311775738</v>
      </c>
      <c r="AL42" s="1211">
        <v>19591.292233346165</v>
      </c>
      <c r="AM42" s="163">
        <v>19787.205155679625</v>
      </c>
      <c r="AN42" s="163">
        <v>19767.417950523948</v>
      </c>
      <c r="AO42" s="1212">
        <v>19866.255040276563</v>
      </c>
      <c r="AP42" s="1211">
        <v>19965.586315477947</v>
      </c>
      <c r="AQ42" s="163">
        <v>20165.242178632721</v>
      </c>
      <c r="AR42" s="163">
        <v>20145.07693645409</v>
      </c>
      <c r="AS42" s="1212">
        <v>20245.802321136358</v>
      </c>
      <c r="AT42" s="144"/>
      <c r="AU42" s="122"/>
      <c r="AV42" s="122"/>
      <c r="AW42" s="122"/>
      <c r="AX42" s="122"/>
      <c r="AY42" s="122"/>
      <c r="AZ42" s="122"/>
      <c r="BA42" s="122">
        <v>26457.300000000003</v>
      </c>
      <c r="BB42" s="122">
        <v>26530.2</v>
      </c>
      <c r="BC42" s="122">
        <v>36682.308000000005</v>
      </c>
      <c r="BD42" s="122"/>
      <c r="BE42" s="122"/>
      <c r="BF42" s="122"/>
      <c r="BG42" s="122"/>
      <c r="BH42" s="122"/>
      <c r="BI42" s="122"/>
      <c r="BJ42" s="122"/>
    </row>
    <row r="43" spans="1:62" hidden="1">
      <c r="A43" s="144" t="s">
        <v>329</v>
      </c>
      <c r="B43" s="168">
        <v>-5985.9000000000005</v>
      </c>
      <c r="C43" s="168">
        <v>-6396.3</v>
      </c>
      <c r="D43" s="168">
        <v>-6501.6</v>
      </c>
      <c r="E43" s="168">
        <v>15943.076999999997</v>
      </c>
      <c r="F43" s="168">
        <v>16364.880000000001</v>
      </c>
      <c r="G43" s="168">
        <v>17355.141000000003</v>
      </c>
      <c r="H43" s="168">
        <v>17091.413999999997</v>
      </c>
      <c r="I43" s="168">
        <v>17454.281999999996</v>
      </c>
      <c r="J43" s="168">
        <v>16388.16</v>
      </c>
      <c r="K43" s="168">
        <v>18168.030000000002</v>
      </c>
      <c r="L43" s="168">
        <v>18177.245999999999</v>
      </c>
      <c r="M43" s="168">
        <v>21022.47</v>
      </c>
      <c r="N43" s="377">
        <v>35598.39</v>
      </c>
      <c r="O43" s="168">
        <v>36771.945</v>
      </c>
      <c r="P43" s="168">
        <v>39357.594000000005</v>
      </c>
      <c r="Q43" s="168">
        <v>39415.193999999989</v>
      </c>
      <c r="R43" s="377">
        <v>39310.74</v>
      </c>
      <c r="S43" s="168">
        <v>40371.635999999999</v>
      </c>
      <c r="T43" s="168">
        <v>41235.416999999994</v>
      </c>
      <c r="U43" s="168">
        <v>43827.447</v>
      </c>
      <c r="V43" s="377">
        <v>45391.932000000001</v>
      </c>
      <c r="W43" s="168">
        <v>45425.139000000003</v>
      </c>
      <c r="X43" s="168">
        <v>45075.039000000004</v>
      </c>
      <c r="Y43" s="168">
        <v>46954.563000000002</v>
      </c>
      <c r="Z43" s="377">
        <v>49292.833500000008</v>
      </c>
      <c r="AA43" s="168">
        <v>53365.756500000003</v>
      </c>
      <c r="AB43" s="168">
        <v>62010.665999999997</v>
      </c>
      <c r="AC43" s="168">
        <v>62461.561499999996</v>
      </c>
      <c r="AD43" s="377">
        <v>64848.442499999997</v>
      </c>
      <c r="AE43" s="168">
        <v>66471.077999999994</v>
      </c>
      <c r="AF43" s="168">
        <v>66847.138500000001</v>
      </c>
      <c r="AG43" s="168">
        <v>68615.743499999982</v>
      </c>
      <c r="AH43" s="1216">
        <v>85142.202462000001</v>
      </c>
      <c r="AI43" s="169">
        <v>85227.344664461969</v>
      </c>
      <c r="AJ43" s="169">
        <v>85142.1173197975</v>
      </c>
      <c r="AK43" s="1217">
        <v>85567.827906396487</v>
      </c>
      <c r="AL43" s="1216">
        <v>85995.667045928451</v>
      </c>
      <c r="AM43" s="169">
        <v>86855.623716387752</v>
      </c>
      <c r="AN43" s="169">
        <v>86768.768092671351</v>
      </c>
      <c r="AO43" s="1217">
        <v>87202.6119331347</v>
      </c>
      <c r="AP43" s="1216">
        <v>87638.624992800367</v>
      </c>
      <c r="AQ43" s="169">
        <v>88515.011242728375</v>
      </c>
      <c r="AR43" s="169">
        <v>88426.496231485653</v>
      </c>
      <c r="AS43" s="1217">
        <v>88868.628712643069</v>
      </c>
      <c r="AT43" s="144"/>
      <c r="AU43" s="122"/>
      <c r="AV43" s="122"/>
      <c r="AW43" s="122"/>
      <c r="AX43" s="122"/>
      <c r="AY43" s="122"/>
      <c r="AZ43" s="122"/>
      <c r="BA43" s="122">
        <v>68265.717000000004</v>
      </c>
      <c r="BB43" s="122">
        <v>73755.906000000003</v>
      </c>
      <c r="BC43" s="122">
        <v>151143.12299999999</v>
      </c>
      <c r="BD43" s="122"/>
      <c r="BE43" s="122"/>
      <c r="BF43" s="122"/>
      <c r="BG43" s="122"/>
      <c r="BH43" s="122"/>
      <c r="BI43" s="122"/>
      <c r="BJ43" s="122"/>
    </row>
    <row r="44" spans="1:62" hidden="1">
      <c r="A44" s="165"/>
      <c r="B44" s="1218"/>
      <c r="C44" s="165"/>
      <c r="D44" s="165"/>
      <c r="E44" s="1219"/>
      <c r="F44" s="1218"/>
      <c r="G44" s="165"/>
      <c r="H44" s="165"/>
      <c r="I44" s="1219"/>
      <c r="J44" s="1218"/>
      <c r="K44" s="165"/>
      <c r="L44" s="165"/>
      <c r="M44" s="1219"/>
      <c r="N44" s="1218"/>
      <c r="O44" s="165"/>
      <c r="P44" s="165"/>
      <c r="Q44" s="1219"/>
      <c r="R44" s="1218"/>
      <c r="S44" s="165"/>
      <c r="T44" s="165"/>
      <c r="U44" s="1219"/>
      <c r="V44" s="1218"/>
      <c r="W44" s="165"/>
      <c r="X44" s="165"/>
      <c r="Y44" s="1219"/>
      <c r="Z44" s="1218"/>
      <c r="AA44" s="165"/>
      <c r="AB44" s="165"/>
      <c r="AC44" s="165"/>
      <c r="AD44" s="1218"/>
      <c r="AE44" s="165"/>
      <c r="AF44" s="165"/>
      <c r="AG44" s="165"/>
      <c r="AH44" s="1218"/>
      <c r="AI44" s="165"/>
      <c r="AJ44" s="165"/>
      <c r="AK44" s="1219"/>
      <c r="AL44" s="1218"/>
      <c r="AM44" s="165"/>
      <c r="AN44" s="165"/>
      <c r="AO44" s="1219"/>
      <c r="AP44" s="1218"/>
      <c r="AQ44" s="165"/>
      <c r="AR44" s="165"/>
      <c r="AS44" s="1219"/>
      <c r="AT44" s="165"/>
      <c r="AU44" s="110"/>
      <c r="AV44" s="110"/>
      <c r="AW44" s="110"/>
      <c r="AX44" s="110"/>
      <c r="AY44" s="110"/>
      <c r="AZ44" s="110"/>
      <c r="BA44" s="110"/>
      <c r="BB44" s="110"/>
      <c r="BC44" s="520"/>
      <c r="BD44" s="520"/>
      <c r="BE44" s="110"/>
      <c r="BF44" s="110"/>
      <c r="BG44" s="110"/>
      <c r="BH44" s="110"/>
      <c r="BI44" s="110"/>
      <c r="BJ44" s="110"/>
    </row>
    <row r="45" spans="1:62" hidden="1">
      <c r="A45" s="110" t="s">
        <v>331</v>
      </c>
      <c r="B45" s="293">
        <v>0</v>
      </c>
      <c r="C45" s="170">
        <v>0</v>
      </c>
      <c r="D45" s="170">
        <v>0</v>
      </c>
      <c r="E45" s="170">
        <v>14021.638207291928</v>
      </c>
      <c r="F45" s="293">
        <v>14099.300924854682</v>
      </c>
      <c r="G45" s="170">
        <v>14556.865985695624</v>
      </c>
      <c r="H45" s="170">
        <v>14627.148963739199</v>
      </c>
      <c r="I45" s="170">
        <v>14970.803420225662</v>
      </c>
      <c r="J45" s="293">
        <v>14145.90298262865</v>
      </c>
      <c r="K45" s="170">
        <v>14547.162059047956</v>
      </c>
      <c r="L45" s="170">
        <v>14734.415181342558</v>
      </c>
      <c r="M45" s="170">
        <v>15281.691786423647</v>
      </c>
      <c r="N45" s="293">
        <v>13203.742272471816</v>
      </c>
      <c r="O45" s="170">
        <v>12763.532763532765</v>
      </c>
      <c r="P45" s="170">
        <v>13190.476190476191</v>
      </c>
      <c r="Q45" s="170">
        <v>13389.704629020871</v>
      </c>
      <c r="R45" s="293">
        <v>12634.072380356789</v>
      </c>
      <c r="S45" s="170">
        <v>12479.098101189355</v>
      </c>
      <c r="T45" s="170">
        <v>12815.207731615194</v>
      </c>
      <c r="U45" s="170">
        <v>13706.211880514327</v>
      </c>
      <c r="V45" s="293">
        <v>13425.972970226605</v>
      </c>
      <c r="W45" s="170">
        <v>13230.701435912899</v>
      </c>
      <c r="X45" s="170">
        <v>13525.810933052777</v>
      </c>
      <c r="Y45" s="170">
        <v>13324.056348942433</v>
      </c>
      <c r="Z45" s="293">
        <v>12749.776021960159</v>
      </c>
      <c r="AA45" s="170">
        <v>14683.195818903232</v>
      </c>
      <c r="AB45" s="170">
        <v>13514.211525935705</v>
      </c>
      <c r="AC45" s="170">
        <v>13755.425650165682</v>
      </c>
      <c r="AD45" s="293">
        <v>15073.655978093337</v>
      </c>
      <c r="AE45" s="170">
        <v>15424.986521960389</v>
      </c>
      <c r="AF45" s="170">
        <v>15684.260091605669</v>
      </c>
      <c r="AG45" s="170">
        <v>15890.837569569716</v>
      </c>
      <c r="AH45" s="293">
        <v>16129.20013311326</v>
      </c>
      <c r="AI45" s="170">
        <v>16322.75053471062</v>
      </c>
      <c r="AJ45" s="170">
        <v>16485.978040057726</v>
      </c>
      <c r="AK45" s="1220">
        <v>16683.809776538419</v>
      </c>
      <c r="AL45" s="293">
        <v>16934.066923186492</v>
      </c>
      <c r="AM45" s="170">
        <v>17137.275726264732</v>
      </c>
      <c r="AN45" s="170">
        <v>17308.64848352738</v>
      </c>
      <c r="AO45" s="1220">
        <v>17516.352265329708</v>
      </c>
      <c r="AP45" s="293">
        <v>17779.097549309652</v>
      </c>
      <c r="AQ45" s="170">
        <v>17992.446719901367</v>
      </c>
      <c r="AR45" s="170">
        <v>18172.37118710038</v>
      </c>
      <c r="AS45" s="1220">
        <v>18390.439641345583</v>
      </c>
      <c r="AT45" s="110"/>
      <c r="AU45" s="122"/>
      <c r="AV45" s="122"/>
      <c r="AW45" s="122"/>
      <c r="AX45" s="122"/>
      <c r="AY45" s="122"/>
      <c r="AZ45" s="122"/>
      <c r="BA45" s="122">
        <v>14564.560515590027</v>
      </c>
      <c r="BB45" s="122">
        <v>14692.203601932892</v>
      </c>
      <c r="BC45" s="122">
        <v>13135.051371358639</v>
      </c>
      <c r="BD45" s="122"/>
      <c r="BE45" s="122"/>
      <c r="BF45" s="122"/>
      <c r="BG45" s="122"/>
      <c r="BH45" s="122"/>
      <c r="BI45" s="122"/>
      <c r="BJ45" s="122"/>
    </row>
    <row r="46" spans="1:62" hidden="1">
      <c r="A46" s="147" t="s">
        <v>332</v>
      </c>
      <c r="B46" s="379" t="e">
        <v>#DIV/0!</v>
      </c>
      <c r="C46" s="171" t="e">
        <v>#DIV/0!</v>
      </c>
      <c r="D46" s="171" t="e">
        <v>#DIV/0!</v>
      </c>
      <c r="E46" s="171" t="e">
        <v>#DIV/0!</v>
      </c>
      <c r="F46" s="379">
        <v>5.5387763123402323E-3</v>
      </c>
      <c r="G46" s="171">
        <v>3.2453031769421381E-2</v>
      </c>
      <c r="H46" s="171">
        <v>4.8281668672802702E-3</v>
      </c>
      <c r="I46" s="171">
        <v>2.3494288417953868E-2</v>
      </c>
      <c r="J46" s="379">
        <v>-5.5100612468303889E-2</v>
      </c>
      <c r="K46" s="171">
        <v>2.8365744973089191E-2</v>
      </c>
      <c r="L46" s="171">
        <v>1.2872141077038046E-2</v>
      </c>
      <c r="M46" s="171">
        <v>3.7142743593520988E-2</v>
      </c>
      <c r="N46" s="379">
        <v>-0.13597640516463594</v>
      </c>
      <c r="O46" s="171">
        <v>-3.3339753219572721E-2</v>
      </c>
      <c r="P46" s="171">
        <v>3.3450255102040805E-2</v>
      </c>
      <c r="Q46" s="171">
        <v>1.5103961044903524E-2</v>
      </c>
      <c r="R46" s="379">
        <v>-5.6433825061855569E-2</v>
      </c>
      <c r="S46" s="171">
        <v>-1.2266375757699843E-2</v>
      </c>
      <c r="T46" s="171">
        <v>2.6933807852172142E-2</v>
      </c>
      <c r="U46" s="171">
        <v>6.9527093712341559E-2</v>
      </c>
      <c r="V46" s="379">
        <v>-2.0446124190311776E-2</v>
      </c>
      <c r="W46" s="171">
        <v>-1.4544311592667447E-2</v>
      </c>
      <c r="X46" s="171">
        <v>2.2304901865508375E-2</v>
      </c>
      <c r="Y46" s="171">
        <v>-1.4916265287822417E-2</v>
      </c>
      <c r="Z46" s="379">
        <v>-4.3101013080589112E-2</v>
      </c>
      <c r="AA46" s="171">
        <v>0.15164343229347388</v>
      </c>
      <c r="AB46" s="171">
        <v>-7.9613750806385775E-2</v>
      </c>
      <c r="AC46" s="171">
        <v>1.7848923244027315E-2</v>
      </c>
      <c r="AD46" s="379">
        <v>9.5833481380619867E-2</v>
      </c>
      <c r="AE46" s="171">
        <v>2.3307586718022799E-2</v>
      </c>
      <c r="AF46" s="171">
        <v>1.6808673983355282E-2</v>
      </c>
      <c r="AG46" s="171">
        <v>1.3171005629689203E-2</v>
      </c>
      <c r="AH46" s="292">
        <v>1.4999999999999999E-2</v>
      </c>
      <c r="AI46" s="172">
        <v>1.2E-2</v>
      </c>
      <c r="AJ46" s="172">
        <v>0.01</v>
      </c>
      <c r="AK46" s="1221">
        <v>1.2E-2</v>
      </c>
      <c r="AL46" s="292">
        <v>1.4999999999999999E-2</v>
      </c>
      <c r="AM46" s="172">
        <v>1.2E-2</v>
      </c>
      <c r="AN46" s="172">
        <v>0.01</v>
      </c>
      <c r="AO46" s="1221">
        <v>1.2E-2</v>
      </c>
      <c r="AP46" s="292">
        <v>1.4999999999999999E-2</v>
      </c>
      <c r="AQ46" s="172">
        <v>1.2E-2</v>
      </c>
      <c r="AR46" s="172">
        <v>0.01</v>
      </c>
      <c r="AS46" s="1221">
        <v>1.2E-2</v>
      </c>
      <c r="AT46" s="147"/>
      <c r="AU46" s="122"/>
      <c r="AV46" s="56"/>
      <c r="AW46" s="56"/>
      <c r="AX46" s="122"/>
      <c r="AY46" s="16"/>
      <c r="AZ46" s="148"/>
      <c r="BA46" s="148"/>
      <c r="BB46" s="148"/>
      <c r="BC46" s="522"/>
      <c r="BD46" s="148"/>
      <c r="BE46" s="56"/>
      <c r="BF46" s="56"/>
      <c r="BG46" s="56"/>
      <c r="BH46" s="56"/>
      <c r="BI46" s="56"/>
      <c r="BJ46" s="56"/>
    </row>
    <row r="47" spans="1:62" hidden="1">
      <c r="A47" s="110" t="s">
        <v>333</v>
      </c>
      <c r="B47" s="293">
        <v>0</v>
      </c>
      <c r="C47" s="170">
        <v>0</v>
      </c>
      <c r="D47" s="170">
        <v>0</v>
      </c>
      <c r="E47" s="170">
        <v>2868.5881904633329</v>
      </c>
      <c r="F47" s="293">
        <v>2910.7909453382763</v>
      </c>
      <c r="G47" s="170">
        <v>2879.2782619924915</v>
      </c>
      <c r="H47" s="170">
        <v>3185.7470704151228</v>
      </c>
      <c r="I47" s="170">
        <v>3192.8074015958032</v>
      </c>
      <c r="J47" s="293">
        <v>3269.5372756917191</v>
      </c>
      <c r="K47" s="170">
        <v>3069.3476397826289</v>
      </c>
      <c r="L47" s="170">
        <v>3361.5653328342482</v>
      </c>
      <c r="M47" s="170">
        <v>3209.099596764795</v>
      </c>
      <c r="N47" s="293">
        <v>2243.921705447915</v>
      </c>
      <c r="O47" s="170">
        <v>2546.2890255057218</v>
      </c>
      <c r="P47" s="170">
        <v>2589.9957197586823</v>
      </c>
      <c r="Q47" s="170">
        <v>2771.2155875726512</v>
      </c>
      <c r="R47" s="293">
        <v>2914.6233319444</v>
      </c>
      <c r="S47" s="170">
        <v>3045.6085554719657</v>
      </c>
      <c r="T47" s="170">
        <v>3082.5079324406979</v>
      </c>
      <c r="U47" s="170">
        <v>3058.6038926702709</v>
      </c>
      <c r="V47" s="293">
        <v>3053.8026008674847</v>
      </c>
      <c r="W47" s="170">
        <v>3183.5235550957814</v>
      </c>
      <c r="X47" s="170">
        <v>3265.7542459364258</v>
      </c>
      <c r="Y47" s="170">
        <v>3140.7490684132231</v>
      </c>
      <c r="Z47" s="293">
        <v>3044.5318182003066</v>
      </c>
      <c r="AA47" s="170">
        <v>3680.7086207051138</v>
      </c>
      <c r="AB47" s="170">
        <v>3343.8682951736077</v>
      </c>
      <c r="AC47" s="170">
        <v>3481.9254398563189</v>
      </c>
      <c r="AD47" s="293">
        <v>3567.937657099475</v>
      </c>
      <c r="AE47" s="170">
        <v>3635.8414406939514</v>
      </c>
      <c r="AF47" s="170">
        <v>3798.4453141550703</v>
      </c>
      <c r="AG47" s="170">
        <v>3735.1253069202712</v>
      </c>
      <c r="AH47" s="293">
        <v>3753.8009334548724</v>
      </c>
      <c r="AI47" s="170">
        <v>3772.5699381221461</v>
      </c>
      <c r="AJ47" s="170">
        <v>3791.4327878127565</v>
      </c>
      <c r="AK47" s="1220">
        <v>3810.3899517518198</v>
      </c>
      <c r="AL47" s="293">
        <v>3829.4419015105786</v>
      </c>
      <c r="AM47" s="170">
        <v>3848.589111018131</v>
      </c>
      <c r="AN47" s="170">
        <v>3867.8320565732211</v>
      </c>
      <c r="AO47" s="1220">
        <v>3887.1712168560866</v>
      </c>
      <c r="AP47" s="293">
        <v>3906.6070729403668</v>
      </c>
      <c r="AQ47" s="170">
        <v>3926.1401083050682</v>
      </c>
      <c r="AR47" s="170">
        <v>3945.7708088465934</v>
      </c>
      <c r="AS47" s="1220">
        <v>3965.4996628908257</v>
      </c>
      <c r="AT47" s="110"/>
      <c r="AU47" s="122"/>
      <c r="AV47" s="122"/>
      <c r="AW47" s="122"/>
      <c r="AX47" s="122"/>
      <c r="AY47" s="122"/>
      <c r="AZ47" s="122"/>
      <c r="BA47" s="122">
        <v>3043.7255581678646</v>
      </c>
      <c r="BB47" s="122">
        <v>3225.6793103456689</v>
      </c>
      <c r="BC47" s="122">
        <v>2545.1108351122271</v>
      </c>
      <c r="BD47" s="122"/>
      <c r="BE47" s="122"/>
      <c r="BF47" s="122"/>
      <c r="BG47" s="122"/>
      <c r="BH47" s="122"/>
      <c r="BI47" s="122"/>
      <c r="BJ47" s="122"/>
    </row>
    <row r="48" spans="1:62" hidden="1">
      <c r="A48" s="147" t="s">
        <v>332</v>
      </c>
      <c r="B48" s="379" t="e">
        <v>#DIV/0!</v>
      </c>
      <c r="C48" s="171" t="e">
        <v>#DIV/0!</v>
      </c>
      <c r="D48" s="171" t="e">
        <v>#DIV/0!</v>
      </c>
      <c r="E48" s="171" t="e">
        <v>#DIV/0!</v>
      </c>
      <c r="F48" s="379">
        <v>1.4712029776615232E-2</v>
      </c>
      <c r="G48" s="171">
        <v>-1.0826158229004124E-2</v>
      </c>
      <c r="H48" s="171">
        <v>0.10643945479953421</v>
      </c>
      <c r="I48" s="171">
        <v>2.2162246482926307E-3</v>
      </c>
      <c r="J48" s="379">
        <v>2.4032102298925162E-2</v>
      </c>
      <c r="K48" s="171">
        <v>-6.1228736371184866E-2</v>
      </c>
      <c r="L48" s="171">
        <v>9.5205146938752927E-2</v>
      </c>
      <c r="M48" s="171">
        <v>-4.5355577230713595E-2</v>
      </c>
      <c r="N48" s="379">
        <v>-0.30076283462498621</v>
      </c>
      <c r="O48" s="171">
        <v>0.13474949652820012</v>
      </c>
      <c r="P48" s="171">
        <v>1.7164859847078828E-2</v>
      </c>
      <c r="Q48" s="171">
        <v>6.9969176563293267E-2</v>
      </c>
      <c r="R48" s="379">
        <v>5.1749039307823042E-2</v>
      </c>
      <c r="S48" s="171">
        <v>4.4940703689551276E-2</v>
      </c>
      <c r="T48" s="171">
        <v>1.211560064159789E-2</v>
      </c>
      <c r="U48" s="171">
        <v>-7.75473747167299E-3</v>
      </c>
      <c r="V48" s="379">
        <v>-1.5697658053375196E-3</v>
      </c>
      <c r="W48" s="171">
        <v>4.2478500146488685E-2</v>
      </c>
      <c r="X48" s="171">
        <v>2.5830087140087166E-2</v>
      </c>
      <c r="Y48" s="171">
        <v>-3.827758248458113E-2</v>
      </c>
      <c r="Z48" s="379">
        <v>-3.0635128154802738E-2</v>
      </c>
      <c r="AA48" s="171">
        <v>0.20895718635677318</v>
      </c>
      <c r="AB48" s="171">
        <v>-9.1515075014815372E-2</v>
      </c>
      <c r="AC48" s="171">
        <v>4.1286657396757187E-2</v>
      </c>
      <c r="AD48" s="379">
        <v>2.4702486807616886E-2</v>
      </c>
      <c r="AE48" s="171">
        <v>1.9031662018915041E-2</v>
      </c>
      <c r="AF48" s="171">
        <v>4.4722487521370979E-2</v>
      </c>
      <c r="AG48" s="171">
        <v>-1.666997995175401E-2</v>
      </c>
      <c r="AH48" s="292">
        <v>5.0000000000000001E-3</v>
      </c>
      <c r="AI48" s="172">
        <v>5.0000000000000001E-3</v>
      </c>
      <c r="AJ48" s="172">
        <v>5.0000000000000001E-3</v>
      </c>
      <c r="AK48" s="1221">
        <v>5.0000000000000001E-3</v>
      </c>
      <c r="AL48" s="292">
        <v>5.0000000000000001E-3</v>
      </c>
      <c r="AM48" s="172">
        <v>5.0000000000000001E-3</v>
      </c>
      <c r="AN48" s="172">
        <v>5.0000000000000001E-3</v>
      </c>
      <c r="AO48" s="1221">
        <v>5.0000000000000001E-3</v>
      </c>
      <c r="AP48" s="292">
        <v>5.0000000000000001E-3</v>
      </c>
      <c r="AQ48" s="172">
        <v>5.0000000000000001E-3</v>
      </c>
      <c r="AR48" s="172">
        <v>5.0000000000000001E-3</v>
      </c>
      <c r="AS48" s="1221">
        <v>5.0000000000000001E-3</v>
      </c>
      <c r="AT48" s="147"/>
      <c r="AU48" s="122"/>
      <c r="AV48" s="56"/>
      <c r="AW48" s="56"/>
      <c r="AX48" s="56"/>
      <c r="AY48" s="16"/>
      <c r="AZ48" s="148"/>
      <c r="BA48" s="148"/>
      <c r="BB48" s="148"/>
      <c r="BC48" s="148"/>
      <c r="BD48" s="148"/>
      <c r="BE48" s="56"/>
      <c r="BF48" s="56"/>
      <c r="BG48" s="56"/>
      <c r="BH48" s="56"/>
      <c r="BI48" s="56"/>
      <c r="BJ48" s="56"/>
    </row>
    <row r="49" spans="1:80" hidden="1">
      <c r="A49" s="110"/>
      <c r="B49" s="383"/>
      <c r="C49" s="110"/>
      <c r="D49" s="110"/>
      <c r="E49" s="1171"/>
      <c r="F49" s="383"/>
      <c r="G49" s="110"/>
      <c r="H49" s="110"/>
      <c r="I49" s="1171"/>
      <c r="J49" s="383"/>
      <c r="K49" s="110"/>
      <c r="L49" s="110"/>
      <c r="M49" s="1171"/>
      <c r="N49" s="383"/>
      <c r="O49" s="110"/>
      <c r="P49" s="110"/>
      <c r="Q49" s="1171"/>
      <c r="R49" s="383"/>
      <c r="S49" s="110"/>
      <c r="T49" s="110"/>
      <c r="U49" s="1171"/>
      <c r="V49" s="383"/>
      <c r="W49" s="110"/>
      <c r="X49" s="110"/>
      <c r="Y49" s="110"/>
      <c r="Z49" s="383"/>
      <c r="AA49" s="110"/>
      <c r="AB49" s="110"/>
      <c r="AC49" s="1171"/>
      <c r="AD49" s="383"/>
      <c r="AE49" s="110"/>
      <c r="AF49" s="110"/>
      <c r="AG49" s="1171"/>
      <c r="AH49" s="383"/>
      <c r="AI49" s="110"/>
      <c r="AJ49" s="110"/>
      <c r="AK49" s="1171"/>
      <c r="AL49" s="383"/>
      <c r="AM49" s="110"/>
      <c r="AN49" s="110"/>
      <c r="AO49" s="1171"/>
      <c r="AP49" s="383"/>
      <c r="AQ49" s="110"/>
      <c r="AR49" s="110"/>
      <c r="AS49" s="1171"/>
      <c r="AT49" s="110"/>
      <c r="AU49" s="110"/>
      <c r="AV49" s="110"/>
      <c r="AW49" s="110"/>
      <c r="AX49" s="110"/>
      <c r="AY49" s="110"/>
      <c r="AZ49" s="110"/>
      <c r="BA49" s="110"/>
      <c r="BB49" s="110"/>
      <c r="BC49" s="110"/>
      <c r="BD49" s="110"/>
      <c r="BE49" s="110"/>
      <c r="BF49" s="110"/>
      <c r="BG49" s="110"/>
      <c r="BH49" s="110"/>
      <c r="BI49" s="110"/>
      <c r="BJ49" s="110"/>
    </row>
    <row r="50" spans="1:80" hidden="1">
      <c r="A50" s="110" t="s">
        <v>334</v>
      </c>
      <c r="B50" s="441">
        <v>0</v>
      </c>
      <c r="C50" s="173">
        <v>0</v>
      </c>
      <c r="D50" s="173">
        <v>0</v>
      </c>
      <c r="E50" s="173">
        <v>88.778002309468832</v>
      </c>
      <c r="F50" s="441">
        <v>92.467445255474459</v>
      </c>
      <c r="G50" s="173">
        <v>97.001132182281367</v>
      </c>
      <c r="H50" s="173">
        <v>96.798083697336892</v>
      </c>
      <c r="I50" s="173">
        <v>99.072285794027366</v>
      </c>
      <c r="J50" s="441">
        <v>86.318300000000008</v>
      </c>
      <c r="K50" s="173">
        <v>99.13600000000001</v>
      </c>
      <c r="L50" s="173">
        <v>99.696000000000012</v>
      </c>
      <c r="M50" s="173">
        <v>104.63679999999999</v>
      </c>
      <c r="N50" s="441">
        <v>119.82</v>
      </c>
      <c r="O50" s="173">
        <v>119.16800000000002</v>
      </c>
      <c r="P50" s="173">
        <v>119.664</v>
      </c>
      <c r="Q50" s="173">
        <v>123.17200000000001</v>
      </c>
      <c r="R50" s="441">
        <v>124.124</v>
      </c>
      <c r="S50" s="173">
        <v>123.94380000000001</v>
      </c>
      <c r="T50" s="173">
        <v>124.5915</v>
      </c>
      <c r="U50" s="173">
        <v>130.3492</v>
      </c>
      <c r="V50" s="441">
        <v>133.18200000000002</v>
      </c>
      <c r="W50" s="173">
        <v>133.488</v>
      </c>
      <c r="X50" s="173">
        <v>134.79599999999999</v>
      </c>
      <c r="Y50" s="173">
        <v>133.42749999999998</v>
      </c>
      <c r="Z50" s="441">
        <v>136.32640000000001</v>
      </c>
      <c r="AA50" s="173">
        <v>168.67620000000002</v>
      </c>
      <c r="AB50" s="173">
        <v>183.14449999999999</v>
      </c>
      <c r="AC50" s="173">
        <v>186.01350000000002</v>
      </c>
      <c r="AD50" s="441">
        <v>211.0248</v>
      </c>
      <c r="AE50" s="173">
        <v>220.42170000000002</v>
      </c>
      <c r="AF50" s="173">
        <v>226.98480000000001</v>
      </c>
      <c r="AG50" s="173">
        <v>232.81160000000003</v>
      </c>
      <c r="AH50" s="294"/>
      <c r="AI50" s="174"/>
      <c r="AJ50" s="174"/>
      <c r="AK50" s="1222"/>
      <c r="AL50" s="294"/>
      <c r="AM50" s="174"/>
      <c r="AN50" s="174"/>
      <c r="AO50" s="1222"/>
      <c r="AP50" s="294"/>
      <c r="AQ50" s="174"/>
      <c r="AR50" s="174"/>
      <c r="AS50" s="1222"/>
      <c r="AT50" s="110"/>
      <c r="AU50" s="164"/>
      <c r="AV50" s="164"/>
      <c r="AW50" s="164"/>
      <c r="AX50" s="164"/>
      <c r="AY50" s="164"/>
      <c r="AZ50" s="122"/>
      <c r="BA50" s="122">
        <v>385.33894692912008</v>
      </c>
      <c r="BB50" s="122">
        <v>389.78710000000001</v>
      </c>
      <c r="BC50" s="122">
        <v>481.82400000000001</v>
      </c>
      <c r="BD50" s="122"/>
      <c r="BE50" s="122"/>
      <c r="BF50" s="122"/>
      <c r="BG50" s="122"/>
      <c r="BH50" s="122"/>
      <c r="BI50" s="122"/>
      <c r="BJ50" s="122"/>
    </row>
    <row r="51" spans="1:80" hidden="1">
      <c r="A51" s="110" t="s">
        <v>335</v>
      </c>
      <c r="B51" s="441">
        <v>0</v>
      </c>
      <c r="C51" s="173">
        <v>0</v>
      </c>
      <c r="D51" s="173">
        <v>0</v>
      </c>
      <c r="E51" s="173">
        <v>45.734122401847578</v>
      </c>
      <c r="F51" s="441">
        <v>47.634744525547454</v>
      </c>
      <c r="G51" s="173">
        <v>49.970280215114641</v>
      </c>
      <c r="H51" s="173">
        <v>54.448922079752002</v>
      </c>
      <c r="I51" s="173">
        <v>55.728160759140387</v>
      </c>
      <c r="J51" s="441">
        <v>53.581699999999998</v>
      </c>
      <c r="K51" s="173">
        <v>55.764000000000003</v>
      </c>
      <c r="L51" s="173">
        <v>61.104000000000006</v>
      </c>
      <c r="M51" s="173">
        <v>67.463200000000001</v>
      </c>
      <c r="N51" s="441">
        <v>79.88</v>
      </c>
      <c r="O51" s="173">
        <v>93.632000000000005</v>
      </c>
      <c r="P51" s="173">
        <v>101.93600000000001</v>
      </c>
      <c r="Q51" s="173">
        <v>109.22799999999999</v>
      </c>
      <c r="R51" s="441">
        <v>114.57599999999999</v>
      </c>
      <c r="S51" s="173">
        <v>122.9562</v>
      </c>
      <c r="T51" s="173">
        <v>127.10849999999999</v>
      </c>
      <c r="U51" s="173">
        <v>134.05079999999998</v>
      </c>
      <c r="V51" s="441">
        <v>138.61799999999999</v>
      </c>
      <c r="W51" s="173">
        <v>144.61200000000002</v>
      </c>
      <c r="X51" s="173">
        <v>147.20400000000001</v>
      </c>
      <c r="Y51" s="173">
        <v>147.4725</v>
      </c>
      <c r="Z51" s="441">
        <v>150.0736</v>
      </c>
      <c r="AA51" s="173">
        <v>196.42379999999997</v>
      </c>
      <c r="AB51" s="173">
        <v>207.35550000000001</v>
      </c>
      <c r="AC51" s="173">
        <v>217.48650000000001</v>
      </c>
      <c r="AD51" s="441">
        <v>231.37520000000001</v>
      </c>
      <c r="AE51" s="173">
        <v>241.67830000000001</v>
      </c>
      <c r="AF51" s="173">
        <v>253.9152</v>
      </c>
      <c r="AG51" s="173">
        <v>256.28840000000002</v>
      </c>
      <c r="AH51" s="294"/>
      <c r="AI51" s="174"/>
      <c r="AJ51" s="174"/>
      <c r="AK51" s="1222"/>
      <c r="AL51" s="294"/>
      <c r="AM51" s="174"/>
      <c r="AN51" s="174"/>
      <c r="AO51" s="1222"/>
      <c r="AP51" s="294"/>
      <c r="AQ51" s="174"/>
      <c r="AR51" s="174"/>
      <c r="AS51" s="1222"/>
      <c r="AT51" s="110"/>
      <c r="AU51" s="164"/>
      <c r="AV51" s="164"/>
      <c r="AW51" s="164"/>
      <c r="AX51" s="164"/>
      <c r="AY51" s="164"/>
      <c r="AZ51" s="122"/>
      <c r="BA51" s="122">
        <v>207.78210757955449</v>
      </c>
      <c r="BB51" s="122">
        <v>237.91290000000001</v>
      </c>
      <c r="BC51" s="122">
        <v>384.67599999999999</v>
      </c>
      <c r="BD51" s="122"/>
      <c r="BE51" s="122"/>
      <c r="BF51" s="122"/>
      <c r="BG51" s="122"/>
      <c r="BH51" s="122"/>
      <c r="BI51" s="122"/>
      <c r="BJ51" s="122"/>
    </row>
    <row r="52" spans="1:80" hidden="1">
      <c r="A52" s="110"/>
      <c r="B52" s="441"/>
      <c r="C52" s="173"/>
      <c r="D52" s="173"/>
      <c r="E52" s="173"/>
      <c r="F52" s="441"/>
      <c r="G52" s="173"/>
      <c r="H52" s="173"/>
      <c r="I52" s="173"/>
      <c r="J52" s="173"/>
      <c r="K52" s="173"/>
      <c r="L52" s="173"/>
      <c r="M52" s="173"/>
      <c r="N52" s="441"/>
      <c r="O52" s="173"/>
      <c r="P52" s="173"/>
      <c r="Q52" s="173"/>
      <c r="R52" s="441"/>
      <c r="S52" s="173"/>
      <c r="T52" s="174"/>
      <c r="U52" s="173"/>
      <c r="V52" s="441"/>
      <c r="W52" s="173"/>
      <c r="X52" s="173"/>
      <c r="Y52" s="173"/>
      <c r="Z52" s="441"/>
      <c r="AA52" s="173"/>
      <c r="AB52" s="173"/>
      <c r="AC52" s="173"/>
      <c r="AD52" s="441"/>
      <c r="AE52" s="173"/>
      <c r="AF52" s="173"/>
      <c r="AG52" s="173"/>
      <c r="AH52" s="294"/>
      <c r="AI52" s="174"/>
      <c r="AJ52" s="174"/>
      <c r="AK52" s="1222"/>
      <c r="AL52" s="294"/>
      <c r="AM52" s="174"/>
      <c r="AN52" s="174"/>
      <c r="AO52" s="1222"/>
      <c r="AP52" s="294"/>
      <c r="AQ52" s="174"/>
      <c r="AR52" s="174"/>
      <c r="AS52" s="1222"/>
      <c r="AT52" s="110"/>
      <c r="AU52" s="164"/>
      <c r="AV52" s="164"/>
      <c r="AW52" s="164"/>
      <c r="AX52" s="164"/>
      <c r="AY52" s="164"/>
      <c r="AZ52" s="122"/>
      <c r="BA52" s="122"/>
      <c r="BB52" s="122"/>
      <c r="BC52" s="122"/>
      <c r="BD52" s="122"/>
      <c r="BE52" s="122"/>
      <c r="BF52" s="122"/>
      <c r="BG52" s="122"/>
      <c r="BH52" s="122"/>
      <c r="BI52" s="122"/>
      <c r="BJ52" s="122"/>
    </row>
    <row r="53" spans="1:80" hidden="1">
      <c r="A53" s="110" t="s">
        <v>336</v>
      </c>
      <c r="B53" s="441"/>
      <c r="C53" s="173"/>
      <c r="D53" s="173"/>
      <c r="E53" s="173">
        <v>79.668398905067775</v>
      </c>
      <c r="F53" s="173">
        <v>80.109664345765239</v>
      </c>
      <c r="G53" s="173">
        <v>82.709465827816047</v>
      </c>
      <c r="H53" s="173">
        <v>83.108800930336358</v>
      </c>
      <c r="I53" s="173">
        <v>85.061383069463986</v>
      </c>
      <c r="J53" s="173">
        <v>80.374448764935508</v>
      </c>
      <c r="K53" s="173">
        <v>82.654329880954293</v>
      </c>
      <c r="L53" s="173">
        <v>83.718268075809988</v>
      </c>
      <c r="M53" s="173">
        <v>86.827794241043449</v>
      </c>
      <c r="N53" s="173">
        <v>75.021262911771686</v>
      </c>
      <c r="O53" s="173">
        <v>72.520072520072532</v>
      </c>
      <c r="P53" s="173">
        <v>74.94588744588745</v>
      </c>
      <c r="Q53" s="173">
        <v>76.077867210345858</v>
      </c>
      <c r="R53" s="173">
        <v>71.784502161118112</v>
      </c>
      <c r="S53" s="173">
        <v>70.90396648403042</v>
      </c>
      <c r="T53" s="173">
        <v>72.813680293268149</v>
      </c>
      <c r="U53" s="173">
        <v>77.876203866558683</v>
      </c>
      <c r="V53" s="441">
        <v>76.283937330832984</v>
      </c>
      <c r="W53" s="173">
        <v>75.174439976777833</v>
      </c>
      <c r="X53" s="173">
        <v>76.851198483254407</v>
      </c>
      <c r="Y53" s="173">
        <v>75.704865618991093</v>
      </c>
      <c r="Z53" s="441">
        <v>72.441909215682713</v>
      </c>
      <c r="AA53" s="173">
        <v>83.427248971041095</v>
      </c>
      <c r="AB53" s="173">
        <v>76.785292760998331</v>
      </c>
      <c r="AC53" s="173">
        <v>78.155827557759551</v>
      </c>
      <c r="AD53" s="441">
        <v>85.645772602803049</v>
      </c>
      <c r="AE53" s="173">
        <v>87.641968874774932</v>
      </c>
      <c r="AF53" s="173">
        <v>89.115114156850396</v>
      </c>
      <c r="AG53" s="173">
        <v>90.288849827100663</v>
      </c>
      <c r="AH53" s="294"/>
      <c r="AI53" s="174"/>
      <c r="AJ53" s="174"/>
      <c r="AK53" s="1222"/>
      <c r="AL53" s="294"/>
      <c r="AM53" s="174"/>
      <c r="AN53" s="174"/>
      <c r="AO53" s="1222"/>
      <c r="AP53" s="294"/>
      <c r="AQ53" s="174"/>
      <c r="AR53" s="174"/>
      <c r="AS53" s="1222"/>
      <c r="AT53" s="110"/>
      <c r="AU53" s="164"/>
      <c r="AV53" s="164"/>
      <c r="AW53" s="164"/>
      <c r="AX53" s="164"/>
      <c r="AY53" s="164"/>
      <c r="AZ53" s="122"/>
      <c r="BA53" s="122"/>
      <c r="BB53" s="122"/>
      <c r="BC53" s="122"/>
      <c r="BD53" s="122"/>
      <c r="BE53" s="122"/>
      <c r="BF53" s="122"/>
      <c r="BG53" s="122"/>
      <c r="BH53" s="122"/>
      <c r="BI53" s="122"/>
      <c r="BJ53" s="122"/>
    </row>
    <row r="54" spans="1:80" hidden="1">
      <c r="A54" s="110" t="s">
        <v>337</v>
      </c>
      <c r="B54" s="441"/>
      <c r="C54" s="173"/>
      <c r="D54" s="173"/>
      <c r="E54" s="173">
        <v>16.298796536723483</v>
      </c>
      <c r="F54" s="173">
        <v>16.538584916694752</v>
      </c>
      <c r="G54" s="173">
        <v>16.359535579502793</v>
      </c>
      <c r="H54" s="173">
        <v>18.100835627358652</v>
      </c>
      <c r="I54" s="173">
        <v>18.140951145430702</v>
      </c>
      <c r="J54" s="173">
        <v>18.576916339157496</v>
      </c>
      <c r="K54" s="173">
        <v>17.439475226037665</v>
      </c>
      <c r="L54" s="173">
        <v>19.099803027467321</v>
      </c>
      <c r="M54" s="173">
        <v>18.233520436163609</v>
      </c>
      <c r="N54" s="173">
        <v>12.749555144590426</v>
      </c>
      <c r="O54" s="173">
        <v>14.46755128128251</v>
      </c>
      <c r="P54" s="173">
        <v>14.71588477135615</v>
      </c>
      <c r="Q54" s="173">
        <v>15.745543111208246</v>
      </c>
      <c r="R54" s="173">
        <v>16.560359840593183</v>
      </c>
      <c r="S54" s="173">
        <v>17.304594065181622</v>
      </c>
      <c r="T54" s="173">
        <v>17.514249616140329</v>
      </c>
      <c r="U54" s="173">
        <v>17.378431208353813</v>
      </c>
      <c r="V54" s="441">
        <v>17.351151141292526</v>
      </c>
      <c r="W54" s="173">
        <v>18.088202017589666</v>
      </c>
      <c r="X54" s="173">
        <v>18.555421851911511</v>
      </c>
      <c r="Y54" s="173">
        <v>17.845165161438768</v>
      </c>
      <c r="Z54" s="441">
        <v>17.29847623977447</v>
      </c>
      <c r="AA54" s="173">
        <v>20.913117163097237</v>
      </c>
      <c r="AB54" s="173">
        <v>18.999251677122771</v>
      </c>
      <c r="AC54" s="173">
        <v>19.783667271910904</v>
      </c>
      <c r="AD54" s="441">
        <v>20.272373051701564</v>
      </c>
      <c r="AE54" s="173">
        <v>20.658190003942906</v>
      </c>
      <c r="AF54" s="173">
        <v>21.582075648608352</v>
      </c>
      <c r="AG54" s="173">
        <v>21.222302880228813</v>
      </c>
      <c r="AH54" s="294"/>
      <c r="AI54" s="174"/>
      <c r="AJ54" s="174"/>
      <c r="AK54" s="1222"/>
      <c r="AL54" s="294"/>
      <c r="AM54" s="174"/>
      <c r="AN54" s="174"/>
      <c r="AO54" s="1222"/>
      <c r="AP54" s="294"/>
      <c r="AQ54" s="174"/>
      <c r="AR54" s="174"/>
      <c r="AS54" s="1222"/>
      <c r="AT54" s="110"/>
      <c r="AU54" s="164"/>
      <c r="AV54" s="164"/>
      <c r="AW54" s="164"/>
      <c r="AX54" s="164"/>
      <c r="AY54" s="164"/>
      <c r="AZ54" s="122"/>
      <c r="BA54" s="122"/>
      <c r="BB54" s="122"/>
      <c r="BC54" s="122"/>
      <c r="BD54" s="122"/>
      <c r="BE54" s="122"/>
      <c r="BF54" s="122"/>
      <c r="BG54" s="122"/>
      <c r="BH54" s="122"/>
      <c r="BI54" s="122"/>
      <c r="BJ54" s="122"/>
    </row>
    <row r="55" spans="1:80">
      <c r="A55" s="110"/>
      <c r="B55" s="383"/>
      <c r="C55" s="110"/>
      <c r="D55" s="110"/>
      <c r="E55" s="1171"/>
      <c r="F55" s="383"/>
      <c r="G55" s="110"/>
      <c r="H55" s="110"/>
      <c r="I55" s="1171"/>
      <c r="J55" s="110"/>
      <c r="K55" s="110"/>
      <c r="L55" s="110"/>
      <c r="M55" s="1171"/>
      <c r="N55" s="383"/>
      <c r="O55" s="110"/>
      <c r="P55" s="110"/>
      <c r="Q55" s="1171"/>
      <c r="R55" s="383"/>
      <c r="S55" s="110"/>
      <c r="T55" s="110"/>
      <c r="U55" s="1171"/>
      <c r="V55" s="383"/>
      <c r="W55" s="110"/>
      <c r="X55" s="110"/>
      <c r="Y55" s="1171"/>
      <c r="Z55" s="383"/>
      <c r="AA55" s="110"/>
      <c r="AB55" s="110"/>
      <c r="AC55" s="1171"/>
      <c r="AD55" s="383"/>
      <c r="AE55" s="110"/>
      <c r="AF55" s="110"/>
      <c r="AG55" s="1171"/>
      <c r="AH55" s="383"/>
      <c r="AI55" s="110"/>
      <c r="AJ55" s="110"/>
      <c r="AK55" s="1171"/>
      <c r="AL55" s="383"/>
      <c r="AM55" s="110"/>
      <c r="AN55" s="110"/>
      <c r="AO55" s="1171"/>
      <c r="AP55" s="383"/>
      <c r="AQ55" s="110"/>
      <c r="AR55" s="110"/>
      <c r="AS55" s="1171"/>
      <c r="AT55" s="110"/>
      <c r="AU55" s="110"/>
      <c r="AV55" s="110"/>
      <c r="AW55" s="110"/>
      <c r="AX55" s="110"/>
      <c r="AY55" s="110"/>
      <c r="AZ55" s="110"/>
      <c r="BA55" s="110"/>
      <c r="BB55" s="110"/>
      <c r="BC55" s="110"/>
      <c r="BD55" s="110"/>
      <c r="BE55" s="110"/>
      <c r="BF55" s="110"/>
      <c r="BG55" s="110"/>
      <c r="BH55" s="110"/>
      <c r="BI55" s="110"/>
      <c r="BJ55" s="110"/>
    </row>
    <row r="56" spans="1:80" ht="15" thickBot="1">
      <c r="A56" s="427" t="s">
        <v>338</v>
      </c>
      <c r="B56" s="428">
        <v>118.55746445497631</v>
      </c>
      <c r="C56" s="429">
        <f>'P&amp;L consol'!K5</f>
        <v>123.7129485179407</v>
      </c>
      <c r="D56" s="429">
        <f>'P&amp;L consol'!L5</f>
        <v>129.06782026234998</v>
      </c>
      <c r="E56" s="430">
        <f>'P&amp;L consol'!M5</f>
        <v>134.5121247113164</v>
      </c>
      <c r="F56" s="428">
        <f>'P&amp;L consol'!N5</f>
        <v>140.10218978102191</v>
      </c>
      <c r="G56" s="429">
        <f>'P&amp;L consol'!O5</f>
        <v>146.97141239739599</v>
      </c>
      <c r="H56" s="429">
        <f>'P&amp;L consol'!P5</f>
        <v>151.2470057770889</v>
      </c>
      <c r="I56" s="430">
        <f>'P&amp;L consol'!Q5</f>
        <v>154.80044655316775</v>
      </c>
      <c r="J56" s="429">
        <f>'P&amp;L consol'!R5</f>
        <v>139.9</v>
      </c>
      <c r="K56" s="429">
        <f>'P&amp;L consol'!S5</f>
        <v>154.9</v>
      </c>
      <c r="L56" s="429">
        <f>'P&amp;L consol'!T5</f>
        <v>160.80000000000001</v>
      </c>
      <c r="M56" s="430">
        <f>'P&amp;L consol'!U5</f>
        <v>172.1</v>
      </c>
      <c r="N56" s="429">
        <f>'P&amp;L consol'!V5</f>
        <v>199.7</v>
      </c>
      <c r="O56" s="429">
        <f>'P&amp;L consol'!W5</f>
        <v>212.8</v>
      </c>
      <c r="P56" s="429">
        <f>'P&amp;L consol'!X5</f>
        <v>221.6</v>
      </c>
      <c r="Q56" s="429">
        <f>'P&amp;L consol'!Y5</f>
        <v>232.4</v>
      </c>
      <c r="R56" s="428">
        <f>'P&amp;L consol'!Z5</f>
        <v>238.7</v>
      </c>
      <c r="S56" s="429">
        <f>'P&amp;L consol'!AA5</f>
        <v>246.9</v>
      </c>
      <c r="T56" s="429">
        <f>'P&amp;L consol'!AB5</f>
        <v>251.7</v>
      </c>
      <c r="U56" s="429">
        <f>'P&amp;L consol'!AC5</f>
        <v>264.39999999999998</v>
      </c>
      <c r="V56" s="428">
        <f>'P&amp;L consol'!AD5</f>
        <v>271.8</v>
      </c>
      <c r="W56" s="429">
        <f>'P&amp;L consol'!AE5</f>
        <v>278.10000000000002</v>
      </c>
      <c r="X56" s="429">
        <f>'P&amp;L consol'!AF5</f>
        <v>282</v>
      </c>
      <c r="Y56" s="429">
        <f>'P&amp;L consol'!AG5</f>
        <v>280.89999999999998</v>
      </c>
      <c r="Z56" s="428">
        <f>'P&amp;L consol'!AH5</f>
        <v>286.39999999999998</v>
      </c>
      <c r="AA56" s="429">
        <f>'P&amp;L consol'!AI5</f>
        <v>365.1</v>
      </c>
      <c r="AB56" s="429">
        <f>'P&amp;L consol'!AJ5</f>
        <v>390.5</v>
      </c>
      <c r="AC56" s="429">
        <f>'P&amp;L consol'!AK5</f>
        <v>403.5</v>
      </c>
      <c r="AD56" s="428">
        <f>'P&amp;L consol'!AL5</f>
        <v>442.4</v>
      </c>
      <c r="AE56" s="429">
        <f>'P&amp;L consol'!AM5</f>
        <v>462.1</v>
      </c>
      <c r="AF56" s="429">
        <f>'P&amp;L consol'!AN5</f>
        <v>480.9</v>
      </c>
      <c r="AG56" s="429">
        <f>'P&amp;L consol'!AO5</f>
        <v>489.1</v>
      </c>
      <c r="AH56" s="433">
        <f t="shared" ref="AH56:AK56" si="0">AH133</f>
        <v>587.79847726959997</v>
      </c>
      <c r="AI56" s="431">
        <f t="shared" si="0"/>
        <v>661.15922072576643</v>
      </c>
      <c r="AJ56" s="431">
        <f t="shared" si="0"/>
        <v>687.08675473329708</v>
      </c>
      <c r="AK56" s="432">
        <f t="shared" si="0"/>
        <v>715.39789442347501</v>
      </c>
      <c r="AL56" s="433">
        <f>AL133</f>
        <v>751.81100500410946</v>
      </c>
      <c r="AM56" s="431">
        <f t="shared" ref="AM56:AO56" si="1">AM133</f>
        <v>773.8473514097625</v>
      </c>
      <c r="AN56" s="431">
        <f t="shared" si="1"/>
        <v>797.11707527610292</v>
      </c>
      <c r="AO56" s="432">
        <f t="shared" si="1"/>
        <v>819.10477373451442</v>
      </c>
      <c r="AP56" s="433">
        <f t="shared" ref="AP56:AS56" si="2">AP133</f>
        <v>869.12452403178838</v>
      </c>
      <c r="AQ56" s="431">
        <f t="shared" si="2"/>
        <v>895.16418868865685</v>
      </c>
      <c r="AR56" s="431">
        <f t="shared" si="2"/>
        <v>928.11374952801896</v>
      </c>
      <c r="AS56" s="432">
        <f t="shared" si="2"/>
        <v>959.307144235838</v>
      </c>
      <c r="AT56" s="126"/>
      <c r="AU56" s="129"/>
      <c r="AV56" s="404"/>
      <c r="AW56" s="404"/>
      <c r="AX56" s="404"/>
      <c r="AY56" s="404"/>
      <c r="AZ56" s="404">
        <f>SUM(B56:E56)</f>
        <v>505.85035794658342</v>
      </c>
      <c r="BA56" s="404">
        <f>SUM(F56:I56)</f>
        <v>593.12105450867455</v>
      </c>
      <c r="BB56" s="404">
        <f>SUM(J56:M56)</f>
        <v>627.70000000000005</v>
      </c>
      <c r="BC56" s="404">
        <f>SUM(N56:Q56)</f>
        <v>866.5</v>
      </c>
      <c r="BD56" s="404">
        <f>SUM(R56:U56)</f>
        <v>1001.6999999999999</v>
      </c>
      <c r="BE56" s="404">
        <f>SUM(V56:Y56)</f>
        <v>1112.8000000000002</v>
      </c>
      <c r="BF56" s="404">
        <f>SUM(Z56:AC56)</f>
        <v>1445.5</v>
      </c>
      <c r="BG56" s="404">
        <f>SUM(AD56:AG56)</f>
        <v>1874.5</v>
      </c>
      <c r="BH56" s="404">
        <f>SUM(AH56:AK56)</f>
        <v>2651.4423471521386</v>
      </c>
      <c r="BI56" s="404">
        <f>SUM(AL56:AO56)</f>
        <v>3141.8802054244888</v>
      </c>
      <c r="BJ56" s="404">
        <f>SUM(AP56:AS56)</f>
        <v>3651.7096064843026</v>
      </c>
      <c r="BL56" s="267">
        <f>((BJ56/AG137)^(1/3))-1</f>
        <v>0.13850845085106922</v>
      </c>
    </row>
    <row r="57" spans="1:80">
      <c r="A57" s="147" t="s">
        <v>332</v>
      </c>
      <c r="B57" s="379" t="e">
        <v>#DIV/0!</v>
      </c>
      <c r="C57" s="171">
        <f t="shared" ref="C57:S57" si="3">C56/B56-1</f>
        <v>4.3485107299357395E-2</v>
      </c>
      <c r="D57" s="171">
        <f t="shared" si="3"/>
        <v>4.3284650544342274E-2</v>
      </c>
      <c r="E57" s="1223">
        <f t="shared" si="3"/>
        <v>4.2181733896954565E-2</v>
      </c>
      <c r="F57" s="379">
        <f t="shared" si="3"/>
        <v>4.1558075762334612E-2</v>
      </c>
      <c r="G57" s="171">
        <f t="shared" si="3"/>
        <v>4.9030087446246151E-2</v>
      </c>
      <c r="H57" s="171">
        <f t="shared" si="3"/>
        <v>2.9091326741367496E-2</v>
      </c>
      <c r="I57" s="1223">
        <f t="shared" si="3"/>
        <v>2.3494288417953646E-2</v>
      </c>
      <c r="J57" s="171">
        <f t="shared" si="3"/>
        <v>-9.6255837014333379E-2</v>
      </c>
      <c r="K57" s="171">
        <f t="shared" si="3"/>
        <v>0.10721944245889925</v>
      </c>
      <c r="L57" s="171">
        <f t="shared" si="3"/>
        <v>3.808908973531322E-2</v>
      </c>
      <c r="M57" s="1223">
        <f t="shared" si="3"/>
        <v>7.0273631840795936E-2</v>
      </c>
      <c r="N57" s="171">
        <f t="shared" si="3"/>
        <v>0.16037187681580467</v>
      </c>
      <c r="O57" s="171">
        <f t="shared" si="3"/>
        <v>6.5598397596394742E-2</v>
      </c>
      <c r="P57" s="171">
        <f t="shared" si="3"/>
        <v>4.1353383458646586E-2</v>
      </c>
      <c r="Q57" s="171">
        <f t="shared" si="3"/>
        <v>4.8736462093862842E-2</v>
      </c>
      <c r="R57" s="379">
        <f t="shared" si="3"/>
        <v>2.7108433734939652E-2</v>
      </c>
      <c r="S57" s="171">
        <f t="shared" si="3"/>
        <v>3.4352744030163418E-2</v>
      </c>
      <c r="T57" s="171">
        <f t="shared" ref="T57:AE57" si="4">T56/S56-1</f>
        <v>1.9441069258809174E-2</v>
      </c>
      <c r="U57" s="171">
        <f t="shared" si="4"/>
        <v>5.0456893126738178E-2</v>
      </c>
      <c r="V57" s="379">
        <f t="shared" si="4"/>
        <v>2.7987897125567374E-2</v>
      </c>
      <c r="W57" s="171">
        <f t="shared" si="4"/>
        <v>2.3178807947019875E-2</v>
      </c>
      <c r="X57" s="171">
        <f t="shared" si="4"/>
        <v>1.4023732470334282E-2</v>
      </c>
      <c r="Y57" s="171">
        <f t="shared" si="4"/>
        <v>-3.9007092198581894E-3</v>
      </c>
      <c r="Z57" s="379">
        <f t="shared" si="4"/>
        <v>1.9579921680313195E-2</v>
      </c>
      <c r="AA57" s="171">
        <f t="shared" si="4"/>
        <v>0.2747905027932962</v>
      </c>
      <c r="AB57" s="171">
        <f t="shared" si="4"/>
        <v>6.9569980827170586E-2</v>
      </c>
      <c r="AC57" s="171">
        <f t="shared" si="4"/>
        <v>3.3290653008962945E-2</v>
      </c>
      <c r="AD57" s="379">
        <f t="shared" si="4"/>
        <v>9.6406443618339388E-2</v>
      </c>
      <c r="AE57" s="171">
        <f t="shared" si="4"/>
        <v>4.4529837251356286E-2</v>
      </c>
      <c r="AF57" s="171">
        <f t="shared" ref="AF57" si="5">AF56/AE56-1</f>
        <v>4.0683834667820662E-2</v>
      </c>
      <c r="AG57" s="171">
        <f t="shared" ref="AG57" si="6">AG56/AF56-1</f>
        <v>1.7051362029528061E-2</v>
      </c>
      <c r="AH57" s="379">
        <f>AH56/AG56-1</f>
        <v>0.20179610973134321</v>
      </c>
      <c r="AI57" s="171">
        <f>AI56/AH56-1</f>
        <v>0.12480594335142992</v>
      </c>
      <c r="AJ57" s="171">
        <f t="shared" ref="AJ57" si="7">AJ56/AI56-1</f>
        <v>3.9215264938859296E-2</v>
      </c>
      <c r="AK57" s="1223">
        <f t="shared" ref="AK57" si="8">AK56/AJ56-1</f>
        <v>4.1204606980332903E-2</v>
      </c>
      <c r="AL57" s="379">
        <f t="shared" ref="AL57" si="9">AL56/AK56-1</f>
        <v>5.0899102254108541E-2</v>
      </c>
      <c r="AM57" s="171">
        <f t="shared" ref="AM57" si="10">AM56/AL56-1</f>
        <v>2.9311018672216083E-2</v>
      </c>
      <c r="AN57" s="171">
        <f t="shared" ref="AN57" si="11">AN56/AM56-1</f>
        <v>3.0070173172976E-2</v>
      </c>
      <c r="AO57" s="1223">
        <f t="shared" ref="AO57" si="12">AO56/AN56-1</f>
        <v>2.7584026412676543E-2</v>
      </c>
      <c r="AP57" s="379">
        <f t="shared" ref="AP57" si="13">AP56/AO56-1</f>
        <v>6.1066364036948206E-2</v>
      </c>
      <c r="AQ57" s="171">
        <f t="shared" ref="AQ57" si="14">AQ56/AP56-1</f>
        <v>2.9960798409039091E-2</v>
      </c>
      <c r="AR57" s="171">
        <f t="shared" ref="AR57" si="15">AR56/AQ56-1</f>
        <v>3.6808399236379907E-2</v>
      </c>
      <c r="AS57" s="1223">
        <f t="shared" ref="AS57" si="16">AS56/AR56-1</f>
        <v>3.3609452207428392E-2</v>
      </c>
      <c r="AT57" s="147"/>
      <c r="AU57" s="129"/>
      <c r="AV57" s="129"/>
      <c r="AW57" s="129"/>
      <c r="AX57" s="129"/>
      <c r="AY57" s="57"/>
      <c r="AZ57" s="57"/>
      <c r="BA57" s="57">
        <f t="shared" ref="BA57:BC57" si="17">BA56/AZ56-1</f>
        <v>0.17252275340152412</v>
      </c>
      <c r="BB57" s="57">
        <f t="shared" si="17"/>
        <v>5.829997979075241E-2</v>
      </c>
      <c r="BC57" s="57">
        <f t="shared" si="17"/>
        <v>0.38043651425840364</v>
      </c>
      <c r="BD57" s="57">
        <f>BD56/BC56-1</f>
        <v>0.15603000577034032</v>
      </c>
      <c r="BE57" s="57">
        <f t="shared" ref="BE57:BJ57" si="18">BE56/BD56-1</f>
        <v>0.11091145053409224</v>
      </c>
      <c r="BF57" s="57">
        <f t="shared" si="18"/>
        <v>0.29897555715312696</v>
      </c>
      <c r="BG57" s="57">
        <f t="shared" si="18"/>
        <v>0.29678312002767204</v>
      </c>
      <c r="BH57" s="57">
        <f t="shared" si="18"/>
        <v>0.41447977975574202</v>
      </c>
      <c r="BI57" s="57">
        <f t="shared" si="18"/>
        <v>0.18497021396641711</v>
      </c>
      <c r="BJ57" s="57">
        <f t="shared" si="18"/>
        <v>0.16226888605733225</v>
      </c>
    </row>
    <row r="58" spans="1:80">
      <c r="A58" s="405" t="s">
        <v>339</v>
      </c>
      <c r="B58" s="383"/>
      <c r="C58" s="110"/>
      <c r="D58" s="110"/>
      <c r="E58" s="1171"/>
      <c r="F58" s="171"/>
      <c r="G58" s="171"/>
      <c r="H58" s="171"/>
      <c r="I58" s="1223"/>
      <c r="J58" s="171">
        <f t="shared" ref="J58" si="19">J56/F56-1</f>
        <v>-1.4431593206210014E-3</v>
      </c>
      <c r="K58" s="171">
        <f t="shared" ref="K58" si="20">K56/G56-1</f>
        <v>5.3946461242176058E-2</v>
      </c>
      <c r="L58" s="171">
        <f t="shared" ref="L58" si="21">L56/H56-1</f>
        <v>6.3161542761319245E-2</v>
      </c>
      <c r="M58" s="1223">
        <f t="shared" ref="M58" si="22">M56/I56-1</f>
        <v>0.11175389885513387</v>
      </c>
      <c r="N58" s="171">
        <f t="shared" ref="N58" si="23">N56/J56-1</f>
        <v>0.42744817726947804</v>
      </c>
      <c r="O58" s="171">
        <f t="shared" ref="O58" si="24">O56/K56-1</f>
        <v>0.37378954163976763</v>
      </c>
      <c r="P58" s="171">
        <f t="shared" ref="P58" si="25">P56/L56-1</f>
        <v>0.37810945273631824</v>
      </c>
      <c r="Q58" s="1223">
        <f t="shared" ref="Q58" si="26">Q56/M56-1</f>
        <v>0.3503776873910518</v>
      </c>
      <c r="R58" s="171">
        <f t="shared" ref="R58:S58" si="27">R56/N56-1</f>
        <v>0.19529293940911363</v>
      </c>
      <c r="S58" s="171">
        <f t="shared" si="27"/>
        <v>0.16024436090225569</v>
      </c>
      <c r="T58" s="171">
        <f t="shared" ref="T58" si="28">T56/P56-1</f>
        <v>0.13583032490974722</v>
      </c>
      <c r="U58" s="1223">
        <f t="shared" ref="U58:AE58" si="29">U56/Q56-1</f>
        <v>0.13769363166953519</v>
      </c>
      <c r="V58" s="171">
        <f t="shared" si="29"/>
        <v>0.13866778382907419</v>
      </c>
      <c r="W58" s="171">
        <f t="shared" si="29"/>
        <v>0.12636695018226018</v>
      </c>
      <c r="X58" s="171">
        <f t="shared" si="29"/>
        <v>0.12038140643623363</v>
      </c>
      <c r="Y58" s="171">
        <f t="shared" si="29"/>
        <v>6.2405446293494649E-2</v>
      </c>
      <c r="Z58" s="171">
        <f t="shared" si="29"/>
        <v>5.371596762325237E-2</v>
      </c>
      <c r="AA58" s="171">
        <f t="shared" si="29"/>
        <v>0.31283710895361372</v>
      </c>
      <c r="AB58" s="171">
        <f t="shared" si="29"/>
        <v>0.38475177304964547</v>
      </c>
      <c r="AC58" s="171">
        <f t="shared" si="29"/>
        <v>0.43645425418298345</v>
      </c>
      <c r="AD58" s="379">
        <f t="shared" si="29"/>
        <v>0.54469273743016755</v>
      </c>
      <c r="AE58" s="171">
        <f t="shared" si="29"/>
        <v>0.26568063544234444</v>
      </c>
      <c r="AF58" s="171">
        <f t="shared" ref="AF58" si="30">AF56/AB56-1</f>
        <v>0.23149807938540334</v>
      </c>
      <c r="AG58" s="171">
        <f t="shared" ref="AG58" si="31">AG56/AC56-1</f>
        <v>0.21214374225526655</v>
      </c>
      <c r="AH58" s="379">
        <f t="shared" ref="AH58" si="32">AH56/AD56-1</f>
        <v>0.32865840250813738</v>
      </c>
      <c r="AI58" s="171">
        <f t="shared" ref="AI58" si="33">AI56/AE56-1</f>
        <v>0.43077087367618794</v>
      </c>
      <c r="AJ58" s="171">
        <f t="shared" ref="AJ58" si="34">AJ56/AF56-1</f>
        <v>0.42875182934767553</v>
      </c>
      <c r="AK58" s="1223">
        <f t="shared" ref="AK58" si="35">AK56/AG56-1</f>
        <v>0.46268226216208341</v>
      </c>
      <c r="AL58" s="379">
        <f t="shared" ref="AL58" si="36">AL56/AH56-1</f>
        <v>0.27902850054387507</v>
      </c>
      <c r="AM58" s="171">
        <f t="shared" ref="AM58" si="37">AM56/AI56-1</f>
        <v>0.17044023156826915</v>
      </c>
      <c r="AN58" s="171">
        <f t="shared" ref="AN58" si="38">AN56/AJ56-1</f>
        <v>0.1601403604200109</v>
      </c>
      <c r="AO58" s="1223">
        <f t="shared" ref="AO58" si="39">AO56/AK56-1</f>
        <v>0.14496391465425651</v>
      </c>
      <c r="AP58" s="379">
        <f t="shared" ref="AP58" si="40">AP56/AL56-1</f>
        <v>0.15604123675608839</v>
      </c>
      <c r="AQ58" s="171">
        <f t="shared" ref="AQ58" si="41">AQ56/AM56-1</f>
        <v>0.15677101828659668</v>
      </c>
      <c r="AR58" s="171">
        <f t="shared" ref="AR58" si="42">AR56/AN56-1</f>
        <v>0.16433806063750644</v>
      </c>
      <c r="AS58" s="1223">
        <f t="shared" ref="AS58" si="43">AS56/AO56-1</f>
        <v>0.17116536857928932</v>
      </c>
      <c r="AT58" s="147"/>
      <c r="AU58" s="129"/>
      <c r="AV58" s="129"/>
      <c r="AW58" s="129"/>
      <c r="AX58" s="129"/>
      <c r="AY58" s="57"/>
      <c r="AZ58" s="57"/>
      <c r="BA58" s="57"/>
      <c r="BB58" s="57"/>
      <c r="BC58" s="57"/>
      <c r="BD58" s="57"/>
      <c r="BE58" s="57"/>
      <c r="BF58" s="57"/>
      <c r="BG58" s="57"/>
      <c r="BH58" s="57"/>
      <c r="BI58" s="57"/>
      <c r="BJ58" s="57"/>
    </row>
    <row r="59" spans="1:80">
      <c r="A59" s="110"/>
      <c r="B59" s="383"/>
      <c r="C59" s="110"/>
      <c r="D59" s="110"/>
      <c r="E59" s="1171"/>
      <c r="F59" s="383"/>
      <c r="G59" s="110"/>
      <c r="H59" s="110"/>
      <c r="I59" s="1171"/>
      <c r="J59" s="110"/>
      <c r="K59" s="110"/>
      <c r="L59" s="110"/>
      <c r="M59" s="1171"/>
      <c r="N59" s="110"/>
      <c r="O59" s="110"/>
      <c r="P59" s="110"/>
      <c r="Q59" s="1171"/>
      <c r="R59" s="383"/>
      <c r="S59" s="110"/>
      <c r="T59" s="110"/>
      <c r="U59" s="1171"/>
      <c r="V59" s="383"/>
      <c r="W59" s="110"/>
      <c r="X59" s="110"/>
      <c r="Y59" s="110"/>
      <c r="Z59" s="383"/>
      <c r="AA59" s="110"/>
      <c r="AB59" s="110"/>
      <c r="AC59" s="110"/>
      <c r="AD59" s="383"/>
      <c r="AE59" s="110"/>
      <c r="AF59" s="110"/>
      <c r="AG59" s="110"/>
      <c r="AH59" s="383"/>
      <c r="AI59" s="110"/>
      <c r="AJ59" s="110"/>
      <c r="AK59" s="1171"/>
      <c r="AL59" s="383"/>
      <c r="AM59" s="110"/>
      <c r="AN59" s="110"/>
      <c r="AO59" s="1171"/>
      <c r="AP59" s="383"/>
      <c r="AQ59" s="110"/>
      <c r="AR59" s="110"/>
      <c r="AS59" s="1171"/>
      <c r="AT59" s="110"/>
      <c r="AU59" s="122"/>
      <c r="AV59" s="57"/>
      <c r="AW59" s="57"/>
      <c r="AX59" s="57"/>
      <c r="AY59" s="57"/>
      <c r="AZ59" s="57"/>
      <c r="BA59" s="57"/>
      <c r="BB59" s="57"/>
      <c r="BC59" s="57"/>
      <c r="BD59" s="57"/>
      <c r="BE59" s="57"/>
      <c r="BF59" s="57"/>
      <c r="BG59" s="57"/>
      <c r="BH59" s="57"/>
      <c r="BI59" s="57"/>
      <c r="BJ59" s="57"/>
    </row>
    <row r="60" spans="1:80">
      <c r="A60" s="126" t="s">
        <v>340</v>
      </c>
      <c r="B60" s="383"/>
      <c r="C60" s="110"/>
      <c r="D60" s="110"/>
      <c r="E60" s="388">
        <f t="shared" ref="E60:AD60" si="44">D56*(1+E61%)</f>
        <v>130.74570192576053</v>
      </c>
      <c r="F60" s="389">
        <f t="shared" si="44"/>
        <v>139.89260969976905</v>
      </c>
      <c r="G60" s="388">
        <f t="shared" si="44"/>
        <v>145.84637956204381</v>
      </c>
      <c r="H60" s="388">
        <f t="shared" si="44"/>
        <v>149.91084064534391</v>
      </c>
      <c r="I60" s="1224">
        <f t="shared" si="44"/>
        <v>155.78441595040158</v>
      </c>
      <c r="J60" s="388">
        <f t="shared" si="44"/>
        <v>144.27401618755232</v>
      </c>
      <c r="K60" s="388">
        <f t="shared" si="44"/>
        <v>151.2319</v>
      </c>
      <c r="L60" s="388">
        <f t="shared" si="44"/>
        <v>160.01169999999999</v>
      </c>
      <c r="M60" s="1224">
        <f t="shared" si="44"/>
        <v>169.0008</v>
      </c>
      <c r="N60" s="388">
        <f t="shared" si="44"/>
        <v>184.14699999999999</v>
      </c>
      <c r="O60" s="388">
        <f t="shared" si="44"/>
        <v>207.48829999999998</v>
      </c>
      <c r="P60" s="388">
        <f t="shared" si="44"/>
        <v>224.92959999999999</v>
      </c>
      <c r="Q60" s="388">
        <f t="shared" si="44"/>
        <v>232.68</v>
      </c>
      <c r="R60" s="389">
        <f t="shared" si="44"/>
        <v>243.3228</v>
      </c>
      <c r="S60" s="388">
        <f t="shared" si="44"/>
        <v>253.49940000000001</v>
      </c>
      <c r="T60" s="388">
        <f t="shared" si="44"/>
        <v>256.03530000000001</v>
      </c>
      <c r="U60" s="388">
        <f t="shared" si="44"/>
        <v>263.5299</v>
      </c>
      <c r="V60" s="389">
        <f>U56*(1+V61%)</f>
        <v>271.53879999999998</v>
      </c>
      <c r="W60" s="388">
        <f t="shared" si="44"/>
        <v>278.0514</v>
      </c>
      <c r="X60" s="388">
        <f t="shared" si="44"/>
        <v>283.10580000000004</v>
      </c>
      <c r="Y60" s="388">
        <f t="shared" si="44"/>
        <v>287.35799999999995</v>
      </c>
      <c r="Z60" s="389">
        <f t="shared" si="44"/>
        <v>285.39439999999996</v>
      </c>
      <c r="AA60" s="388">
        <f t="shared" si="44"/>
        <v>361.72319999999996</v>
      </c>
      <c r="AB60" s="388">
        <f t="shared" si="44"/>
        <v>395.76840000000004</v>
      </c>
      <c r="AC60" s="388">
        <f t="shared" si="44"/>
        <v>403.77699999999999</v>
      </c>
      <c r="AD60" s="389">
        <f t="shared" si="44"/>
        <v>435.78000000000003</v>
      </c>
      <c r="AE60" s="388">
        <f>AD56*(1+AE61%)</f>
        <v>468.50159999999994</v>
      </c>
      <c r="AF60" s="388">
        <f t="shared" ref="AF60" si="45">AE56*(1+AF61%)</f>
        <v>482.43240000000003</v>
      </c>
      <c r="AG60" s="388">
        <f t="shared" ref="AG60" si="46">AF56*(1+AG61%)</f>
        <v>490.51799999999997</v>
      </c>
      <c r="AH60" s="621">
        <f>AH56+AH65</f>
        <v>587.79847726959997</v>
      </c>
      <c r="AI60" s="620">
        <f t="shared" ref="AI60:AK60" si="47">AI56+AI65</f>
        <v>661.15922072576643</v>
      </c>
      <c r="AJ60" s="620">
        <f t="shared" si="47"/>
        <v>687.08675473329708</v>
      </c>
      <c r="AK60" s="1225">
        <f t="shared" si="47"/>
        <v>715.39789442347501</v>
      </c>
      <c r="AL60" s="621">
        <f t="shared" ref="AL60:AO60" si="48">AL56+AL65</f>
        <v>751.81100500410946</v>
      </c>
      <c r="AM60" s="620">
        <f t="shared" si="48"/>
        <v>773.8473514097625</v>
      </c>
      <c r="AN60" s="620">
        <f t="shared" si="48"/>
        <v>797.11707527610292</v>
      </c>
      <c r="AO60" s="1225">
        <f t="shared" si="48"/>
        <v>819.10477373451442</v>
      </c>
      <c r="AP60" s="621">
        <f t="shared" ref="AP60:AS60" si="49">AP56+AP65</f>
        <v>869.12452403178838</v>
      </c>
      <c r="AQ60" s="620">
        <f t="shared" si="49"/>
        <v>895.16418868865685</v>
      </c>
      <c r="AR60" s="620">
        <f t="shared" si="49"/>
        <v>928.11374952801896</v>
      </c>
      <c r="AS60" s="1225">
        <f t="shared" si="49"/>
        <v>959.307144235838</v>
      </c>
      <c r="AT60" s="110"/>
      <c r="AU60" s="122"/>
      <c r="AV60" s="57"/>
      <c r="AW60" s="57"/>
      <c r="AX60" s="57"/>
      <c r="AY60" s="57"/>
      <c r="AZ60" s="57"/>
      <c r="BA60" s="57"/>
      <c r="BB60" s="57"/>
      <c r="BC60" s="57"/>
      <c r="BD60" s="523">
        <f>BC56*1.22</f>
        <v>1057.1299999999999</v>
      </c>
      <c r="BE60" s="57"/>
      <c r="BF60" s="934">
        <f>SUM(Z60:AC60)</f>
        <v>1446.663</v>
      </c>
      <c r="BG60" s="934">
        <f>SUM(AD60:AG60)</f>
        <v>1877.232</v>
      </c>
      <c r="BH60" s="57"/>
      <c r="BI60" s="57"/>
      <c r="BJ60" s="57"/>
    </row>
    <row r="61" spans="1:80">
      <c r="A61" s="147" t="s">
        <v>341</v>
      </c>
      <c r="B61" s="384"/>
      <c r="C61" s="385"/>
      <c r="D61" s="385"/>
      <c r="E61" s="386">
        <f>'Operating Metrics'!E18</f>
        <v>1.3</v>
      </c>
      <c r="F61" s="387">
        <f>'Operating Metrics'!F18</f>
        <v>4</v>
      </c>
      <c r="G61" s="386">
        <f>'Operating Metrics'!G18</f>
        <v>4.0999999999999996</v>
      </c>
      <c r="H61" s="386">
        <f>'Operating Metrics'!H18</f>
        <v>2</v>
      </c>
      <c r="I61" s="1226">
        <f>'Operating Metrics'!I18</f>
        <v>3</v>
      </c>
      <c r="J61" s="385">
        <f>'Operating Metrics'!J18</f>
        <v>-6.8</v>
      </c>
      <c r="K61" s="385">
        <f>'Operating Metrics'!K18</f>
        <v>8.1</v>
      </c>
      <c r="L61" s="385">
        <f>'Operating Metrics'!L18</f>
        <v>3.3</v>
      </c>
      <c r="M61" s="1227">
        <f>'Operating Metrics'!M18</f>
        <v>5.0999999999999996</v>
      </c>
      <c r="N61" s="386">
        <f>'Operating Metrics'!N18</f>
        <v>7</v>
      </c>
      <c r="O61" s="385">
        <f>'Operating Metrics'!O18</f>
        <v>3.9</v>
      </c>
      <c r="P61" s="385">
        <f>'Operating Metrics'!P18</f>
        <v>5.7</v>
      </c>
      <c r="Q61" s="386">
        <f>'Operating Metrics'!Q18</f>
        <v>5</v>
      </c>
      <c r="R61" s="384">
        <f>'Operating Metrics'!R18</f>
        <v>4.7</v>
      </c>
      <c r="S61" s="385">
        <f>'Operating Metrics'!S18</f>
        <v>6.2</v>
      </c>
      <c r="T61" s="385">
        <f>'Operating Metrics'!T18</f>
        <v>3.7</v>
      </c>
      <c r="U61" s="386">
        <v>4.7</v>
      </c>
      <c r="V61" s="384">
        <f>'Operating Metrics'!V18</f>
        <v>2.7</v>
      </c>
      <c r="W61" s="385">
        <f>'Operating Metrics'!W18</f>
        <v>2.2999999999999998</v>
      </c>
      <c r="X61" s="385">
        <f>'Operating Metrics'!X18</f>
        <v>1.8</v>
      </c>
      <c r="Y61" s="385">
        <f>'Operating Metrics'!Y18</f>
        <v>1.9</v>
      </c>
      <c r="Z61" s="384">
        <f>'Operating Metrics'!Z18</f>
        <v>1.6</v>
      </c>
      <c r="AA61" s="385">
        <f>'Operating Metrics'!AA18</f>
        <v>26.3</v>
      </c>
      <c r="AB61" s="385">
        <f>'Operating Metrics'!AB18</f>
        <v>8.4</v>
      </c>
      <c r="AC61" s="385">
        <f>'Operating Metrics'!AC18</f>
        <v>3.4</v>
      </c>
      <c r="AD61" s="652">
        <f>'Operating Metrics'!AD18</f>
        <v>8</v>
      </c>
      <c r="AE61" s="912">
        <f>'Operating Metrics'!AE18</f>
        <v>5.9</v>
      </c>
      <c r="AF61" s="385">
        <f>'Operating Metrics'!AF18</f>
        <v>4.4000000000000004</v>
      </c>
      <c r="AG61" s="385">
        <f>'Operating Metrics'!AG18</f>
        <v>2</v>
      </c>
      <c r="AH61" s="512">
        <f t="shared" ref="AH61:AK61" si="50">(AH60/AG56-1)*100</f>
        <v>20.17961097313432</v>
      </c>
      <c r="AI61" s="511">
        <f t="shared" si="50"/>
        <v>12.480594335142992</v>
      </c>
      <c r="AJ61" s="511">
        <f t="shared" si="50"/>
        <v>3.9215264938859296</v>
      </c>
      <c r="AK61" s="1228">
        <f t="shared" si="50"/>
        <v>4.1204606980332903</v>
      </c>
      <c r="AL61" s="512">
        <f t="shared" ref="AL61" si="51">(AL60/AK56-1)*100</f>
        <v>5.0899102254108541</v>
      </c>
      <c r="AM61" s="511">
        <f t="shared" ref="AM61" si="52">(AM60/AL56-1)*100</f>
        <v>2.9311018672216083</v>
      </c>
      <c r="AN61" s="511">
        <f t="shared" ref="AN61" si="53">(AN60/AM56-1)*100</f>
        <v>3.0070173172976</v>
      </c>
      <c r="AO61" s="1228">
        <f t="shared" ref="AO61" si="54">(AO60/AN56-1)*100</f>
        <v>2.7584026412676543</v>
      </c>
      <c r="AP61" s="512">
        <f t="shared" ref="AP61" si="55">(AP60/AO56-1)*100</f>
        <v>6.1066364036948206</v>
      </c>
      <c r="AQ61" s="511">
        <f t="shared" ref="AQ61" si="56">(AQ60/AP56-1)*100</f>
        <v>2.9960798409039091</v>
      </c>
      <c r="AR61" s="511">
        <f t="shared" ref="AR61" si="57">(AR60/AQ56-1)*100</f>
        <v>3.6808399236379907</v>
      </c>
      <c r="AS61" s="1228">
        <f t="shared" ref="AS61" si="58">(AS60/AR56-1)*100</f>
        <v>3.3609452207428392</v>
      </c>
      <c r="AT61" s="110"/>
      <c r="AU61" s="122"/>
      <c r="AV61" s="57"/>
      <c r="AW61" s="57"/>
      <c r="AX61" s="57"/>
      <c r="AY61" s="57"/>
      <c r="AZ61" s="57"/>
      <c r="BA61" s="57"/>
      <c r="BB61" s="57"/>
      <c r="BC61" s="57"/>
      <c r="BD61" s="57">
        <f>BD60/BC56-1</f>
        <v>0.21999999999999997</v>
      </c>
      <c r="BE61" s="57"/>
      <c r="BF61" s="57"/>
      <c r="BG61" s="57">
        <f>BG60/BF56-1</f>
        <v>0.29867312348668285</v>
      </c>
      <c r="BH61" s="57"/>
      <c r="BI61" s="57"/>
      <c r="BJ61" s="57"/>
    </row>
    <row r="62" spans="1:80">
      <c r="A62" s="147" t="s">
        <v>342</v>
      </c>
      <c r="B62" s="385"/>
      <c r="C62" s="385"/>
      <c r="D62" s="385"/>
      <c r="E62" s="386"/>
      <c r="F62" s="386"/>
      <c r="G62" s="386"/>
      <c r="H62" s="386"/>
      <c r="I62" s="386"/>
      <c r="J62" s="385"/>
      <c r="K62" s="385"/>
      <c r="L62" s="385"/>
      <c r="M62" s="385"/>
      <c r="N62" s="386"/>
      <c r="O62" s="385"/>
      <c r="P62" s="385"/>
      <c r="Q62" s="386"/>
      <c r="R62" s="385"/>
      <c r="S62" s="385"/>
      <c r="T62" s="385"/>
      <c r="U62" s="386"/>
      <c r="V62" s="385"/>
      <c r="W62" s="385"/>
      <c r="X62" s="385"/>
      <c r="Y62" s="385"/>
      <c r="Z62" s="385"/>
      <c r="AA62" s="385"/>
      <c r="AB62" s="511"/>
      <c r="AC62" s="511"/>
      <c r="AD62" s="512"/>
      <c r="AE62" s="622"/>
      <c r="AF62" s="511"/>
      <c r="AG62" s="511"/>
      <c r="AH62" s="512"/>
      <c r="AI62" s="511"/>
      <c r="AJ62" s="511"/>
      <c r="AK62" s="1228"/>
      <c r="AL62" s="512"/>
      <c r="AM62" s="511"/>
      <c r="AN62" s="511"/>
      <c r="AO62" s="1228"/>
      <c r="AP62" s="512"/>
      <c r="AQ62" s="511"/>
      <c r="AR62" s="511"/>
      <c r="AS62" s="1228"/>
      <c r="AT62" s="110"/>
      <c r="AU62" s="122"/>
      <c r="AV62" s="57"/>
      <c r="AW62" s="57"/>
      <c r="AX62" s="57"/>
      <c r="AY62" s="57"/>
      <c r="AZ62" s="57"/>
      <c r="BA62" s="57"/>
      <c r="BB62" s="57"/>
      <c r="BC62" s="57"/>
      <c r="BD62" s="57"/>
      <c r="BE62" s="57"/>
      <c r="BF62" s="57"/>
      <c r="BG62" s="57"/>
      <c r="BH62" s="57"/>
      <c r="BI62" s="57"/>
      <c r="BJ62" s="57"/>
    </row>
    <row r="63" spans="1:80">
      <c r="A63" s="147"/>
      <c r="B63" s="385"/>
      <c r="C63" s="385"/>
      <c r="D63" s="385"/>
      <c r="E63" s="385"/>
      <c r="F63" s="385"/>
      <c r="G63" s="385"/>
      <c r="H63" s="385"/>
      <c r="I63" s="385"/>
      <c r="J63" s="385"/>
      <c r="K63" s="385"/>
      <c r="L63" s="385"/>
      <c r="M63" s="385"/>
      <c r="N63" s="385"/>
      <c r="O63" s="385"/>
      <c r="P63" s="385"/>
      <c r="Q63" s="385"/>
      <c r="R63" s="386"/>
      <c r="S63" s="385"/>
      <c r="T63" s="385"/>
      <c r="U63" s="1226"/>
      <c r="V63" s="386"/>
      <c r="W63" s="385"/>
      <c r="X63" s="385"/>
      <c r="Y63" s="1226"/>
      <c r="Z63" s="386"/>
      <c r="AA63" s="385"/>
      <c r="AB63" s="385"/>
      <c r="AC63" s="385"/>
      <c r="AD63" s="387"/>
      <c r="AE63" s="386"/>
      <c r="AF63" s="110"/>
      <c r="AG63" s="385"/>
      <c r="AH63" s="383"/>
      <c r="AI63" s="110"/>
      <c r="AJ63" s="110"/>
      <c r="AK63" s="1171"/>
      <c r="AL63" s="383"/>
      <c r="AM63" s="110"/>
      <c r="AN63" s="110"/>
      <c r="AO63" s="1171"/>
      <c r="AP63" s="383"/>
      <c r="AQ63" s="110"/>
      <c r="AR63" s="110"/>
      <c r="AS63" s="1171"/>
      <c r="AT63" s="383"/>
      <c r="AU63" s="110"/>
      <c r="AV63" s="110"/>
      <c r="AW63" s="1171"/>
      <c r="AX63" s="383"/>
      <c r="AY63" s="110"/>
      <c r="AZ63" s="110"/>
      <c r="BA63" s="1171"/>
      <c r="BB63" s="383"/>
      <c r="BC63" s="110"/>
      <c r="BD63" s="110"/>
      <c r="BE63" s="1171"/>
      <c r="BF63" s="383"/>
      <c r="BG63" s="110"/>
      <c r="BH63" s="110"/>
      <c r="BI63" s="110"/>
      <c r="BJ63" s="110"/>
      <c r="BK63" s="1171"/>
      <c r="BL63" s="110"/>
      <c r="BM63" s="122"/>
      <c r="BN63" s="57"/>
      <c r="BO63" s="57"/>
      <c r="BP63" s="57"/>
      <c r="BQ63" s="57"/>
      <c r="BR63" s="57"/>
      <c r="BS63" s="57"/>
      <c r="BT63" s="57"/>
      <c r="BU63" s="57"/>
      <c r="BV63" s="57"/>
      <c r="BW63" s="57"/>
      <c r="BX63" s="57"/>
      <c r="BY63" s="57"/>
      <c r="BZ63" s="57"/>
      <c r="CA63" s="57"/>
      <c r="CB63" s="57"/>
    </row>
    <row r="64" spans="1:80">
      <c r="A64" s="110" t="s">
        <v>343</v>
      </c>
      <c r="B64" s="619"/>
      <c r="C64" s="619"/>
      <c r="D64" s="619"/>
      <c r="E64" s="619"/>
      <c r="F64" s="619"/>
      <c r="G64" s="619"/>
      <c r="H64" s="619"/>
      <c r="I64" s="619"/>
      <c r="J64" s="619"/>
      <c r="K64" s="619"/>
      <c r="L64" s="619"/>
      <c r="M64" s="619"/>
      <c r="N64" s="619"/>
      <c r="O64" s="619"/>
      <c r="P64" s="619"/>
      <c r="Q64" s="619"/>
      <c r="R64" s="110"/>
      <c r="S64" s="619"/>
      <c r="T64" s="619"/>
      <c r="U64" s="1229"/>
      <c r="V64" s="619">
        <f t="shared" ref="V64:AA64" si="59">V65/V56*10000</f>
        <v>9.6100073583528598</v>
      </c>
      <c r="W64" s="619">
        <f t="shared" si="59"/>
        <v>1.7475728155347623</v>
      </c>
      <c r="X64" s="619">
        <f t="shared" si="59"/>
        <v>-39.21276595744839</v>
      </c>
      <c r="Y64" s="619">
        <f t="shared" si="59"/>
        <v>-229.90388038447742</v>
      </c>
      <c r="Z64" s="619">
        <f t="shared" si="59"/>
        <v>35.11173184357596</v>
      </c>
      <c r="AA64" s="619">
        <f t="shared" si="59"/>
        <v>92.489728841414944</v>
      </c>
      <c r="AB64" s="619">
        <f>AB65/AB56*10000</f>
        <v>-134.91421254801645</v>
      </c>
      <c r="AC64" s="619">
        <f>AC65/AC56*10000</f>
        <v>-6.8649318463441587</v>
      </c>
      <c r="AD64" s="915">
        <f t="shared" ref="AD64" si="60">AD65/AD56*10000</f>
        <v>149.63833634719595</v>
      </c>
      <c r="AE64" s="913">
        <f t="shared" ref="AE64" si="61">AE65/AE56*10000</f>
        <v>-138.53278511144592</v>
      </c>
      <c r="AF64" s="619">
        <f>AF65/AF56*10000</f>
        <v>-31.865252651279942</v>
      </c>
      <c r="AG64" s="619">
        <f>AG65/AG56*10000</f>
        <v>-28.992026170516244</v>
      </c>
      <c r="AH64" s="383">
        <v>0</v>
      </c>
      <c r="AI64" s="110">
        <v>0</v>
      </c>
      <c r="AJ64" s="110">
        <v>0</v>
      </c>
      <c r="AK64" s="1171">
        <v>0</v>
      </c>
      <c r="AL64" s="383">
        <v>0</v>
      </c>
      <c r="AM64" s="110">
        <v>0</v>
      </c>
      <c r="AN64" s="110">
        <v>0</v>
      </c>
      <c r="AO64" s="1171">
        <v>0</v>
      </c>
      <c r="AP64" s="383">
        <v>0</v>
      </c>
      <c r="AQ64" s="110">
        <v>0</v>
      </c>
      <c r="AR64" s="110">
        <v>0</v>
      </c>
      <c r="AS64" s="1171">
        <v>0</v>
      </c>
      <c r="AT64" s="383"/>
      <c r="AU64" s="110"/>
      <c r="AV64" s="110"/>
      <c r="AW64" s="1171"/>
      <c r="AX64" s="383"/>
      <c r="AY64" s="110"/>
      <c r="AZ64" s="110"/>
      <c r="BA64" s="1171"/>
      <c r="BB64" s="383"/>
      <c r="BC64" s="110"/>
      <c r="BD64" s="110"/>
      <c r="BE64" s="1171"/>
      <c r="BF64" s="383"/>
      <c r="BG64" s="110"/>
      <c r="BH64" s="110"/>
      <c r="BI64" s="110"/>
      <c r="BJ64" s="110"/>
      <c r="BK64" s="1171"/>
      <c r="BL64" s="110"/>
      <c r="BM64" s="122"/>
      <c r="BN64" s="57"/>
      <c r="BO64" s="57"/>
      <c r="BP64" s="57"/>
      <c r="BQ64" s="57"/>
      <c r="BR64" s="57"/>
      <c r="BS64" s="57"/>
      <c r="BT64" s="57"/>
      <c r="BU64" s="57"/>
      <c r="BV64" s="57"/>
      <c r="BW64" s="57"/>
      <c r="BX64" s="57"/>
      <c r="BY64" s="57"/>
      <c r="BZ64" s="57"/>
      <c r="CA64" s="57"/>
      <c r="CB64" s="57"/>
    </row>
    <row r="65" spans="1:80">
      <c r="A65" s="110" t="s">
        <v>344</v>
      </c>
      <c r="B65" s="174"/>
      <c r="C65" s="174"/>
      <c r="D65" s="174"/>
      <c r="E65" s="174"/>
      <c r="F65" s="174"/>
      <c r="G65" s="174"/>
      <c r="H65" s="174"/>
      <c r="I65" s="174"/>
      <c r="J65" s="174"/>
      <c r="K65" s="174"/>
      <c r="L65" s="174"/>
      <c r="M65" s="174"/>
      <c r="N65" s="174"/>
      <c r="O65" s="174"/>
      <c r="P65" s="174"/>
      <c r="Q65" s="174"/>
      <c r="R65" s="112"/>
      <c r="S65" s="174"/>
      <c r="T65" s="511"/>
      <c r="U65" s="1228"/>
      <c r="V65" s="511">
        <f t="shared" ref="V65:AA65" si="62">V56-V60</f>
        <v>0.26120000000003074</v>
      </c>
      <c r="W65" s="511">
        <f t="shared" si="62"/>
        <v>4.8600000000021737E-2</v>
      </c>
      <c r="X65" s="511">
        <f t="shared" si="62"/>
        <v>-1.1058000000000447</v>
      </c>
      <c r="Y65" s="511">
        <f t="shared" si="62"/>
        <v>-6.45799999999997</v>
      </c>
      <c r="Z65" s="511">
        <f t="shared" si="62"/>
        <v>1.0056000000000154</v>
      </c>
      <c r="AA65" s="511">
        <f t="shared" si="62"/>
        <v>3.3768000000000598</v>
      </c>
      <c r="AB65" s="511">
        <f>AB56-AB60</f>
        <v>-5.2684000000000424</v>
      </c>
      <c r="AC65" s="511">
        <f>AC56-AC60</f>
        <v>-0.27699999999998681</v>
      </c>
      <c r="AD65" s="512">
        <f t="shared" ref="AD65" si="63">AD56-AD60</f>
        <v>6.6199999999999477</v>
      </c>
      <c r="AE65" s="622">
        <f t="shared" ref="AE65" si="64">AE56-AE60</f>
        <v>-6.4015999999999167</v>
      </c>
      <c r="AF65" s="511">
        <f>AF56-AF60</f>
        <v>-1.5324000000000524</v>
      </c>
      <c r="AG65" s="511">
        <f>AG56-AG60</f>
        <v>-1.4179999999999495</v>
      </c>
      <c r="AH65" s="512">
        <f t="shared" ref="AH65:AK65" si="65">AH56*(AH64/10000)</f>
        <v>0</v>
      </c>
      <c r="AI65" s="511">
        <f t="shared" si="65"/>
        <v>0</v>
      </c>
      <c r="AJ65" s="511">
        <f t="shared" si="65"/>
        <v>0</v>
      </c>
      <c r="AK65" s="1228">
        <f t="shared" si="65"/>
        <v>0</v>
      </c>
      <c r="AL65" s="512">
        <f t="shared" ref="AL65:AO65" si="66">AL56*(AL64/10000)</f>
        <v>0</v>
      </c>
      <c r="AM65" s="511">
        <f t="shared" si="66"/>
        <v>0</v>
      </c>
      <c r="AN65" s="511">
        <f t="shared" si="66"/>
        <v>0</v>
      </c>
      <c r="AO65" s="1228">
        <f t="shared" si="66"/>
        <v>0</v>
      </c>
      <c r="AP65" s="512">
        <f t="shared" ref="AP65:AS65" si="67">AP56*(AP64/10000)</f>
        <v>0</v>
      </c>
      <c r="AQ65" s="511">
        <f t="shared" si="67"/>
        <v>0</v>
      </c>
      <c r="AR65" s="511">
        <f t="shared" si="67"/>
        <v>0</v>
      </c>
      <c r="AS65" s="1228">
        <f t="shared" si="67"/>
        <v>0</v>
      </c>
      <c r="AT65" s="512"/>
      <c r="AU65" s="511"/>
      <c r="AV65" s="511"/>
      <c r="AW65" s="1228"/>
      <c r="AX65" s="512"/>
      <c r="AY65" s="511"/>
      <c r="AZ65" s="511"/>
      <c r="BA65" s="1228"/>
      <c r="BB65" s="512"/>
      <c r="BC65" s="511"/>
      <c r="BD65" s="511"/>
      <c r="BE65" s="1228"/>
      <c r="BF65" s="512"/>
      <c r="BG65" s="511"/>
      <c r="BH65" s="511"/>
      <c r="BI65" s="511"/>
      <c r="BJ65" s="511"/>
      <c r="BK65" s="1228"/>
      <c r="BL65" s="110"/>
      <c r="BM65" s="122"/>
      <c r="BN65" s="57"/>
      <c r="BO65" s="57"/>
      <c r="BP65" s="57"/>
      <c r="BQ65" s="57"/>
      <c r="BR65" s="57"/>
      <c r="BS65" s="57"/>
      <c r="BT65" s="57"/>
      <c r="BU65" s="57"/>
      <c r="BV65" s="57"/>
      <c r="BW65" s="57"/>
      <c r="BX65" s="57"/>
      <c r="BY65" s="57"/>
      <c r="BZ65" s="57"/>
      <c r="CA65" s="57"/>
      <c r="CB65" s="57"/>
    </row>
    <row r="66" spans="1:80">
      <c r="A66" s="110"/>
      <c r="B66" s="110"/>
      <c r="C66" s="110"/>
      <c r="D66" s="110"/>
      <c r="E66" s="110"/>
      <c r="F66" s="110"/>
      <c r="G66" s="110"/>
      <c r="H66" s="110"/>
      <c r="I66" s="110"/>
      <c r="J66" s="110"/>
      <c r="K66" s="110"/>
      <c r="L66" s="110"/>
      <c r="M66" s="110"/>
      <c r="N66" s="110"/>
      <c r="O66" s="110"/>
      <c r="P66" s="110"/>
      <c r="Q66" s="110"/>
      <c r="R66" s="110"/>
      <c r="S66" s="110"/>
      <c r="T66" s="110"/>
      <c r="U66" s="1171"/>
      <c r="V66" s="110"/>
      <c r="W66" s="110"/>
      <c r="X66" s="110"/>
      <c r="Y66" s="1171"/>
      <c r="Z66" s="110"/>
      <c r="AA66" s="110"/>
      <c r="AB66" s="110"/>
      <c r="AC66" s="110"/>
      <c r="AD66" s="383"/>
      <c r="AE66" s="110"/>
      <c r="AF66" s="110"/>
      <c r="AG66" s="110"/>
      <c r="AH66" s="383"/>
      <c r="AI66" s="110"/>
      <c r="AJ66" s="110"/>
      <c r="AK66" s="1171"/>
      <c r="AL66" s="383"/>
      <c r="AM66" s="110"/>
      <c r="AN66" s="110"/>
      <c r="AO66" s="1171"/>
      <c r="AP66" s="383"/>
      <c r="AQ66" s="110"/>
      <c r="AR66" s="110"/>
      <c r="AS66" s="1171"/>
      <c r="AT66" s="383"/>
      <c r="AU66" s="110"/>
      <c r="AV66" s="110"/>
      <c r="AW66" s="1171"/>
      <c r="AX66" s="383"/>
      <c r="AY66" s="110"/>
      <c r="AZ66" s="110"/>
      <c r="BA66" s="1171"/>
      <c r="BB66" s="383"/>
      <c r="BC66" s="110"/>
      <c r="BD66" s="110"/>
      <c r="BE66" s="1171"/>
      <c r="BF66" s="383"/>
      <c r="BG66" s="110"/>
      <c r="BH66" s="110"/>
      <c r="BI66" s="110"/>
      <c r="BJ66" s="110"/>
      <c r="BK66" s="1171"/>
      <c r="BL66" s="110"/>
      <c r="BM66" s="122"/>
      <c r="BN66" s="57"/>
      <c r="BO66" s="57"/>
      <c r="BP66" s="57"/>
      <c r="BQ66" s="57"/>
      <c r="BR66" s="57"/>
      <c r="BS66" s="57"/>
      <c r="BT66" s="57"/>
      <c r="BU66" s="57"/>
      <c r="BV66" s="57"/>
      <c r="BW66" s="57"/>
      <c r="BX66" s="57"/>
      <c r="BY66" s="57"/>
      <c r="BZ66" s="57"/>
      <c r="CA66" s="57"/>
      <c r="CB66" s="57"/>
    </row>
    <row r="67" spans="1:80">
      <c r="A67" s="126" t="s">
        <v>345</v>
      </c>
      <c r="B67" s="110"/>
      <c r="C67" s="110"/>
      <c r="D67" s="110"/>
      <c r="E67" s="110"/>
      <c r="F67" s="110"/>
      <c r="G67" s="110"/>
      <c r="H67" s="110"/>
      <c r="I67" s="110"/>
      <c r="J67" s="110"/>
      <c r="K67" s="110"/>
      <c r="L67" s="110"/>
      <c r="M67" s="110"/>
      <c r="N67" s="110"/>
      <c r="O67" s="110"/>
      <c r="P67" s="110"/>
      <c r="Q67" s="110"/>
      <c r="R67" s="110"/>
      <c r="S67" s="110"/>
      <c r="T67" s="110"/>
      <c r="U67" s="110"/>
      <c r="V67" s="623">
        <f t="shared" ref="V67:W67" si="68">R60*(1+V68%)</f>
        <v>288.0941952</v>
      </c>
      <c r="W67" s="623">
        <f t="shared" si="68"/>
        <v>289.24281540000004</v>
      </c>
      <c r="X67" s="623">
        <f>T60*(1+X68%)</f>
        <v>286.75953600000003</v>
      </c>
      <c r="Y67" s="623">
        <f>U60*(1+Y68%)</f>
        <v>287.247591</v>
      </c>
      <c r="Z67" s="623">
        <f t="shared" ref="Z67:AE67" si="69">V60*(1+Z68%)</f>
        <v>292.71882640000001</v>
      </c>
      <c r="AA67" s="623">
        <f t="shared" si="69"/>
        <v>369.80836200000005</v>
      </c>
      <c r="AB67" s="623">
        <f t="shared" si="69"/>
        <v>397.19743740000007</v>
      </c>
      <c r="AC67" s="623">
        <f t="shared" si="69"/>
        <v>413.22080399999993</v>
      </c>
      <c r="AD67" s="389">
        <f t="shared" si="69"/>
        <v>432.37251599999996</v>
      </c>
      <c r="AE67" s="388">
        <f t="shared" si="69"/>
        <v>454.68606239999997</v>
      </c>
      <c r="AF67" s="623">
        <f t="shared" ref="AF67" si="70">AB60*(1+AF68%)</f>
        <v>480.85860600000007</v>
      </c>
      <c r="AG67" s="623">
        <f t="shared" ref="AG67" si="71">AC60*(1+AG68%)</f>
        <v>519.66099899999995</v>
      </c>
      <c r="AH67" s="512">
        <f t="shared" ref="AH67:AK67" si="72">AH56+AH71</f>
        <v>587.79847726959997</v>
      </c>
      <c r="AI67" s="511">
        <f t="shared" si="72"/>
        <v>661.15922072576643</v>
      </c>
      <c r="AJ67" s="511">
        <f t="shared" si="72"/>
        <v>687.08675473329708</v>
      </c>
      <c r="AK67" s="1228">
        <f t="shared" si="72"/>
        <v>715.39789442347501</v>
      </c>
      <c r="AL67" s="512">
        <f t="shared" ref="AL67:AO67" si="73">AL56+AL71</f>
        <v>751.81100500410946</v>
      </c>
      <c r="AM67" s="511">
        <f t="shared" si="73"/>
        <v>773.8473514097625</v>
      </c>
      <c r="AN67" s="511">
        <f t="shared" si="73"/>
        <v>797.11707527610292</v>
      </c>
      <c r="AO67" s="1228">
        <f t="shared" si="73"/>
        <v>819.10477373451442</v>
      </c>
      <c r="AP67" s="512">
        <f t="shared" ref="AP67:AS67" si="74">AP56+AP71</f>
        <v>869.12452403178838</v>
      </c>
      <c r="AQ67" s="511">
        <f t="shared" si="74"/>
        <v>895.16418868865685</v>
      </c>
      <c r="AR67" s="511">
        <f t="shared" si="74"/>
        <v>928.11374952801896</v>
      </c>
      <c r="AS67" s="1228">
        <f t="shared" si="74"/>
        <v>959.307144235838</v>
      </c>
      <c r="AT67" s="110"/>
      <c r="AU67" s="110"/>
      <c r="AV67" s="110"/>
      <c r="AW67" s="110"/>
      <c r="AX67" s="110"/>
      <c r="AY67" s="110"/>
      <c r="AZ67" s="110"/>
      <c r="BA67" s="110"/>
      <c r="BB67" s="110"/>
      <c r="BC67" s="110"/>
      <c r="BD67" s="110"/>
      <c r="BE67" s="110"/>
      <c r="BF67" s="110"/>
      <c r="BG67" s="110"/>
      <c r="BH67" s="110"/>
      <c r="BI67" s="110"/>
      <c r="BJ67" s="110"/>
      <c r="BK67" s="110"/>
      <c r="BL67" s="110"/>
      <c r="BM67" s="122"/>
      <c r="BN67" s="57"/>
      <c r="BO67" s="57"/>
      <c r="BP67" s="57"/>
      <c r="BQ67" s="57"/>
      <c r="BR67" s="57"/>
      <c r="BS67" s="57"/>
      <c r="BT67" s="57"/>
      <c r="BU67" s="57"/>
      <c r="BV67" s="57"/>
      <c r="BW67" s="57"/>
      <c r="BX67" s="57"/>
      <c r="BY67" s="57"/>
      <c r="BZ67" s="57"/>
      <c r="CA67" s="57"/>
      <c r="CB67" s="57"/>
    </row>
    <row r="68" spans="1:80">
      <c r="A68" s="147" t="s">
        <v>341</v>
      </c>
      <c r="B68" s="110"/>
      <c r="C68" s="110"/>
      <c r="D68" s="110"/>
      <c r="E68" s="110"/>
      <c r="F68" s="110"/>
      <c r="G68" s="110"/>
      <c r="H68" s="110"/>
      <c r="I68" s="110"/>
      <c r="J68" s="110"/>
      <c r="K68" s="110"/>
      <c r="L68" s="110"/>
      <c r="M68" s="110"/>
      <c r="N68" s="110"/>
      <c r="O68" s="110"/>
      <c r="P68" s="110"/>
      <c r="Q68" s="110"/>
      <c r="R68" s="110"/>
      <c r="S68" s="110"/>
      <c r="T68" s="110"/>
      <c r="U68" s="110"/>
      <c r="V68" s="624">
        <f>'Operating Metrics'!V19</f>
        <v>18.399999999999999</v>
      </c>
      <c r="W68" s="624">
        <f>'Operating Metrics'!W19</f>
        <v>14.1</v>
      </c>
      <c r="X68" s="625">
        <f>'Operating Metrics'!X19</f>
        <v>12</v>
      </c>
      <c r="Y68" s="625">
        <f>'Operating Metrics'!Y19</f>
        <v>9</v>
      </c>
      <c r="Z68" s="624">
        <f>'Operating Metrics'!Z19</f>
        <v>7.8</v>
      </c>
      <c r="AA68" s="624">
        <f>'Operating Metrics'!AA19</f>
        <v>33</v>
      </c>
      <c r="AB68" s="624">
        <f>'Operating Metrics'!AB19</f>
        <v>40.299999999999997</v>
      </c>
      <c r="AC68" s="624">
        <f>'Operating Metrics'!AC19</f>
        <v>43.8</v>
      </c>
      <c r="AD68" s="916">
        <f>'Operating Metrics'!AD19</f>
        <v>51.5</v>
      </c>
      <c r="AE68" s="624">
        <f>'Operating Metrics'!AE19</f>
        <v>25.7</v>
      </c>
      <c r="AF68" s="624">
        <f>'Operating Metrics'!AF19</f>
        <v>21.5</v>
      </c>
      <c r="AG68" s="624">
        <f>'Operating Metrics'!AG19</f>
        <v>28.7</v>
      </c>
      <c r="AH68" s="621"/>
      <c r="AI68" s="620"/>
      <c r="AJ68" s="620"/>
      <c r="AK68" s="1225"/>
      <c r="AL68" s="621"/>
      <c r="AM68" s="620"/>
      <c r="AN68" s="620"/>
      <c r="AO68" s="1225"/>
      <c r="AP68" s="621"/>
      <c r="AQ68" s="620"/>
      <c r="AR68" s="620"/>
      <c r="AS68" s="1225"/>
      <c r="AT68" s="110"/>
      <c r="AU68" s="110"/>
      <c r="AV68" s="110"/>
      <c r="AW68" s="110"/>
      <c r="AX68" s="110"/>
      <c r="AY68" s="110"/>
      <c r="AZ68" s="110"/>
      <c r="BA68" s="110"/>
      <c r="BB68" s="110"/>
      <c r="BC68" s="110"/>
      <c r="BD68" s="110"/>
      <c r="BE68" s="110"/>
      <c r="BF68" s="110"/>
      <c r="BG68" s="110"/>
      <c r="BH68" s="110"/>
      <c r="BI68" s="110"/>
      <c r="BJ68" s="110"/>
      <c r="BK68" s="110"/>
      <c r="BL68" s="110"/>
      <c r="BM68" s="122"/>
      <c r="BN68" s="57"/>
      <c r="BO68" s="57"/>
      <c r="BP68" s="57"/>
      <c r="BQ68" s="57"/>
      <c r="BR68" s="57"/>
      <c r="BS68" s="57"/>
      <c r="BT68" s="57"/>
      <c r="BU68" s="57"/>
      <c r="BV68" s="57"/>
      <c r="BW68" s="57"/>
      <c r="BX68" s="57"/>
      <c r="BY68" s="57"/>
      <c r="BZ68" s="57"/>
      <c r="CA68" s="57"/>
      <c r="CB68" s="57"/>
    </row>
    <row r="69" spans="1:80">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383"/>
      <c r="AE69" s="110"/>
      <c r="AF69" s="110"/>
      <c r="AG69" s="110"/>
      <c r="AH69" s="383"/>
      <c r="AI69" s="110"/>
      <c r="AJ69" s="110"/>
      <c r="AK69" s="1171"/>
      <c r="AL69" s="383"/>
      <c r="AM69" s="110"/>
      <c r="AN69" s="110"/>
      <c r="AO69" s="1171"/>
      <c r="AP69" s="383"/>
      <c r="AQ69" s="110"/>
      <c r="AR69" s="110"/>
      <c r="AS69" s="1171"/>
      <c r="AT69" s="110"/>
      <c r="AU69" s="110"/>
      <c r="AV69" s="110"/>
      <c r="AW69" s="110"/>
      <c r="AX69" s="110"/>
      <c r="AY69" s="110"/>
      <c r="AZ69" s="110"/>
      <c r="BA69" s="110"/>
      <c r="BB69" s="110"/>
      <c r="BC69" s="110"/>
      <c r="BD69" s="110"/>
      <c r="BE69" s="110"/>
      <c r="BF69" s="110"/>
      <c r="BG69" s="110"/>
      <c r="BH69" s="110"/>
      <c r="BI69" s="110"/>
      <c r="BJ69" s="110"/>
      <c r="BK69" s="110"/>
      <c r="BL69" s="110"/>
      <c r="BM69" s="122"/>
      <c r="BN69" s="57"/>
      <c r="BO69" s="57"/>
      <c r="BP69" s="57"/>
      <c r="BQ69" s="57"/>
      <c r="BR69" s="57"/>
      <c r="BS69" s="57"/>
      <c r="BT69" s="57"/>
      <c r="BU69" s="57"/>
      <c r="BV69" s="57"/>
      <c r="BW69" s="57"/>
      <c r="BX69" s="57"/>
      <c r="BY69" s="57"/>
      <c r="BZ69" s="57"/>
      <c r="CA69" s="57"/>
      <c r="CB69" s="57"/>
    </row>
    <row r="70" spans="1:80">
      <c r="A70" s="110" t="s">
        <v>346</v>
      </c>
      <c r="B70" s="383"/>
      <c r="C70" s="110"/>
      <c r="D70" s="110"/>
      <c r="E70" s="110"/>
      <c r="F70" s="383"/>
      <c r="G70" s="110"/>
      <c r="H70" s="110"/>
      <c r="I70" s="1171"/>
      <c r="J70" s="110"/>
      <c r="K70" s="110"/>
      <c r="L70" s="110"/>
      <c r="M70" s="1171"/>
      <c r="N70" s="110"/>
      <c r="O70" s="110"/>
      <c r="P70" s="110"/>
      <c r="Q70" s="110"/>
      <c r="R70" s="379"/>
      <c r="S70" s="134"/>
      <c r="T70" s="134"/>
      <c r="U70" s="134"/>
      <c r="V70" s="113">
        <f t="shared" ref="V70:W70" si="75">V71/V56*10000</f>
        <v>-599.49209713024243</v>
      </c>
      <c r="W70" s="113">
        <f t="shared" si="75"/>
        <v>-400.67656957928864</v>
      </c>
      <c r="X70" s="626">
        <f>X71/X56*10000</f>
        <v>-168.77787234042646</v>
      </c>
      <c r="Y70" s="626">
        <f>Y71/Y56*10000</f>
        <v>-225.97333570665799</v>
      </c>
      <c r="Z70" s="113">
        <f t="shared" ref="Z70:AB70" si="76">Z71/Z56*10000</f>
        <v>-220.62941340782245</v>
      </c>
      <c r="AA70" s="113">
        <f t="shared" si="76"/>
        <v>-128.9608874281025</v>
      </c>
      <c r="AB70" s="113">
        <f t="shared" si="76"/>
        <v>-171.5092804097329</v>
      </c>
      <c r="AC70" s="113">
        <f t="shared" ref="AC70:AD70" si="77">AC71/AC56*10000</f>
        <v>-240.91211895910607</v>
      </c>
      <c r="AD70" s="917">
        <f t="shared" si="77"/>
        <v>226.66103074141085</v>
      </c>
      <c r="AE70" s="113">
        <f t="shared" ref="AE70:AG70" si="78">AE71/AE56*10000</f>
        <v>160.44011252975662</v>
      </c>
      <c r="AF70" s="113">
        <f t="shared" si="78"/>
        <v>0.86076107298630822</v>
      </c>
      <c r="AG70" s="113">
        <f t="shared" si="78"/>
        <v>-624.84152525045852</v>
      </c>
      <c r="AH70" s="383">
        <v>0</v>
      </c>
      <c r="AI70" s="110">
        <v>0</v>
      </c>
      <c r="AJ70" s="110">
        <v>0</v>
      </c>
      <c r="AK70" s="1171">
        <v>0</v>
      </c>
      <c r="AL70" s="383">
        <v>0</v>
      </c>
      <c r="AM70" s="110">
        <v>0</v>
      </c>
      <c r="AN70" s="110">
        <v>0</v>
      </c>
      <c r="AO70" s="1171">
        <v>0</v>
      </c>
      <c r="AP70" s="383">
        <v>0</v>
      </c>
      <c r="AQ70" s="110">
        <v>0</v>
      </c>
      <c r="AR70" s="110">
        <v>0</v>
      </c>
      <c r="AS70" s="1171">
        <v>0</v>
      </c>
      <c r="AT70" s="110"/>
      <c r="AU70" s="122"/>
      <c r="AV70" s="57"/>
      <c r="AW70" s="57"/>
      <c r="AX70" s="57"/>
      <c r="AY70" s="57"/>
      <c r="AZ70" s="57"/>
      <c r="BA70" s="57"/>
      <c r="BB70" s="57"/>
      <c r="BC70" s="57"/>
      <c r="BD70" s="57"/>
      <c r="BE70" s="57"/>
      <c r="BF70" s="57"/>
      <c r="BG70" s="57"/>
      <c r="BH70" s="57"/>
      <c r="BI70" s="57"/>
      <c r="BJ70" s="57"/>
    </row>
    <row r="71" spans="1:80">
      <c r="A71" s="110" t="s">
        <v>344</v>
      </c>
      <c r="B71" s="383"/>
      <c r="C71" s="110"/>
      <c r="D71" s="110"/>
      <c r="E71" s="110"/>
      <c r="F71" s="383"/>
      <c r="G71" s="110"/>
      <c r="H71" s="110"/>
      <c r="I71" s="1171"/>
      <c r="J71" s="110"/>
      <c r="K71" s="110"/>
      <c r="L71" s="110"/>
      <c r="M71" s="1171"/>
      <c r="N71" s="110"/>
      <c r="O71" s="110"/>
      <c r="P71" s="110"/>
      <c r="Q71" s="110"/>
      <c r="R71" s="396"/>
      <c r="S71" s="521"/>
      <c r="T71" s="521"/>
      <c r="U71" s="511"/>
      <c r="V71" s="113">
        <f t="shared" ref="V71:AA71" si="79">V56-V67</f>
        <v>-16.29419519999999</v>
      </c>
      <c r="W71" s="113">
        <f t="shared" si="79"/>
        <v>-11.142815400000018</v>
      </c>
      <c r="X71" s="626">
        <f t="shared" si="79"/>
        <v>-4.7595360000000255</v>
      </c>
      <c r="Y71" s="626">
        <f t="shared" si="79"/>
        <v>-6.3475910000000226</v>
      </c>
      <c r="Z71" s="113">
        <f t="shared" si="79"/>
        <v>-6.3188264000000345</v>
      </c>
      <c r="AA71" s="113">
        <f t="shared" si="79"/>
        <v>-4.7083620000000224</v>
      </c>
      <c r="AB71" s="511">
        <f>AB56-AB67</f>
        <v>-6.6974374000000694</v>
      </c>
      <c r="AC71" s="511">
        <f>AC56-AC67</f>
        <v>-9.7208039999999301</v>
      </c>
      <c r="AD71" s="917">
        <f t="shared" ref="AD71" si="80">AD56-AD67</f>
        <v>10.027484000000015</v>
      </c>
      <c r="AE71" s="113">
        <f t="shared" ref="AE71" si="81">AE56-AE67</f>
        <v>7.4139376000000539</v>
      </c>
      <c r="AF71" s="511">
        <f>AF56-AF67</f>
        <v>4.1393999999911557E-2</v>
      </c>
      <c r="AG71" s="511">
        <f>AG56-AG67</f>
        <v>-30.560998999999924</v>
      </c>
      <c r="AH71" s="512">
        <f t="shared" ref="AH71:AK71" si="82">AH56*(AH70/10000)</f>
        <v>0</v>
      </c>
      <c r="AI71" s="511">
        <f t="shared" si="82"/>
        <v>0</v>
      </c>
      <c r="AJ71" s="511">
        <f t="shared" si="82"/>
        <v>0</v>
      </c>
      <c r="AK71" s="1228">
        <f t="shared" si="82"/>
        <v>0</v>
      </c>
      <c r="AL71" s="512">
        <f t="shared" ref="AL71:AO71" si="83">AL56*(AL70/10000)</f>
        <v>0</v>
      </c>
      <c r="AM71" s="511">
        <f t="shared" si="83"/>
        <v>0</v>
      </c>
      <c r="AN71" s="511">
        <f t="shared" si="83"/>
        <v>0</v>
      </c>
      <c r="AO71" s="1228">
        <f t="shared" si="83"/>
        <v>0</v>
      </c>
      <c r="AP71" s="512">
        <f t="shared" ref="AP71:AS71" si="84">AP56*(AP70/10000)</f>
        <v>0</v>
      </c>
      <c r="AQ71" s="511">
        <f t="shared" si="84"/>
        <v>0</v>
      </c>
      <c r="AR71" s="511">
        <f t="shared" si="84"/>
        <v>0</v>
      </c>
      <c r="AS71" s="1228">
        <f t="shared" si="84"/>
        <v>0</v>
      </c>
      <c r="AT71" s="110"/>
      <c r="AU71" s="122"/>
      <c r="AV71" s="57"/>
      <c r="AW71" s="57"/>
      <c r="AX71" s="57"/>
      <c r="AY71" s="57"/>
      <c r="AZ71" s="57"/>
      <c r="BA71" s="57"/>
      <c r="BB71" s="57"/>
      <c r="BC71" s="57"/>
      <c r="BD71" s="57"/>
      <c r="BE71" s="57"/>
      <c r="BF71" s="57"/>
      <c r="BG71" s="57"/>
      <c r="BH71" s="57"/>
      <c r="BI71" s="57"/>
      <c r="BJ71" s="57"/>
    </row>
    <row r="72" spans="1:80">
      <c r="A72" s="110"/>
      <c r="B72" s="383"/>
      <c r="C72" s="110"/>
      <c r="D72" s="110"/>
      <c r="E72" s="110"/>
      <c r="F72" s="383"/>
      <c r="G72" s="110"/>
      <c r="H72" s="110"/>
      <c r="I72" s="1171"/>
      <c r="J72" s="110"/>
      <c r="K72" s="110"/>
      <c r="L72" s="110"/>
      <c r="M72" s="1171"/>
      <c r="N72" s="110"/>
      <c r="O72" s="110"/>
      <c r="P72" s="110"/>
      <c r="Q72" s="110"/>
      <c r="R72" s="396"/>
      <c r="S72" s="110"/>
      <c r="T72" s="110"/>
      <c r="U72" s="110"/>
      <c r="V72" s="396"/>
      <c r="W72" s="110"/>
      <c r="X72" s="110"/>
      <c r="Y72" s="110"/>
      <c r="Z72" s="396"/>
      <c r="AA72" s="110"/>
      <c r="AB72" s="110"/>
      <c r="AC72" s="110"/>
      <c r="AD72" s="396"/>
      <c r="AE72" s="914"/>
      <c r="AF72" s="110"/>
      <c r="AG72" s="110"/>
      <c r="AH72" s="383"/>
      <c r="AI72" s="110"/>
      <c r="AJ72" s="110"/>
      <c r="AK72" s="1171"/>
      <c r="AL72" s="383"/>
      <c r="AM72" s="110"/>
      <c r="AN72" s="110"/>
      <c r="AO72" s="1171"/>
      <c r="AP72" s="383"/>
      <c r="AQ72" s="110"/>
      <c r="AR72" s="110"/>
      <c r="AS72" s="1171"/>
      <c r="AT72" s="110"/>
      <c r="AU72" s="122"/>
      <c r="AV72" s="57"/>
      <c r="AW72" s="57"/>
      <c r="AX72" s="57"/>
      <c r="AY72" s="57"/>
      <c r="AZ72" s="57"/>
      <c r="BA72" s="57"/>
      <c r="BB72" s="57"/>
      <c r="BC72" s="57"/>
      <c r="BD72" s="57"/>
      <c r="BE72" s="57"/>
      <c r="BF72" s="57"/>
      <c r="BG72" s="57"/>
      <c r="BH72" s="57"/>
      <c r="BI72" s="57"/>
      <c r="BJ72" s="57"/>
    </row>
    <row r="73" spans="1:80">
      <c r="A73" s="110" t="s">
        <v>347</v>
      </c>
      <c r="B73" s="383"/>
      <c r="C73" s="110"/>
      <c r="D73" s="110"/>
      <c r="E73" s="110"/>
      <c r="F73" s="442">
        <f t="shared" ref="F73:AK73" si="85">F25</f>
        <v>3.3128714800740866E-3</v>
      </c>
      <c r="G73" s="443">
        <f t="shared" si="85"/>
        <v>4.8849179372632889E-2</v>
      </c>
      <c r="H73" s="443">
        <f t="shared" si="85"/>
        <v>4.5370370370370061E-3</v>
      </c>
      <c r="I73" s="1230">
        <f t="shared" si="85"/>
        <v>2.8297538943681477E-2</v>
      </c>
      <c r="J73" s="443">
        <f t="shared" si="85"/>
        <v>-5.0017927572606702E-2</v>
      </c>
      <c r="K73" s="443">
        <f t="shared" si="85"/>
        <v>5.3217588224193202E-2</v>
      </c>
      <c r="L73" s="443">
        <f t="shared" si="85"/>
        <v>2.3472495968464457E-2</v>
      </c>
      <c r="M73" s="1230">
        <f t="shared" si="85"/>
        <v>8.4646358543417399E-2</v>
      </c>
      <c r="N73" s="443">
        <f t="shared" si="85"/>
        <v>0.6537002663223308</v>
      </c>
      <c r="O73" s="443">
        <f t="shared" si="85"/>
        <v>1.4396564345322327E-2</v>
      </c>
      <c r="P73" s="443">
        <f t="shared" si="85"/>
        <v>6.465890503223326E-2</v>
      </c>
      <c r="Q73" s="443">
        <f t="shared" si="85"/>
        <v>1.6719385449615931E-2</v>
      </c>
      <c r="R73" s="379">
        <f t="shared" si="85"/>
        <v>1.0755555555555629E-2</v>
      </c>
      <c r="S73" s="443">
        <f t="shared" si="85"/>
        <v>1.0948905109489093E-2</v>
      </c>
      <c r="T73" s="443">
        <f t="shared" si="85"/>
        <v>-2.1138706450350098E-2</v>
      </c>
      <c r="U73" s="443">
        <f t="shared" si="85"/>
        <v>3.194845589868911E-2</v>
      </c>
      <c r="V73" s="379">
        <f t="shared" si="85"/>
        <v>4.305890458146755E-2</v>
      </c>
      <c r="W73" s="443">
        <f t="shared" si="85"/>
        <v>1.7090488771466239E-2</v>
      </c>
      <c r="X73" s="443">
        <f t="shared" si="85"/>
        <v>-1.2582190112834235E-3</v>
      </c>
      <c r="Y73" s="443">
        <f t="shared" si="85"/>
        <v>4.836022270085838E-3</v>
      </c>
      <c r="Z73" s="379">
        <f t="shared" si="85"/>
        <v>5.6013912480789463E-2</v>
      </c>
      <c r="AA73" s="443">
        <f t="shared" ref="AA73" si="86">AA25</f>
        <v>7.43747845735514E-2</v>
      </c>
      <c r="AB73" s="443">
        <f t="shared" si="85"/>
        <v>0.1796955762307062</v>
      </c>
      <c r="AC73" s="443">
        <f t="shared" ref="AC73:AD73" si="87">AC25</f>
        <v>-2.1454040007251596E-3</v>
      </c>
      <c r="AD73" s="379">
        <f t="shared" si="87"/>
        <v>3.5248160373073212E-2</v>
      </c>
      <c r="AE73" s="171">
        <f t="shared" ref="AE73:AG73" si="88">AE25</f>
        <v>2.0738877351039964E-2</v>
      </c>
      <c r="AF73" s="443">
        <f t="shared" si="88"/>
        <v>1.2752177900045902E-2</v>
      </c>
      <c r="AG73" s="443">
        <f t="shared" si="88"/>
        <v>1.2336945757052797E-2</v>
      </c>
      <c r="AH73" s="395">
        <f t="shared" si="85"/>
        <v>0.255</v>
      </c>
      <c r="AI73" s="443">
        <f t="shared" si="85"/>
        <v>1E-3</v>
      </c>
      <c r="AJ73" s="443">
        <f t="shared" si="85"/>
        <v>-1E-3</v>
      </c>
      <c r="AK73" s="1230">
        <f t="shared" si="85"/>
        <v>5.0000000000000001E-3</v>
      </c>
      <c r="AL73" s="395">
        <f t="shared" ref="AL73:AO73" si="89">AL25</f>
        <v>5.0000000000000001E-3</v>
      </c>
      <c r="AM73" s="443">
        <f t="shared" si="89"/>
        <v>0.01</v>
      </c>
      <c r="AN73" s="443">
        <f t="shared" si="89"/>
        <v>-1E-3</v>
      </c>
      <c r="AO73" s="1230">
        <f t="shared" si="89"/>
        <v>5.0000000000000001E-3</v>
      </c>
      <c r="AP73" s="395">
        <f t="shared" ref="AP73:AS73" si="90">AP25</f>
        <v>5.0000000000000001E-3</v>
      </c>
      <c r="AQ73" s="443">
        <f t="shared" si="90"/>
        <v>0.01</v>
      </c>
      <c r="AR73" s="443">
        <f t="shared" si="90"/>
        <v>-1E-3</v>
      </c>
      <c r="AS73" s="1230">
        <f t="shared" si="90"/>
        <v>5.0000000000000001E-3</v>
      </c>
      <c r="AT73" s="110"/>
      <c r="AU73" s="122"/>
      <c r="AV73" s="57"/>
      <c r="AW73" s="57"/>
      <c r="AX73" s="57"/>
      <c r="AY73" s="57"/>
      <c r="AZ73" s="57"/>
      <c r="BA73" s="57"/>
      <c r="BB73" s="57"/>
      <c r="BC73" s="57"/>
      <c r="BD73" s="57"/>
      <c r="BE73" s="57"/>
      <c r="BF73" s="57"/>
      <c r="BG73" s="57"/>
      <c r="BH73" s="57"/>
      <c r="BI73" s="57"/>
      <c r="BJ73" s="57"/>
    </row>
    <row r="74" spans="1:80">
      <c r="A74" s="110"/>
      <c r="B74" s="383"/>
      <c r="C74" s="110"/>
      <c r="D74" s="110"/>
      <c r="E74" s="110"/>
      <c r="F74" s="383"/>
      <c r="G74" s="110"/>
      <c r="H74" s="110"/>
      <c r="I74" s="1171"/>
      <c r="J74" s="110"/>
      <c r="K74" s="110"/>
      <c r="L74" s="110"/>
      <c r="M74" s="1171"/>
      <c r="N74" s="110"/>
      <c r="O74" s="110"/>
      <c r="P74" s="110"/>
      <c r="Q74" s="110"/>
      <c r="R74" s="396"/>
      <c r="S74" s="110"/>
      <c r="T74" s="110"/>
      <c r="U74" s="110"/>
      <c r="V74" s="396"/>
      <c r="W74" s="110"/>
      <c r="X74" s="110"/>
      <c r="Y74" s="110"/>
      <c r="Z74" s="396"/>
      <c r="AA74" s="110"/>
      <c r="AB74" s="110"/>
      <c r="AC74" s="110"/>
      <c r="AD74" s="396"/>
      <c r="AE74" s="914"/>
      <c r="AF74" s="110"/>
      <c r="AG74" s="110"/>
      <c r="AH74" s="383"/>
      <c r="AI74" s="110"/>
      <c r="AJ74" s="110"/>
      <c r="AK74" s="1171"/>
      <c r="AL74" s="383"/>
      <c r="AM74" s="110"/>
      <c r="AN74" s="110"/>
      <c r="AO74" s="1171"/>
      <c r="AP74" s="383"/>
      <c r="AQ74" s="110"/>
      <c r="AR74" s="110"/>
      <c r="AS74" s="1171"/>
      <c r="AT74" s="110"/>
      <c r="AU74" s="122"/>
      <c r="AV74" s="57"/>
      <c r="AW74" s="57"/>
      <c r="AX74" s="57"/>
      <c r="AY74" s="57"/>
      <c r="AZ74" s="57"/>
      <c r="BA74" s="57"/>
      <c r="BB74" s="57"/>
      <c r="BC74" s="57"/>
      <c r="BD74" s="57"/>
      <c r="BE74" s="57"/>
      <c r="BF74" s="57"/>
      <c r="BG74" s="57"/>
      <c r="BH74" s="57"/>
      <c r="BI74" s="57"/>
      <c r="BJ74" s="57"/>
    </row>
    <row r="75" spans="1:80" ht="15" thickBot="1">
      <c r="A75" s="434" t="s">
        <v>348</v>
      </c>
      <c r="B75" s="436"/>
      <c r="C75" s="435"/>
      <c r="D75" s="435"/>
      <c r="E75" s="435"/>
      <c r="F75" s="436"/>
      <c r="G75" s="435"/>
      <c r="H75" s="435"/>
      <c r="I75" s="437"/>
      <c r="J75" s="435"/>
      <c r="K75" s="435"/>
      <c r="L75" s="435"/>
      <c r="M75" s="437"/>
      <c r="N75" s="435"/>
      <c r="O75" s="435"/>
      <c r="P75" s="435"/>
      <c r="Q75" s="435"/>
      <c r="R75" s="436"/>
      <c r="S75" s="435"/>
      <c r="T75" s="435"/>
      <c r="U75" s="435"/>
      <c r="V75" s="436"/>
      <c r="W75" s="435"/>
      <c r="X75" s="435"/>
      <c r="Y75" s="435"/>
      <c r="Z75" s="436">
        <f>Z77</f>
        <v>23571</v>
      </c>
      <c r="AA75" s="435">
        <f>'P&amp;L consol'!BB12</f>
        <v>0</v>
      </c>
      <c r="AB75" s="435">
        <f>'P&amp;L consol'!BC12</f>
        <v>0</v>
      </c>
      <c r="AC75" s="435">
        <f>'P&amp;L consol'!BD12</f>
        <v>0</v>
      </c>
      <c r="AD75" s="436">
        <f>AD77</f>
        <v>36886</v>
      </c>
      <c r="AE75" s="435">
        <f>AE77</f>
        <v>39857</v>
      </c>
      <c r="AF75" s="435">
        <f t="shared" ref="AF75:AG75" si="91">AF77</f>
        <v>42315</v>
      </c>
      <c r="AG75" s="435">
        <f t="shared" si="91"/>
        <v>44504</v>
      </c>
      <c r="AH75" s="440">
        <f t="shared" ref="AH75:AK75" si="92">AH129*AH3</f>
        <v>45609.157624707601</v>
      </c>
      <c r="AI75" s="438">
        <f t="shared" si="92"/>
        <v>47793.387137859165</v>
      </c>
      <c r="AJ75" s="438">
        <f t="shared" si="92"/>
        <v>50217.611567563275</v>
      </c>
      <c r="AK75" s="439">
        <f t="shared" si="92"/>
        <v>52864.703128594912</v>
      </c>
      <c r="AL75" s="440">
        <f>AL129*AL3</f>
        <v>55753.950977892455</v>
      </c>
      <c r="AM75" s="438">
        <f t="shared" ref="AM75:AO75" si="93">AM129*AM3</f>
        <v>57858.422059632321</v>
      </c>
      <c r="AN75" s="438">
        <f t="shared" si="93"/>
        <v>60080.680688867826</v>
      </c>
      <c r="AO75" s="439">
        <f t="shared" si="93"/>
        <v>62180.505891646128</v>
      </c>
      <c r="AP75" s="440">
        <f t="shared" ref="AP75:AS75" si="94">AP129*AP3</f>
        <v>66053.558831083472</v>
      </c>
      <c r="AQ75" s="438">
        <f t="shared" si="94"/>
        <v>68579.406302799704</v>
      </c>
      <c r="AR75" s="438">
        <f t="shared" si="94"/>
        <v>71775.513704217825</v>
      </c>
      <c r="AS75" s="439">
        <f t="shared" si="94"/>
        <v>74801.272990876285</v>
      </c>
      <c r="AT75" s="126"/>
      <c r="AU75" s="129"/>
      <c r="AV75" s="404"/>
      <c r="AW75" s="404"/>
      <c r="AX75" s="404"/>
      <c r="AY75" s="404"/>
      <c r="AZ75" s="404"/>
      <c r="BA75" s="404"/>
      <c r="BB75" s="404"/>
      <c r="BC75" s="404"/>
      <c r="BD75" s="404"/>
      <c r="BE75" s="404">
        <f>'P&amp;L consol'!BK12</f>
        <v>90089</v>
      </c>
      <c r="BF75" s="404">
        <f>SUM(Z75:AC75)</f>
        <v>23571</v>
      </c>
      <c r="BG75" s="404">
        <f>SUM(AD75:AG75)</f>
        <v>163562</v>
      </c>
      <c r="BH75" s="404">
        <f>SUM(AH75:AK75)</f>
        <v>196484.85945872497</v>
      </c>
      <c r="BI75" s="404">
        <f>SUM(AL75:AO75)</f>
        <v>235873.55961803877</v>
      </c>
      <c r="BJ75" s="404">
        <f>SUM(AP75:AS75)</f>
        <v>281209.75182897726</v>
      </c>
    </row>
    <row r="76" spans="1:80">
      <c r="A76" s="110" t="s">
        <v>349</v>
      </c>
      <c r="B76" s="383"/>
      <c r="C76" s="110"/>
      <c r="D76" s="110"/>
      <c r="E76" s="110"/>
      <c r="F76" s="383"/>
      <c r="G76" s="110"/>
      <c r="H76" s="110"/>
      <c r="I76" s="1171"/>
      <c r="J76" s="110"/>
      <c r="K76" s="110"/>
      <c r="L76" s="110"/>
      <c r="M76" s="1171"/>
      <c r="N76" s="110"/>
      <c r="O76" s="110"/>
      <c r="P76" s="110"/>
      <c r="Q76" s="110"/>
      <c r="R76" s="396"/>
      <c r="S76" s="110"/>
      <c r="T76" s="110"/>
      <c r="U76" s="110"/>
      <c r="V76" s="396"/>
      <c r="W76" s="110"/>
      <c r="X76" s="110"/>
      <c r="Y76" s="110"/>
      <c r="Z76" s="396"/>
      <c r="AA76" s="110"/>
      <c r="AB76" s="110"/>
      <c r="AC76" s="1171"/>
      <c r="AD76" s="383"/>
      <c r="AE76" s="110"/>
      <c r="AF76" s="110"/>
      <c r="AG76" s="1171"/>
      <c r="AH76" s="383"/>
      <c r="AI76" s="110"/>
      <c r="AJ76" s="110"/>
      <c r="AK76" s="1171"/>
      <c r="AL76" s="383"/>
      <c r="AM76" s="110"/>
      <c r="AN76" s="110"/>
      <c r="AO76" s="1171"/>
      <c r="AP76" s="383"/>
      <c r="AQ76" s="110"/>
      <c r="AR76" s="110"/>
      <c r="AS76" s="1171"/>
      <c r="AT76" s="110"/>
      <c r="AU76" s="122"/>
      <c r="AV76" s="57"/>
      <c r="AW76" s="57"/>
      <c r="AX76" s="57"/>
      <c r="AY76" s="57"/>
      <c r="AZ76" s="57"/>
      <c r="BA76" s="57"/>
      <c r="BB76" s="57"/>
      <c r="BC76" s="57"/>
      <c r="BD76" s="57"/>
      <c r="BE76" s="57"/>
      <c r="BF76" s="57">
        <f>BF75/BE75-1</f>
        <v>-0.73835873414068309</v>
      </c>
      <c r="BG76" s="57"/>
      <c r="BH76" s="57"/>
      <c r="BI76" s="57"/>
      <c r="BJ76" s="57"/>
    </row>
    <row r="77" spans="1:80" ht="15" thickBot="1">
      <c r="A77" s="434" t="s">
        <v>350</v>
      </c>
      <c r="B77" s="436">
        <v>8005</v>
      </c>
      <c r="C77" s="435">
        <f>'P&amp;L consol'!K12</f>
        <v>8723</v>
      </c>
      <c r="D77" s="435">
        <f>'P&amp;L consol'!L12</f>
        <v>9249</v>
      </c>
      <c r="E77" s="435">
        <f>'P&amp;L consol'!M12</f>
        <v>9319</v>
      </c>
      <c r="F77" s="436">
        <f>'P&amp;L consol'!N12</f>
        <v>9597</v>
      </c>
      <c r="G77" s="435">
        <f>'P&amp;L consol'!O12</f>
        <v>10385</v>
      </c>
      <c r="H77" s="435">
        <f>'P&amp;L consol'!P12</f>
        <v>10734</v>
      </c>
      <c r="I77" s="437">
        <f>'P&amp;L consol'!Q12</f>
        <v>11093</v>
      </c>
      <c r="J77" s="435">
        <f>'P&amp;L consol'!R12</f>
        <v>10570</v>
      </c>
      <c r="K77" s="435">
        <f>'P&amp;L consol'!S12</f>
        <v>11537</v>
      </c>
      <c r="L77" s="435">
        <f>'P&amp;L consol'!T12</f>
        <v>11906</v>
      </c>
      <c r="M77" s="437">
        <f>'P&amp;L consol'!U12</f>
        <v>12615</v>
      </c>
      <c r="N77" s="435">
        <f>'P&amp;L consol'!V12</f>
        <v>14616</v>
      </c>
      <c r="O77" s="435">
        <f>'P&amp;L consol'!W12</f>
        <v>15694</v>
      </c>
      <c r="P77" s="435">
        <f>'P&amp;L consol'!X12</f>
        <v>16581</v>
      </c>
      <c r="Q77" s="435">
        <f>'P&amp;L consol'!Y12</f>
        <v>17429</v>
      </c>
      <c r="R77" s="436">
        <f>'P&amp;L consol'!Z12</f>
        <v>18294</v>
      </c>
      <c r="S77" s="435">
        <f>'P&amp;L consol'!AA12</f>
        <v>19594</v>
      </c>
      <c r="T77" s="435">
        <f>'P&amp;L consol'!AB12</f>
        <v>20558</v>
      </c>
      <c r="U77" s="435">
        <f>'P&amp;L consol'!AC12</f>
        <v>21700</v>
      </c>
      <c r="V77" s="436">
        <f>'P&amp;L consol'!AD12</f>
        <v>22210</v>
      </c>
      <c r="W77" s="435">
        <f>'P&amp;L consol'!AE12</f>
        <v>22762</v>
      </c>
      <c r="X77" s="435">
        <f>'P&amp;L consol'!AF12</f>
        <v>23233</v>
      </c>
      <c r="Y77" s="435">
        <f>'P&amp;L consol'!AG12</f>
        <v>23184</v>
      </c>
      <c r="Z77" s="436">
        <f>'P&amp;L consol'!AH12</f>
        <v>23571</v>
      </c>
      <c r="AA77" s="435">
        <f>'P&amp;L consol'!AI12</f>
        <v>30256</v>
      </c>
      <c r="AB77" s="435">
        <f>'P&amp;L consol'!AJ12</f>
        <v>32581</v>
      </c>
      <c r="AC77" s="435">
        <f>'P&amp;L consol'!AK12</f>
        <v>34222</v>
      </c>
      <c r="AD77" s="436">
        <f>'P&amp;L consol'!AL12</f>
        <v>36886</v>
      </c>
      <c r="AE77" s="435">
        <f>'P&amp;L consol'!AM12</f>
        <v>39857</v>
      </c>
      <c r="AF77" s="435">
        <f>'P&amp;L consol'!AN12</f>
        <v>42315</v>
      </c>
      <c r="AG77" s="435">
        <f>'P&amp;L consol'!AO12</f>
        <v>44504</v>
      </c>
      <c r="AH77" s="440">
        <f t="shared" ref="AH77:AK77" si="95">AH56*AH3</f>
        <v>54959.157624707601</v>
      </c>
      <c r="AI77" s="438">
        <f t="shared" si="95"/>
        <v>61818.387137859165</v>
      </c>
      <c r="AJ77" s="438">
        <f t="shared" si="95"/>
        <v>64242.611567563275</v>
      </c>
      <c r="AK77" s="439">
        <f t="shared" si="95"/>
        <v>66889.70312859492</v>
      </c>
      <c r="AL77" s="440">
        <f>AL56*AL3</f>
        <v>71797.950977892455</v>
      </c>
      <c r="AM77" s="438">
        <f t="shared" ref="AM77:AO77" si="96">AM56*AM3</f>
        <v>73902.422059632314</v>
      </c>
      <c r="AN77" s="438">
        <f t="shared" si="96"/>
        <v>76124.680688867826</v>
      </c>
      <c r="AO77" s="439">
        <f t="shared" si="96"/>
        <v>78224.505891646128</v>
      </c>
      <c r="AP77" s="440">
        <f t="shared" ref="AP77:AS77" si="97">AP56*AP3</f>
        <v>84305.078831083476</v>
      </c>
      <c r="AQ77" s="438">
        <f t="shared" si="97"/>
        <v>86830.926302799708</v>
      </c>
      <c r="AR77" s="438">
        <f t="shared" si="97"/>
        <v>90027.033704217843</v>
      </c>
      <c r="AS77" s="439">
        <f t="shared" si="97"/>
        <v>93052.792990876289</v>
      </c>
      <c r="AT77" s="126"/>
      <c r="AU77" s="129"/>
      <c r="AV77" s="404"/>
      <c r="AW77" s="404"/>
      <c r="AX77" s="404"/>
      <c r="AY77" s="404"/>
      <c r="AZ77" s="404">
        <f>SUM(B77:E77)</f>
        <v>35296</v>
      </c>
      <c r="BA77" s="404">
        <f>SUM(F77:I77)</f>
        <v>41809</v>
      </c>
      <c r="BB77" s="404">
        <f>SUM(J77:M77)</f>
        <v>46628</v>
      </c>
      <c r="BC77" s="404">
        <f>SUM(N77:Q77)</f>
        <v>64320</v>
      </c>
      <c r="BD77" s="404">
        <f>SUM(R77:U77)</f>
        <v>80146</v>
      </c>
      <c r="BE77" s="404">
        <f>SUM(V77:Y77)</f>
        <v>91389</v>
      </c>
      <c r="BF77" s="404">
        <f>SUM(Z77:AC77)</f>
        <v>120630</v>
      </c>
      <c r="BG77" s="404">
        <f>SUM(AD77:AG77)</f>
        <v>163562</v>
      </c>
      <c r="BH77" s="404">
        <f>SUM(AH77:AK77)</f>
        <v>247909.85945872497</v>
      </c>
      <c r="BI77" s="404">
        <f>SUM(AL77:AO77)</f>
        <v>300049.55961803871</v>
      </c>
      <c r="BJ77" s="404">
        <f>SUM(AP77:AS77)</f>
        <v>354215.83182897733</v>
      </c>
    </row>
    <row r="78" spans="1:80">
      <c r="A78" s="110"/>
      <c r="B78" s="383"/>
      <c r="C78" s="110"/>
      <c r="D78" s="110"/>
      <c r="E78" s="1171"/>
      <c r="F78" s="383"/>
      <c r="G78" s="110"/>
      <c r="H78" s="110"/>
      <c r="I78" s="1171"/>
      <c r="J78" s="110"/>
      <c r="K78" s="110"/>
      <c r="L78" s="110"/>
      <c r="M78" s="1171"/>
      <c r="N78" s="383"/>
      <c r="O78" s="110"/>
      <c r="P78" s="110"/>
      <c r="Q78" s="1171"/>
      <c r="R78" s="383"/>
      <c r="S78" s="110"/>
      <c r="T78" s="110"/>
      <c r="U78" s="1171"/>
      <c r="V78" s="383"/>
      <c r="W78" s="110"/>
      <c r="X78" s="110"/>
      <c r="Y78" s="1171"/>
      <c r="Z78" s="383"/>
      <c r="AA78" s="110"/>
      <c r="AB78" s="110"/>
      <c r="AC78" s="1171"/>
      <c r="AD78" s="383"/>
      <c r="AE78" s="110"/>
      <c r="AF78" s="110"/>
      <c r="AG78" s="1171"/>
      <c r="AH78" s="383"/>
      <c r="AI78" s="110"/>
      <c r="AJ78" s="110"/>
      <c r="AK78" s="1171"/>
      <c r="AL78" s="383"/>
      <c r="AM78" s="110"/>
      <c r="AN78" s="110"/>
      <c r="AO78" s="1171"/>
      <c r="AP78" s="383"/>
      <c r="AQ78" s="110"/>
      <c r="AR78" s="110"/>
      <c r="AS78" s="1171"/>
      <c r="AT78" s="110"/>
      <c r="AU78" s="110"/>
      <c r="AV78" s="129"/>
      <c r="AW78" s="129"/>
      <c r="AX78" s="129"/>
      <c r="AY78" s="57"/>
      <c r="AZ78" s="57"/>
      <c r="BA78" s="57">
        <f t="shared" ref="BA78" si="98">BA77/AZ77-1</f>
        <v>0.18452515865820485</v>
      </c>
      <c r="BB78" s="57">
        <f t="shared" ref="BB78" si="99">BB77/BA77-1</f>
        <v>0.11526226410581453</v>
      </c>
      <c r="BC78" s="57">
        <f t="shared" ref="BC78" si="100">BC77/BB77-1</f>
        <v>0.37942866946898857</v>
      </c>
      <c r="BD78" s="57">
        <f>BD77/BC77-1</f>
        <v>0.24605099502487571</v>
      </c>
      <c r="BE78" s="57">
        <f t="shared" ref="BE78" si="101">BE77/BD77-1</f>
        <v>0.14028148628752524</v>
      </c>
      <c r="BF78" s="57">
        <f t="shared" ref="BF78" si="102">BF77/BE77-1</f>
        <v>0.31996192101894105</v>
      </c>
      <c r="BG78" s="57">
        <f t="shared" ref="BG78" si="103">BG77/BF77-1</f>
        <v>0.3558982011108347</v>
      </c>
      <c r="BH78" s="57">
        <f t="shared" ref="BH78:BJ78" si="104">BH77/BG77-1</f>
        <v>0.51569349518057361</v>
      </c>
      <c r="BI78" s="57">
        <f t="shared" si="104"/>
        <v>0.21031717041489673</v>
      </c>
      <c r="BJ78" s="57">
        <f t="shared" si="104"/>
        <v>0.18052441829907018</v>
      </c>
    </row>
    <row r="79" spans="1:80">
      <c r="A79" s="110"/>
      <c r="B79" s="383"/>
      <c r="C79" s="110"/>
      <c r="D79" s="110"/>
      <c r="E79" s="1171"/>
      <c r="F79" s="383"/>
      <c r="G79" s="110"/>
      <c r="H79" s="110"/>
      <c r="I79" s="1171"/>
      <c r="J79" s="110"/>
      <c r="K79" s="110"/>
      <c r="L79" s="110"/>
      <c r="M79" s="1171"/>
      <c r="N79" s="383"/>
      <c r="O79" s="110"/>
      <c r="P79" s="110"/>
      <c r="Q79" s="1171"/>
      <c r="R79" s="383"/>
      <c r="S79" s="110"/>
      <c r="T79" s="110"/>
      <c r="U79" s="1171"/>
      <c r="V79" s="383"/>
      <c r="W79" s="110"/>
      <c r="X79" s="110"/>
      <c r="Y79" s="1171"/>
      <c r="Z79" s="383"/>
      <c r="AA79" s="110"/>
      <c r="AB79" s="110"/>
      <c r="AC79" s="1171"/>
      <c r="AD79" s="383"/>
      <c r="AE79" s="110"/>
      <c r="AF79" s="110"/>
      <c r="AG79" s="1171"/>
      <c r="AH79" s="383"/>
      <c r="AI79" s="110"/>
      <c r="AJ79" s="110"/>
      <c r="AK79" s="1171"/>
      <c r="AL79" s="383"/>
      <c r="AM79" s="110"/>
      <c r="AN79" s="110"/>
      <c r="AO79" s="1171"/>
      <c r="AP79" s="383"/>
      <c r="AQ79" s="110"/>
      <c r="AR79" s="110"/>
      <c r="AS79" s="1171"/>
      <c r="AT79" s="110"/>
      <c r="AU79" s="110"/>
      <c r="AV79" s="129"/>
      <c r="AW79" s="129"/>
      <c r="AX79" s="129"/>
      <c r="AY79" s="57"/>
      <c r="AZ79" s="57"/>
      <c r="BA79" s="57"/>
      <c r="BB79" s="57"/>
      <c r="BC79" s="57"/>
      <c r="BD79" s="57"/>
      <c r="BE79" s="57"/>
      <c r="BF79" s="57"/>
      <c r="BG79" s="57"/>
      <c r="BH79" s="57"/>
      <c r="BI79" s="57"/>
      <c r="BJ79" s="57"/>
    </row>
    <row r="80" spans="1:80">
      <c r="A80" s="126" t="s">
        <v>351</v>
      </c>
      <c r="B80" s="529"/>
      <c r="C80" s="126"/>
      <c r="D80" s="126"/>
      <c r="E80" s="1204"/>
      <c r="F80" s="529"/>
      <c r="G80" s="126"/>
      <c r="H80" s="126"/>
      <c r="I80" s="1204"/>
      <c r="J80" s="126"/>
      <c r="K80" s="126"/>
      <c r="L80" s="126"/>
      <c r="M80" s="1204"/>
      <c r="N80" s="529"/>
      <c r="O80" s="126"/>
      <c r="P80" s="126"/>
      <c r="Q80" s="1204"/>
      <c r="R80" s="529"/>
      <c r="S80" s="126"/>
      <c r="T80" s="126"/>
      <c r="U80" s="1204"/>
      <c r="V80" s="529"/>
      <c r="W80" s="126"/>
      <c r="X80" s="126"/>
      <c r="Y80" s="1204"/>
      <c r="Z80" s="529"/>
      <c r="AA80" s="126"/>
      <c r="AB80" s="126"/>
      <c r="AC80" s="1204"/>
      <c r="AD80" s="529"/>
      <c r="AE80" s="126"/>
      <c r="AF80" s="126"/>
      <c r="AG80" s="1204"/>
      <c r="AH80" s="529"/>
      <c r="AI80" s="126"/>
      <c r="AJ80" s="126"/>
      <c r="AK80" s="1204"/>
      <c r="AL80" s="529"/>
      <c r="AM80" s="126"/>
      <c r="AN80" s="126"/>
      <c r="AO80" s="1204"/>
      <c r="AP80" s="529"/>
      <c r="AQ80" s="126"/>
      <c r="AR80" s="126"/>
      <c r="AS80" s="1204"/>
      <c r="AT80" s="126"/>
      <c r="AU80" s="126"/>
      <c r="AV80" s="129"/>
      <c r="AW80" s="129"/>
      <c r="AX80" s="129"/>
      <c r="AY80" s="530"/>
      <c r="AZ80" s="530"/>
      <c r="BA80" s="530"/>
      <c r="BB80" s="530"/>
      <c r="BC80" s="530"/>
      <c r="BD80" s="530"/>
      <c r="BE80" s="530"/>
      <c r="BF80" s="530"/>
      <c r="BG80" s="530"/>
      <c r="BH80" s="530"/>
      <c r="BI80" s="530"/>
      <c r="BJ80" s="530"/>
    </row>
    <row r="81" spans="1:64">
      <c r="A81" s="110" t="s">
        <v>352</v>
      </c>
      <c r="B81" s="383"/>
      <c r="C81" s="110"/>
      <c r="D81" s="110"/>
      <c r="E81" s="1171"/>
      <c r="F81" s="383"/>
      <c r="G81" s="110"/>
      <c r="H81" s="110"/>
      <c r="I81" s="1171"/>
      <c r="J81" s="110"/>
      <c r="K81" s="110"/>
      <c r="L81" s="110"/>
      <c r="M81" s="1171"/>
      <c r="N81" s="383"/>
      <c r="O81" s="110"/>
      <c r="P81" s="110"/>
      <c r="Q81" s="1171"/>
      <c r="R81" s="383"/>
      <c r="S81" s="110"/>
      <c r="T81" s="110"/>
      <c r="U81" s="1171"/>
      <c r="V81" s="383"/>
      <c r="W81" s="110"/>
      <c r="X81" s="110"/>
      <c r="Y81" s="1171"/>
      <c r="Z81" s="383"/>
      <c r="AA81" s="110"/>
      <c r="AB81" s="110"/>
      <c r="AC81" s="1171"/>
      <c r="AD81" s="383"/>
      <c r="AE81" s="110"/>
      <c r="AF81" s="110"/>
      <c r="AG81" s="1171"/>
      <c r="AH81" s="383"/>
      <c r="AI81" s="110"/>
      <c r="AJ81" s="110"/>
      <c r="AK81" s="1171"/>
      <c r="AL81" s="383"/>
      <c r="AM81" s="110"/>
      <c r="AN81" s="110"/>
      <c r="AO81" s="1171"/>
      <c r="AP81" s="383"/>
      <c r="AQ81" s="110"/>
      <c r="AR81" s="110"/>
      <c r="AS81" s="1171"/>
      <c r="AT81" s="110"/>
      <c r="AU81" s="110"/>
      <c r="AV81" s="129"/>
      <c r="AW81" s="129"/>
      <c r="AX81" s="129"/>
      <c r="AY81" s="531"/>
      <c r="AZ81" s="531"/>
      <c r="BA81" s="531"/>
      <c r="BB81" s="531"/>
      <c r="BC81" s="531"/>
      <c r="BD81" s="531"/>
      <c r="BE81" s="531"/>
      <c r="BF81" s="531"/>
      <c r="BG81" s="531"/>
      <c r="BH81" s="531"/>
      <c r="BI81" s="531"/>
      <c r="BJ81" s="531"/>
    </row>
    <row r="82" spans="1:64">
      <c r="A82" s="110" t="s">
        <v>353</v>
      </c>
      <c r="B82" s="383"/>
      <c r="C82" s="110"/>
      <c r="D82" s="110"/>
      <c r="E82" s="1171"/>
      <c r="F82" s="383"/>
      <c r="G82" s="110"/>
      <c r="H82" s="110"/>
      <c r="I82" s="1171"/>
      <c r="J82" s="110"/>
      <c r="K82" s="110"/>
      <c r="L82" s="110"/>
      <c r="M82" s="1171"/>
      <c r="N82" s="383"/>
      <c r="O82" s="110"/>
      <c r="P82" s="110"/>
      <c r="Q82" s="1171"/>
      <c r="R82" s="383"/>
      <c r="S82" s="110"/>
      <c r="T82" s="110"/>
      <c r="U82" s="1171"/>
      <c r="V82" s="383"/>
      <c r="W82" s="110"/>
      <c r="X82" s="110"/>
      <c r="Y82" s="1171"/>
      <c r="Z82" s="383"/>
      <c r="AA82" s="110"/>
      <c r="AB82" s="110"/>
      <c r="AC82" s="1171"/>
      <c r="AD82" s="383"/>
      <c r="AE82" s="110"/>
      <c r="AF82" s="110"/>
      <c r="AG82" s="1171"/>
      <c r="AH82" s="383"/>
      <c r="AI82" s="110"/>
      <c r="AJ82" s="110"/>
      <c r="AK82" s="1171"/>
      <c r="AL82" s="383"/>
      <c r="AM82" s="110"/>
      <c r="AN82" s="110"/>
      <c r="AO82" s="1171"/>
      <c r="AP82" s="383"/>
      <c r="AQ82" s="110"/>
      <c r="AR82" s="110"/>
      <c r="AS82" s="1171"/>
      <c r="AT82" s="110"/>
      <c r="AU82" s="110"/>
      <c r="AV82" s="129"/>
      <c r="AW82" s="129"/>
      <c r="AX82" s="129"/>
      <c r="AY82" s="57"/>
      <c r="AZ82" s="57"/>
      <c r="BA82" s="57"/>
      <c r="BB82" s="57"/>
      <c r="BC82" s="57"/>
      <c r="BD82" s="57"/>
      <c r="BE82" s="57"/>
      <c r="BF82" s="57"/>
      <c r="BG82" s="57"/>
      <c r="BH82" s="57"/>
      <c r="BI82" s="57"/>
      <c r="BJ82" s="57"/>
    </row>
    <row r="83" spans="1:64">
      <c r="A83" s="110" t="s">
        <v>354</v>
      </c>
      <c r="B83" s="383"/>
      <c r="C83" s="110"/>
      <c r="D83" s="110"/>
      <c r="E83" s="1171"/>
      <c r="F83" s="383"/>
      <c r="G83" s="110"/>
      <c r="H83" s="110"/>
      <c r="I83" s="1171"/>
      <c r="J83" s="110"/>
      <c r="K83" s="110"/>
      <c r="L83" s="110"/>
      <c r="M83" s="1171"/>
      <c r="N83" s="383"/>
      <c r="O83" s="110"/>
      <c r="P83" s="110"/>
      <c r="Q83" s="1171"/>
      <c r="R83" s="383"/>
      <c r="S83" s="110"/>
      <c r="T83" s="110"/>
      <c r="U83" s="1171"/>
      <c r="V83" s="383"/>
      <c r="W83" s="110"/>
      <c r="X83" s="110"/>
      <c r="Y83" s="1171"/>
      <c r="Z83" s="383"/>
      <c r="AA83" s="110"/>
      <c r="AB83" s="110"/>
      <c r="AC83" s="1171"/>
      <c r="AD83" s="383"/>
      <c r="AE83" s="110"/>
      <c r="AF83" s="110"/>
      <c r="AG83" s="1171"/>
      <c r="AH83" s="383"/>
      <c r="AI83" s="110"/>
      <c r="AJ83" s="110"/>
      <c r="AK83" s="1171"/>
      <c r="AL83" s="383"/>
      <c r="AM83" s="110"/>
      <c r="AN83" s="110"/>
      <c r="AO83" s="1171"/>
      <c r="AP83" s="383"/>
      <c r="AQ83" s="110"/>
      <c r="AR83" s="110"/>
      <c r="AS83" s="1171"/>
      <c r="AT83" s="110"/>
      <c r="AU83" s="110"/>
      <c r="AV83" s="129"/>
      <c r="AW83" s="129"/>
      <c r="AX83" s="129"/>
      <c r="AY83" s="57">
        <v>0.03</v>
      </c>
      <c r="AZ83" s="57">
        <v>0.03</v>
      </c>
      <c r="BA83" s="57">
        <v>2.5000000000000001E-2</v>
      </c>
      <c r="BB83" s="57">
        <v>-3.3000000000000002E-2</v>
      </c>
      <c r="BC83" s="57">
        <v>5.8000000000000003E-2</v>
      </c>
      <c r="BD83" s="57">
        <v>0.03</v>
      </c>
      <c r="BE83" s="57">
        <v>1.7999999999999999E-2</v>
      </c>
      <c r="BF83" s="57">
        <v>2.3E-2</v>
      </c>
      <c r="BG83" s="57">
        <v>2.8000000000000001E-2</v>
      </c>
      <c r="BH83" s="57">
        <v>2.7E-2</v>
      </c>
      <c r="BI83" s="57">
        <v>2.7E-2</v>
      </c>
      <c r="BJ83" s="57">
        <v>2.7E-2</v>
      </c>
    </row>
    <row r="84" spans="1:64">
      <c r="A84" s="110"/>
      <c r="B84" s="383"/>
      <c r="C84" s="110"/>
      <c r="D84" s="110"/>
      <c r="E84" s="1171"/>
      <c r="F84" s="383"/>
      <c r="G84" s="110"/>
      <c r="H84" s="110"/>
      <c r="I84" s="1171"/>
      <c r="J84" s="110"/>
      <c r="K84" s="110"/>
      <c r="L84" s="110"/>
      <c r="M84" s="1171"/>
      <c r="N84" s="383"/>
      <c r="O84" s="110"/>
      <c r="P84" s="110"/>
      <c r="Q84" s="1171"/>
      <c r="R84" s="383"/>
      <c r="S84" s="110"/>
      <c r="T84" s="110"/>
      <c r="U84" s="1171"/>
      <c r="V84" s="383"/>
      <c r="W84" s="110"/>
      <c r="X84" s="110"/>
      <c r="Y84" s="1171"/>
      <c r="Z84" s="383"/>
      <c r="AA84" s="110"/>
      <c r="AB84" s="110"/>
      <c r="AC84" s="1171"/>
      <c r="AD84" s="383"/>
      <c r="AE84" s="110"/>
      <c r="AF84" s="110"/>
      <c r="AG84" s="1171"/>
      <c r="AH84" s="383"/>
      <c r="AI84" s="110"/>
      <c r="AJ84" s="110"/>
      <c r="AK84" s="1171"/>
      <c r="AL84" s="383"/>
      <c r="AM84" s="110"/>
      <c r="AN84" s="110"/>
      <c r="AO84" s="1171"/>
      <c r="AP84" s="383"/>
      <c r="AQ84" s="110"/>
      <c r="AR84" s="110"/>
      <c r="AS84" s="1171"/>
      <c r="AT84" s="110"/>
      <c r="AU84" s="110"/>
      <c r="AV84" s="129"/>
      <c r="AW84" s="129"/>
      <c r="AX84" s="129"/>
    </row>
    <row r="85" spans="1:64">
      <c r="A85" s="126" t="s">
        <v>355</v>
      </c>
      <c r="B85" s="383"/>
      <c r="C85" s="110"/>
      <c r="D85" s="110"/>
      <c r="E85" s="1171"/>
      <c r="F85" s="383"/>
      <c r="G85" s="110"/>
      <c r="H85" s="110"/>
      <c r="I85" s="1171"/>
      <c r="J85" s="110"/>
      <c r="K85" s="110"/>
      <c r="L85" s="110"/>
      <c r="M85" s="1171"/>
      <c r="N85" s="383"/>
      <c r="O85" s="110"/>
      <c r="P85" s="110"/>
      <c r="Q85" s="1171"/>
      <c r="R85" s="383"/>
      <c r="S85" s="110"/>
      <c r="T85" s="110"/>
      <c r="U85" s="1171"/>
      <c r="V85" s="383"/>
      <c r="W85" s="110"/>
      <c r="X85" s="110"/>
      <c r="Y85" s="1171"/>
      <c r="Z85" s="383"/>
      <c r="AA85" s="110"/>
      <c r="AB85" s="110"/>
      <c r="AC85" s="1171"/>
      <c r="AD85" s="383"/>
      <c r="AE85" s="110"/>
      <c r="AF85" s="110"/>
      <c r="AG85" s="1171"/>
      <c r="AH85" s="383"/>
      <c r="AI85" s="110"/>
      <c r="AJ85" s="110"/>
      <c r="AK85" s="1171"/>
      <c r="AL85" s="383"/>
      <c r="AM85" s="110"/>
      <c r="AN85" s="110"/>
      <c r="AO85" s="1171"/>
      <c r="AP85" s="383"/>
      <c r="AQ85" s="110"/>
      <c r="AR85" s="110"/>
      <c r="AS85" s="1171"/>
      <c r="AT85" s="110"/>
      <c r="AU85" s="110"/>
      <c r="AV85" s="129"/>
      <c r="AW85" s="129"/>
      <c r="AX85" s="129"/>
      <c r="AY85" s="57"/>
      <c r="AZ85" s="57"/>
      <c r="BA85" s="57"/>
      <c r="BB85" s="57"/>
      <c r="BC85" s="57"/>
      <c r="BD85" s="57"/>
      <c r="BE85" s="57"/>
      <c r="BF85" s="57"/>
      <c r="BG85" s="57"/>
      <c r="BH85" s="57"/>
      <c r="BI85" s="57"/>
      <c r="BJ85" s="57"/>
    </row>
    <row r="86" spans="1:64">
      <c r="A86" s="110" t="s">
        <v>356</v>
      </c>
      <c r="B86" s="383"/>
      <c r="C86" s="110"/>
      <c r="D86" s="110"/>
      <c r="E86" s="1171"/>
      <c r="F86" s="383"/>
      <c r="G86" s="110"/>
      <c r="H86" s="110"/>
      <c r="I86" s="1171"/>
      <c r="J86" s="110"/>
      <c r="K86" s="110"/>
      <c r="L86" s="110"/>
      <c r="M86" s="1171"/>
      <c r="N86" s="383"/>
      <c r="O86" s="110"/>
      <c r="P86" s="110"/>
      <c r="Q86" s="1171"/>
      <c r="R86" s="383"/>
      <c r="S86" s="110"/>
      <c r="T86" s="110"/>
      <c r="U86" s="1171"/>
      <c r="V86" s="383"/>
      <c r="W86" s="110"/>
      <c r="X86" s="110"/>
      <c r="Y86" s="1171"/>
      <c r="Z86" s="383"/>
      <c r="AA86" s="110"/>
      <c r="AB86" s="110"/>
      <c r="AC86" s="1171"/>
      <c r="AD86" s="383"/>
      <c r="AE86" s="110"/>
      <c r="AF86" s="110"/>
      <c r="AG86" s="1171"/>
      <c r="AH86" s="383"/>
      <c r="AI86" s="110"/>
      <c r="AJ86" s="110"/>
      <c r="AK86" s="1171"/>
      <c r="AL86" s="383"/>
      <c r="AM86" s="110"/>
      <c r="AN86" s="110"/>
      <c r="AO86" s="1171"/>
      <c r="AP86" s="383"/>
      <c r="AQ86" s="110"/>
      <c r="AR86" s="110"/>
      <c r="AS86" s="1171"/>
      <c r="AT86" s="110"/>
      <c r="AU86" s="110"/>
      <c r="AV86" s="129"/>
      <c r="AW86" s="129"/>
      <c r="AX86" s="129"/>
      <c r="AY86" s="57"/>
      <c r="AZ86" s="57"/>
      <c r="BA86" s="57"/>
      <c r="BB86" s="57"/>
      <c r="BC86" s="57"/>
      <c r="BD86" s="57"/>
      <c r="BE86" s="57">
        <v>5.5E-2</v>
      </c>
      <c r="BF86" s="57"/>
      <c r="BG86" s="57"/>
      <c r="BH86" s="57"/>
      <c r="BI86" s="57"/>
      <c r="BJ86" s="57"/>
    </row>
    <row r="87" spans="1:64">
      <c r="A87" s="110" t="s">
        <v>357</v>
      </c>
      <c r="B87" s="383"/>
      <c r="C87" s="110"/>
      <c r="D87" s="110"/>
      <c r="E87" s="1171"/>
      <c r="F87" s="383"/>
      <c r="G87" s="110"/>
      <c r="H87" s="110"/>
      <c r="I87" s="1171"/>
      <c r="J87" s="110"/>
      <c r="K87" s="110"/>
      <c r="L87" s="110"/>
      <c r="M87" s="1171"/>
      <c r="N87" s="383"/>
      <c r="O87" s="110"/>
      <c r="P87" s="110"/>
      <c r="Q87" s="1171"/>
      <c r="R87" s="383"/>
      <c r="S87" s="110"/>
      <c r="T87" s="110"/>
      <c r="U87" s="1171"/>
      <c r="V87" s="383"/>
      <c r="W87" s="110"/>
      <c r="X87" s="110"/>
      <c r="Y87" s="1171"/>
      <c r="Z87" s="383"/>
      <c r="AA87" s="110"/>
      <c r="AB87" s="110"/>
      <c r="AC87" s="1171"/>
      <c r="AD87" s="383"/>
      <c r="AE87" s="110"/>
      <c r="AF87" s="110"/>
      <c r="AG87" s="1171"/>
      <c r="AH87" s="383"/>
      <c r="AI87" s="110"/>
      <c r="AJ87" s="110"/>
      <c r="AK87" s="1171"/>
      <c r="AL87" s="383"/>
      <c r="AM87" s="110"/>
      <c r="AN87" s="110"/>
      <c r="AO87" s="1171"/>
      <c r="AP87" s="383"/>
      <c r="AQ87" s="110"/>
      <c r="AR87" s="110"/>
      <c r="AS87" s="1171"/>
      <c r="AT87" s="110"/>
      <c r="AU87" s="110"/>
      <c r="AV87" s="129"/>
      <c r="AW87" s="129"/>
      <c r="AX87" s="129"/>
      <c r="AY87" s="57">
        <v>6.9000000000000006E-2</v>
      </c>
      <c r="AZ87" s="57">
        <v>0.08</v>
      </c>
      <c r="BA87" s="57">
        <v>6.4000000000000001E-2</v>
      </c>
      <c r="BB87" s="57">
        <v>4.2999999999999997E-2</v>
      </c>
      <c r="BC87" s="57">
        <v>0.12</v>
      </c>
      <c r="BD87" s="57">
        <v>0.08</v>
      </c>
      <c r="BE87" s="57">
        <v>5.0999999999999997E-2</v>
      </c>
      <c r="BF87" s="57">
        <v>7.1999999999999995E-2</v>
      </c>
      <c r="BG87" s="57">
        <v>7.0999999999999994E-2</v>
      </c>
      <c r="BH87" s="57">
        <v>7.0999999999999994E-2</v>
      </c>
      <c r="BI87" s="57">
        <v>7.0999999999999994E-2</v>
      </c>
      <c r="BJ87" s="57">
        <v>7.0999999999999994E-2</v>
      </c>
    </row>
    <row r="88" spans="1:64">
      <c r="A88" s="110"/>
      <c r="B88" s="383"/>
      <c r="C88" s="110"/>
      <c r="D88" s="110"/>
      <c r="E88" s="1171"/>
      <c r="F88" s="383"/>
      <c r="G88" s="110"/>
      <c r="H88" s="110"/>
      <c r="I88" s="1171"/>
      <c r="J88" s="110"/>
      <c r="K88" s="110"/>
      <c r="L88" s="110"/>
      <c r="M88" s="1171"/>
      <c r="N88" s="383"/>
      <c r="O88" s="110"/>
      <c r="P88" s="110"/>
      <c r="Q88" s="1171"/>
      <c r="R88" s="383"/>
      <c r="S88" s="110"/>
      <c r="T88" s="110"/>
      <c r="U88" s="1171"/>
      <c r="V88" s="383"/>
      <c r="W88" s="110"/>
      <c r="X88" s="110"/>
      <c r="Y88" s="1171"/>
      <c r="Z88" s="383"/>
      <c r="AA88" s="110"/>
      <c r="AB88" s="110"/>
      <c r="AC88" s="1171"/>
      <c r="AD88" s="383"/>
      <c r="AE88" s="110"/>
      <c r="AF88" s="110"/>
      <c r="AG88" s="1171"/>
      <c r="AH88" s="383"/>
      <c r="AI88" s="110"/>
      <c r="AJ88" s="110"/>
      <c r="AK88" s="1171"/>
      <c r="AL88" s="383"/>
      <c r="AM88" s="110"/>
      <c r="AN88" s="110"/>
      <c r="AO88" s="1171"/>
      <c r="AP88" s="383"/>
      <c r="AQ88" s="110"/>
      <c r="AR88" s="110"/>
      <c r="AS88" s="1171"/>
      <c r="AT88" s="110"/>
      <c r="AU88" s="110"/>
      <c r="AV88" s="129"/>
      <c r="AW88" s="129"/>
      <c r="AX88" s="129"/>
      <c r="AY88" s="57"/>
      <c r="AZ88" s="57"/>
      <c r="BA88" s="57"/>
      <c r="BB88" s="57"/>
      <c r="BC88" s="57"/>
      <c r="BD88" s="57"/>
      <c r="BE88" s="57"/>
      <c r="BF88" s="57"/>
      <c r="BG88" s="57"/>
      <c r="BH88" s="57"/>
      <c r="BI88" s="57"/>
      <c r="BJ88" s="57"/>
    </row>
    <row r="89" spans="1:64">
      <c r="A89" s="110" t="s">
        <v>358</v>
      </c>
      <c r="B89" s="383"/>
      <c r="C89" s="110"/>
      <c r="D89" s="110"/>
      <c r="E89" s="1171"/>
      <c r="F89" s="383"/>
      <c r="G89" s="110"/>
      <c r="H89" s="110"/>
      <c r="I89" s="1171"/>
      <c r="J89" s="110"/>
      <c r="K89" s="110"/>
      <c r="L89" s="110"/>
      <c r="M89" s="1171"/>
      <c r="N89" s="383"/>
      <c r="O89" s="110"/>
      <c r="P89" s="110"/>
      <c r="Q89" s="1171"/>
      <c r="R89" s="383"/>
      <c r="S89" s="110"/>
      <c r="T89" s="110"/>
      <c r="U89" s="1171"/>
      <c r="V89" s="383"/>
      <c r="W89" s="110"/>
      <c r="X89" s="110"/>
      <c r="Y89" s="1171"/>
      <c r="Z89" s="383"/>
      <c r="AA89" s="110"/>
      <c r="AB89" s="110"/>
      <c r="AC89" s="1171"/>
      <c r="AD89" s="383"/>
      <c r="AE89" s="110"/>
      <c r="AF89" s="110"/>
      <c r="AG89" s="1171"/>
      <c r="AH89" s="383"/>
      <c r="AI89" s="110"/>
      <c r="AJ89" s="110"/>
      <c r="AK89" s="1171"/>
      <c r="AL89" s="383"/>
      <c r="AM89" s="110"/>
      <c r="AN89" s="110"/>
      <c r="AO89" s="1171"/>
      <c r="AP89" s="383"/>
      <c r="AQ89" s="110"/>
      <c r="AR89" s="110"/>
      <c r="AS89" s="1171"/>
      <c r="AT89" s="110"/>
      <c r="AU89" s="110"/>
      <c r="AV89" s="129"/>
      <c r="AW89" s="129"/>
      <c r="AX89" s="129"/>
      <c r="AY89" s="57"/>
      <c r="AZ89" s="57"/>
      <c r="BA89" s="57"/>
      <c r="BB89" s="57"/>
      <c r="BC89" s="57"/>
      <c r="BD89" s="57"/>
      <c r="BE89" s="57"/>
      <c r="BF89" s="57"/>
      <c r="BG89" s="57"/>
      <c r="BH89" s="57"/>
      <c r="BI89" s="57"/>
      <c r="BJ89" s="57"/>
    </row>
    <row r="90" spans="1:64">
      <c r="A90" s="110" t="s">
        <v>359</v>
      </c>
      <c r="B90" s="383"/>
      <c r="C90" s="110"/>
      <c r="D90" s="110"/>
      <c r="E90" s="1171"/>
      <c r="F90" s="383"/>
      <c r="G90" s="110"/>
      <c r="H90" s="110"/>
      <c r="I90" s="1171"/>
      <c r="J90" s="110"/>
      <c r="K90" s="110"/>
      <c r="L90" s="110"/>
      <c r="M90" s="1171"/>
      <c r="N90" s="383"/>
      <c r="O90" s="110"/>
      <c r="P90" s="110"/>
      <c r="Q90" s="1171"/>
      <c r="R90" s="383"/>
      <c r="S90" s="110"/>
      <c r="T90" s="110"/>
      <c r="U90" s="1171"/>
      <c r="V90" s="383"/>
      <c r="W90" s="110"/>
      <c r="X90" s="110"/>
      <c r="Y90" s="1171"/>
      <c r="Z90" s="383"/>
      <c r="AA90" s="110"/>
      <c r="AB90" s="110"/>
      <c r="AC90" s="1171"/>
      <c r="AD90" s="383"/>
      <c r="AE90" s="110"/>
      <c r="AF90" s="110"/>
      <c r="AG90" s="1171"/>
      <c r="AH90" s="383"/>
      <c r="AI90" s="110"/>
      <c r="AJ90" s="110"/>
      <c r="AK90" s="1171"/>
      <c r="AL90" s="383"/>
      <c r="AM90" s="110"/>
      <c r="AN90" s="110"/>
      <c r="AO90" s="1171"/>
      <c r="AP90" s="383"/>
      <c r="AQ90" s="110"/>
      <c r="AR90" s="110"/>
      <c r="AS90" s="1171"/>
      <c r="AT90" s="110"/>
      <c r="AU90" s="110"/>
      <c r="AV90" s="129"/>
      <c r="AW90" s="129"/>
      <c r="AX90" s="129"/>
      <c r="AY90" s="57"/>
      <c r="AZ90" s="57"/>
      <c r="BA90" s="57"/>
      <c r="BB90" s="57"/>
      <c r="BC90" s="57"/>
      <c r="BD90" s="57"/>
      <c r="BE90" s="57"/>
      <c r="BF90" s="57"/>
      <c r="BG90" s="57"/>
      <c r="BH90" s="57"/>
      <c r="BI90" s="57"/>
      <c r="BJ90" s="57"/>
    </row>
    <row r="91" spans="1:64">
      <c r="A91" s="110" t="s">
        <v>360</v>
      </c>
      <c r="B91" s="383"/>
      <c r="C91" s="110"/>
      <c r="D91" s="110"/>
      <c r="E91" s="1171"/>
      <c r="F91" s="383"/>
      <c r="G91" s="110"/>
      <c r="H91" s="110"/>
      <c r="I91" s="1171"/>
      <c r="J91" s="110"/>
      <c r="K91" s="110"/>
      <c r="L91" s="110"/>
      <c r="M91" s="1171"/>
      <c r="N91" s="383"/>
      <c r="O91" s="110"/>
      <c r="P91" s="110"/>
      <c r="Q91" s="1171"/>
      <c r="R91" s="383"/>
      <c r="S91" s="110"/>
      <c r="T91" s="110"/>
      <c r="U91" s="1171"/>
      <c r="V91" s="383"/>
      <c r="W91" s="110"/>
      <c r="X91" s="110"/>
      <c r="Y91" s="1171"/>
      <c r="Z91" s="383"/>
      <c r="AA91" s="110"/>
      <c r="AB91" s="110"/>
      <c r="AC91" s="1171"/>
      <c r="AD91" s="383"/>
      <c r="AE91" s="110"/>
      <c r="AF91" s="110"/>
      <c r="AG91" s="1171"/>
      <c r="AH91" s="383"/>
      <c r="AI91" s="110"/>
      <c r="AJ91" s="110"/>
      <c r="AK91" s="1171"/>
      <c r="AL91" s="383"/>
      <c r="AM91" s="110"/>
      <c r="AN91" s="110"/>
      <c r="AO91" s="1171"/>
      <c r="AP91" s="383"/>
      <c r="AQ91" s="110"/>
      <c r="AR91" s="110"/>
      <c r="AS91" s="1171"/>
      <c r="AT91" s="110"/>
      <c r="AU91" s="110"/>
      <c r="AV91" s="129"/>
      <c r="AW91" s="129"/>
      <c r="AX91" s="129"/>
      <c r="AY91" s="57"/>
      <c r="AZ91" s="57"/>
      <c r="BA91" s="57"/>
      <c r="BB91" s="57"/>
      <c r="BC91" s="57"/>
      <c r="BD91" s="57"/>
      <c r="BE91" s="57"/>
      <c r="BF91" s="57"/>
      <c r="BG91" s="57"/>
      <c r="BH91" s="57"/>
      <c r="BI91" s="57"/>
      <c r="BJ91" s="57"/>
    </row>
    <row r="92" spans="1:64">
      <c r="A92" s="110" t="s">
        <v>361</v>
      </c>
      <c r="B92" s="383"/>
      <c r="C92" s="110"/>
      <c r="D92" s="110"/>
      <c r="E92" s="1171"/>
      <c r="F92" s="383"/>
      <c r="G92" s="110"/>
      <c r="H92" s="110"/>
      <c r="I92" s="1171"/>
      <c r="J92" s="110"/>
      <c r="K92" s="110"/>
      <c r="L92" s="110"/>
      <c r="M92" s="1171"/>
      <c r="N92" s="383"/>
      <c r="O92" s="110"/>
      <c r="P92" s="110"/>
      <c r="Q92" s="1171"/>
      <c r="R92" s="383"/>
      <c r="S92" s="110"/>
      <c r="T92" s="110"/>
      <c r="U92" s="1171"/>
      <c r="V92" s="383"/>
      <c r="W92" s="110"/>
      <c r="X92" s="110"/>
      <c r="Y92" s="1171"/>
      <c r="Z92" s="383"/>
      <c r="AA92" s="110"/>
      <c r="AB92" s="110"/>
      <c r="AC92" s="1171"/>
      <c r="AD92" s="383"/>
      <c r="AE92" s="110"/>
      <c r="AF92" s="110"/>
      <c r="AG92" s="1171"/>
      <c r="AH92" s="383"/>
      <c r="AI92" s="110"/>
      <c r="AJ92" s="110"/>
      <c r="AK92" s="1171"/>
      <c r="AL92" s="383"/>
      <c r="AM92" s="110"/>
      <c r="AN92" s="110"/>
      <c r="AO92" s="1171"/>
      <c r="AP92" s="383"/>
      <c r="AQ92" s="110"/>
      <c r="AR92" s="110"/>
      <c r="AS92" s="1171"/>
      <c r="AT92" s="110"/>
      <c r="AU92" s="110"/>
      <c r="AV92" s="129"/>
      <c r="AW92" s="129"/>
      <c r="AX92" s="129"/>
      <c r="AY92" s="57"/>
      <c r="AZ92" s="57"/>
      <c r="BA92" s="57"/>
      <c r="BB92" s="57"/>
      <c r="BC92" s="57"/>
      <c r="BD92" s="57"/>
      <c r="BE92" s="57"/>
      <c r="BF92" s="57"/>
      <c r="BG92" s="57"/>
      <c r="BH92" s="57"/>
      <c r="BI92" s="57"/>
      <c r="BJ92" s="57"/>
    </row>
    <row r="93" spans="1:64">
      <c r="A93" s="110"/>
      <c r="B93" s="383"/>
      <c r="C93" s="110"/>
      <c r="D93" s="110"/>
      <c r="E93" s="1171"/>
      <c r="F93" s="383"/>
      <c r="G93" s="110"/>
      <c r="H93" s="110"/>
      <c r="I93" s="1171"/>
      <c r="J93" s="110"/>
      <c r="K93" s="110"/>
      <c r="L93" s="110"/>
      <c r="M93" s="1171"/>
      <c r="N93" s="383"/>
      <c r="O93" s="110"/>
      <c r="P93" s="110"/>
      <c r="Q93" s="1171"/>
      <c r="R93" s="383"/>
      <c r="S93" s="110"/>
      <c r="T93" s="110"/>
      <c r="U93" s="1171"/>
      <c r="V93" s="383"/>
      <c r="W93" s="110"/>
      <c r="X93" s="110"/>
      <c r="Y93" s="1171"/>
      <c r="Z93" s="383"/>
      <c r="AA93" s="110"/>
      <c r="AB93" s="110"/>
      <c r="AC93" s="1171"/>
      <c r="AD93" s="383"/>
      <c r="AE93" s="110"/>
      <c r="AF93" s="110"/>
      <c r="AG93" s="1171"/>
      <c r="AH93" s="383"/>
      <c r="AI93" s="110"/>
      <c r="AJ93" s="110"/>
      <c r="AK93" s="1171"/>
      <c r="AL93" s="383"/>
      <c r="AM93" s="110"/>
      <c r="AN93" s="110"/>
      <c r="AO93" s="1171"/>
      <c r="AP93" s="383"/>
      <c r="AQ93" s="110"/>
      <c r="AR93" s="110"/>
      <c r="AS93" s="1171"/>
      <c r="AT93" s="110"/>
      <c r="AU93" s="110"/>
      <c r="AV93" s="129"/>
      <c r="AW93" s="129"/>
      <c r="AX93" s="129"/>
      <c r="AY93" s="57"/>
      <c r="AZ93" s="57"/>
      <c r="BA93" s="57"/>
      <c r="BB93" s="57"/>
      <c r="BC93" s="57"/>
      <c r="BD93" s="57"/>
      <c r="BE93" s="57"/>
      <c r="BF93" s="57"/>
      <c r="BG93" s="57"/>
      <c r="BH93" s="57"/>
      <c r="BI93" s="57"/>
      <c r="BJ93" s="57"/>
    </row>
    <row r="94" spans="1:64">
      <c r="A94" s="110"/>
      <c r="B94" s="383"/>
      <c r="C94" s="110"/>
      <c r="D94" s="110"/>
      <c r="E94" s="1171"/>
      <c r="F94" s="383"/>
      <c r="G94" s="110"/>
      <c r="H94" s="110"/>
      <c r="I94" s="1171"/>
      <c r="J94" s="110"/>
      <c r="K94" s="110"/>
      <c r="L94" s="110"/>
      <c r="M94" s="1171"/>
      <c r="N94" s="383"/>
      <c r="O94" s="110"/>
      <c r="P94" s="110"/>
      <c r="Q94" s="1171"/>
      <c r="R94" s="383"/>
      <c r="S94" s="110"/>
      <c r="T94" s="110"/>
      <c r="U94" s="1171"/>
      <c r="V94" s="383"/>
      <c r="W94" s="110"/>
      <c r="X94" s="110"/>
      <c r="Y94" s="1171"/>
      <c r="Z94" s="383"/>
      <c r="AA94" s="110"/>
      <c r="AB94" s="110"/>
      <c r="AC94" s="1171"/>
      <c r="AD94" s="383"/>
      <c r="AE94" s="110"/>
      <c r="AF94" s="110"/>
      <c r="AG94" s="1171"/>
      <c r="AH94" s="383"/>
      <c r="AI94" s="110"/>
      <c r="AJ94" s="110"/>
      <c r="AK94" s="1171"/>
      <c r="AL94" s="383"/>
      <c r="AM94" s="110"/>
      <c r="AN94" s="110"/>
      <c r="AO94" s="1171"/>
      <c r="AP94" s="383"/>
      <c r="AQ94" s="110"/>
      <c r="AR94" s="110"/>
      <c r="AS94" s="1171"/>
      <c r="AT94" s="110"/>
      <c r="AU94" s="110"/>
      <c r="AV94" s="129"/>
      <c r="AW94" s="129"/>
      <c r="AX94" s="129"/>
      <c r="AY94" s="57"/>
      <c r="AZ94" s="57"/>
      <c r="BA94" s="57"/>
      <c r="BB94" s="57"/>
      <c r="BC94" s="57"/>
      <c r="BD94" s="57"/>
      <c r="BE94" s="57"/>
      <c r="BF94" s="57"/>
      <c r="BG94" s="57"/>
      <c r="BH94" s="57"/>
      <c r="BI94" s="57"/>
      <c r="BJ94" s="57"/>
    </row>
    <row r="95" spans="1:64" ht="15" thickBot="1">
      <c r="A95" s="116" t="s">
        <v>362</v>
      </c>
      <c r="B95" s="117"/>
      <c r="C95" s="116"/>
      <c r="D95" s="116"/>
      <c r="E95" s="118"/>
      <c r="F95" s="117"/>
      <c r="G95" s="116"/>
      <c r="H95" s="116"/>
      <c r="I95" s="118"/>
      <c r="J95" s="119"/>
      <c r="K95" s="116"/>
      <c r="L95" s="116"/>
      <c r="M95" s="118"/>
      <c r="N95" s="119"/>
      <c r="O95" s="116"/>
      <c r="P95" s="116"/>
      <c r="Q95" s="118"/>
      <c r="R95" s="119"/>
      <c r="S95" s="116"/>
      <c r="T95" s="116"/>
      <c r="U95" s="118"/>
      <c r="V95" s="119"/>
      <c r="W95" s="116"/>
      <c r="X95" s="116"/>
      <c r="Y95" s="118"/>
      <c r="Z95" s="119"/>
      <c r="AA95" s="116"/>
      <c r="AB95" s="116"/>
      <c r="AC95" s="118"/>
      <c r="AD95" s="119"/>
      <c r="AE95" s="116"/>
      <c r="AF95" s="116"/>
      <c r="AG95" s="118"/>
      <c r="AH95" s="119"/>
      <c r="AI95" s="116"/>
      <c r="AJ95" s="116"/>
      <c r="AK95" s="118"/>
      <c r="AL95" s="119"/>
      <c r="AM95" s="116"/>
      <c r="AN95" s="116"/>
      <c r="AO95" s="118"/>
      <c r="AP95" s="119"/>
      <c r="AQ95" s="116"/>
      <c r="AR95" s="116"/>
      <c r="AS95" s="118"/>
      <c r="AT95" s="116"/>
      <c r="AU95" s="116"/>
      <c r="AV95" s="120"/>
      <c r="AW95" s="120"/>
      <c r="AX95" s="120"/>
      <c r="AY95" s="120"/>
      <c r="AZ95" s="120"/>
      <c r="BA95" s="120"/>
      <c r="BB95" s="120"/>
      <c r="BC95" s="120"/>
      <c r="BD95" s="120"/>
      <c r="BE95" s="120"/>
      <c r="BF95" s="120"/>
      <c r="BG95" s="649"/>
      <c r="BH95" s="120"/>
      <c r="BI95" s="120"/>
      <c r="BJ95" s="120"/>
    </row>
    <row r="96" spans="1:64" ht="15" thickBot="1">
      <c r="A96" s="397" t="str">
        <f>'Operating Metrics'!A29</f>
        <v>Insurance</v>
      </c>
      <c r="B96" s="398">
        <v>34.381664691943129</v>
      </c>
      <c r="C96" s="399">
        <f>'Operating Metrics'!C73</f>
        <v>35.876755070202805</v>
      </c>
      <c r="D96" s="399">
        <f>'Operating Metrics'!D73</f>
        <v>38.720346078704992</v>
      </c>
      <c r="E96" s="399">
        <f>'Operating Metrics'!E73</f>
        <v>37.663394919168596</v>
      </c>
      <c r="F96" s="400">
        <f>'Operating Metrics'!F73</f>
        <v>40.629635036496353</v>
      </c>
      <c r="G96" s="401">
        <f>'Operating Metrics'!G73</f>
        <v>45.56113784319276</v>
      </c>
      <c r="H96" s="401">
        <f>'Operating Metrics'!H73</f>
        <v>45.374101733126672</v>
      </c>
      <c r="I96" s="401">
        <f>'Operating Metrics'!I73</f>
        <v>47.988138431482</v>
      </c>
      <c r="J96" s="400">
        <f>'Operating Metrics'!J73</f>
        <v>46.167000000000002</v>
      </c>
      <c r="K96" s="401">
        <f>'Operating Metrics'!K73</f>
        <v>53.130700000000004</v>
      </c>
      <c r="L96" s="401">
        <f>'Operating Metrics'!L73</f>
        <v>50.652000000000001</v>
      </c>
      <c r="M96" s="1231">
        <f>'Operating Metrics'!M73</f>
        <v>53.6952</v>
      </c>
      <c r="N96" s="400">
        <f>'Operating Metrics'!N73</f>
        <v>61.507599999999996</v>
      </c>
      <c r="O96" s="401">
        <f>'Operating Metrics'!O73</f>
        <v>62.137599999999999</v>
      </c>
      <c r="P96" s="401">
        <f>'Operating Metrics'!P73</f>
        <v>61.604800000000004</v>
      </c>
      <c r="Q96" s="1231">
        <f>'Operating Metrics'!Q73</f>
        <v>59.726800000000004</v>
      </c>
      <c r="R96" s="400">
        <f>'Operating Metrics'!R73</f>
        <v>55.139699999999998</v>
      </c>
      <c r="S96" s="401">
        <f>'Operating Metrics'!S73</f>
        <v>57.280799999999999</v>
      </c>
      <c r="T96" s="401">
        <f>'Operating Metrics'!T73</f>
        <v>55.625699999999995</v>
      </c>
      <c r="U96" s="1231">
        <f>'Operating Metrics'!U73</f>
        <v>58.696799999999996</v>
      </c>
      <c r="V96" s="400">
        <f>'Operating Metrics'!V73</f>
        <v>61.426800000000007</v>
      </c>
      <c r="W96" s="401">
        <f>'Operating Metrics'!W73</f>
        <v>62.850600000000007</v>
      </c>
      <c r="X96" s="401">
        <f>'Operating Metrics'!X73</f>
        <v>62.04</v>
      </c>
      <c r="Y96" s="401">
        <f>'Operating Metrics'!Y73</f>
        <v>60.674400000000006</v>
      </c>
      <c r="Z96" s="400">
        <f>'Operating Metrics'!Z73</f>
        <v>57.28</v>
      </c>
      <c r="AA96" s="636">
        <f>'Operating Metrics (organic)'!AM72</f>
        <v>67.58</v>
      </c>
      <c r="AB96" s="636">
        <f>'Operating Metrics'!AB73-'P&amp;L revenue (cigniti)'!H90</f>
        <v>64.389700000000005</v>
      </c>
      <c r="AC96" s="1232">
        <f>'Operating Metrics'!AC73</f>
        <v>67.788000000000011</v>
      </c>
      <c r="AD96" s="400">
        <f>'Operating Metrics'!AD73</f>
        <v>68.572000000000003</v>
      </c>
      <c r="AE96" s="918">
        <f>'Operating Metrics'!AE73</f>
        <v>69.777100000000004</v>
      </c>
      <c r="AF96" s="918">
        <f>'Operating Metrics'!AF73</f>
        <v>71.173200000000008</v>
      </c>
      <c r="AG96" s="1232">
        <f t="shared" ref="AG96:AK96" si="105">AF96*(1+AG97%)</f>
        <v>72.45431760000001</v>
      </c>
      <c r="AH96" s="403">
        <f t="shared" si="105"/>
        <v>73.97585826960001</v>
      </c>
      <c r="AI96" s="402">
        <f t="shared" si="105"/>
        <v>76.491037450766413</v>
      </c>
      <c r="AJ96" s="402">
        <f t="shared" si="105"/>
        <v>79.550678948797071</v>
      </c>
      <c r="AK96" s="1232">
        <f t="shared" si="105"/>
        <v>82.334952712004963</v>
      </c>
      <c r="AL96" s="403">
        <f t="shared" ref="AL96" si="106">AK96*(1+AL97%)</f>
        <v>84.805001293365109</v>
      </c>
      <c r="AM96" s="402">
        <f t="shared" ref="AM96" si="107">AL96*(1+AM97%)</f>
        <v>87.349151332166059</v>
      </c>
      <c r="AN96" s="402">
        <f t="shared" ref="AN96" si="108">AM96*(1+AN97%)</f>
        <v>90.8431173854527</v>
      </c>
      <c r="AO96" s="1232">
        <f t="shared" ref="AO96" si="109">AN96*(1+AO97%)</f>
        <v>94.47684208087081</v>
      </c>
      <c r="AP96" s="403">
        <f t="shared" ref="AP96" si="110">AO96*(1+AP97%)</f>
        <v>97.311147343296938</v>
      </c>
      <c r="AQ96" s="402">
        <f t="shared" ref="AQ96" si="111">AP96*(1+AQ97%)</f>
        <v>101.20359323702881</v>
      </c>
      <c r="AR96" s="402">
        <f t="shared" ref="AR96" si="112">AQ96*(1+AR97%)</f>
        <v>104.23970103413969</v>
      </c>
      <c r="AS96" s="1232">
        <f t="shared" ref="AS96" si="113">AR96*(1+AS97%)</f>
        <v>107.36689206516388</v>
      </c>
      <c r="AT96" s="121"/>
      <c r="AU96" s="110"/>
      <c r="AV96" s="404"/>
      <c r="AW96" s="404"/>
      <c r="AX96" s="404"/>
      <c r="AY96" s="404"/>
      <c r="AZ96" s="404">
        <f>SUM(B96:E96)</f>
        <v>146.64216076001952</v>
      </c>
      <c r="BA96" s="404">
        <f>SUM(F96:I96)</f>
        <v>179.55301304429781</v>
      </c>
      <c r="BB96" s="404">
        <f>SUM(J96:M96)</f>
        <v>203.64490000000001</v>
      </c>
      <c r="BC96" s="404">
        <f>SUM(N96:Q96)</f>
        <v>244.9768</v>
      </c>
      <c r="BD96" s="404">
        <f>SUM(R96:U96)</f>
        <v>226.74299999999999</v>
      </c>
      <c r="BE96" s="404">
        <f>SUM(V96:Y96)</f>
        <v>246.99180000000001</v>
      </c>
      <c r="BF96" s="404">
        <f>SUM(Z96:AC96)</f>
        <v>257.03770000000003</v>
      </c>
      <c r="BG96" s="653">
        <f>SUM(AD96:AG96)</f>
        <v>281.97661760000005</v>
      </c>
      <c r="BH96" s="404">
        <f>SUM(AH96:AK96)</f>
        <v>312.35252738116844</v>
      </c>
      <c r="BI96" s="404">
        <f>SUM(AL96:AO96)</f>
        <v>357.47411209185469</v>
      </c>
      <c r="BJ96" s="404">
        <f>SUM(AP96:AS96)</f>
        <v>410.12133367962929</v>
      </c>
      <c r="BK96" s="404">
        <v>550</v>
      </c>
      <c r="BL96" s="267">
        <f>(BF96/BC96)^(1/3)-1</f>
        <v>1.6148755690521099E-2</v>
      </c>
    </row>
    <row r="97" spans="1:64">
      <c r="A97" s="405" t="s">
        <v>363</v>
      </c>
      <c r="B97" s="406"/>
      <c r="C97" s="407"/>
      <c r="D97" s="407"/>
      <c r="E97" s="407"/>
      <c r="F97" s="408">
        <f>'Operating Metrics'!F83</f>
        <v>7.8756578468132332</v>
      </c>
      <c r="G97" s="409">
        <f>'Operating Metrics'!G83</f>
        <v>12.137699002874601</v>
      </c>
      <c r="H97" s="409">
        <f>'Operating Metrics'!H83</f>
        <v>-0.41051676696444162</v>
      </c>
      <c r="I97" s="1039">
        <f>'Operating Metrics'!I83</f>
        <v>5.7610764698552197</v>
      </c>
      <c r="J97" s="409">
        <f>'Operating Metrics'!J83</f>
        <v>-3.7949761983000041</v>
      </c>
      <c r="K97" s="409">
        <f>'Operating Metrics'!K83</f>
        <v>15.083717807091656</v>
      </c>
      <c r="L97" s="409">
        <f>'Operating Metrics'!L83</f>
        <v>-4.6652876773692125</v>
      </c>
      <c r="M97" s="1039">
        <f>'Operating Metrics'!M83</f>
        <v>6.0080549632788305</v>
      </c>
      <c r="N97" s="408">
        <f>'Operating Metrics'!N83</f>
        <v>14.549531429252504</v>
      </c>
      <c r="O97" s="409">
        <f>'Operating Metrics'!O83</f>
        <v>1.0242636682296302</v>
      </c>
      <c r="P97" s="409">
        <f>'Operating Metrics'!P83</f>
        <v>-0.85745184880007264</v>
      </c>
      <c r="Q97" s="1039">
        <f>'Operating Metrics'!Q83</f>
        <v>-3.0484637560709515</v>
      </c>
      <c r="R97" s="408">
        <f>'Operating Metrics'!R83</f>
        <v>-7.6801368899723554</v>
      </c>
      <c r="S97" s="409">
        <f>'Operating Metrics'!S83</f>
        <v>3.8830461536787597</v>
      </c>
      <c r="T97" s="409">
        <f>'Operating Metrics'!T83</f>
        <v>-2.889449868018612</v>
      </c>
      <c r="U97" s="1039">
        <f>'Operating Metrics'!U83</f>
        <v>5.5210091738171485</v>
      </c>
      <c r="V97" s="408">
        <f>'Operating Metrics'!V83</f>
        <v>4.6510201578280341</v>
      </c>
      <c r="W97" s="409">
        <f>'Operating Metrics'!W83</f>
        <v>2.3178807947019875</v>
      </c>
      <c r="X97" s="409">
        <f>'Operating Metrics'!X83</f>
        <v>-1.2897251577550728</v>
      </c>
      <c r="Y97" s="409">
        <f>'Operating Metrics'!Y83</f>
        <v>-2.2011605415860669</v>
      </c>
      <c r="Z97" s="408">
        <f>'Operating Metrics'!Z83</f>
        <v>-5.5944516962672992</v>
      </c>
      <c r="AA97" s="637">
        <f>'Operating Metrics (organic)'!AM81</f>
        <v>10.263405210671973</v>
      </c>
      <c r="AB97" s="637">
        <f>(AB96/AA96-1)*100</f>
        <v>-4.7207753773305665</v>
      </c>
      <c r="AC97" s="1040">
        <f>(AC96/AB96-1)*100</f>
        <v>5.2777074594228646</v>
      </c>
      <c r="AD97" s="408">
        <f>(AD96/AC96-1)*100</f>
        <v>1.1565468814539237</v>
      </c>
      <c r="AE97" s="409">
        <f>(AE96/AD96-1)*100</f>
        <v>1.7574228548095538</v>
      </c>
      <c r="AF97" s="409">
        <f>(AF96/AE96-1)*100</f>
        <v>2.0007996892963398</v>
      </c>
      <c r="AG97" s="1040">
        <v>1.8</v>
      </c>
      <c r="AH97" s="411">
        <v>2.1</v>
      </c>
      <c r="AI97" s="410">
        <v>3.4</v>
      </c>
      <c r="AJ97" s="410">
        <v>4</v>
      </c>
      <c r="AK97" s="1233">
        <v>3.5</v>
      </c>
      <c r="AL97" s="411">
        <v>3</v>
      </c>
      <c r="AM97" s="410">
        <v>3</v>
      </c>
      <c r="AN97" s="410">
        <v>4</v>
      </c>
      <c r="AO97" s="1233">
        <v>4</v>
      </c>
      <c r="AP97" s="411">
        <v>3</v>
      </c>
      <c r="AQ97" s="410">
        <v>4</v>
      </c>
      <c r="AR97" s="410">
        <v>3</v>
      </c>
      <c r="AS97" s="1233">
        <v>3</v>
      </c>
      <c r="AT97" s="407"/>
      <c r="AU97" s="110"/>
      <c r="AV97" s="129"/>
      <c r="AW97" s="129"/>
      <c r="AX97" s="129"/>
      <c r="AY97" s="57"/>
      <c r="AZ97" s="57"/>
      <c r="BA97" s="57">
        <f t="shared" ref="BA97:BJ97" si="114">BA96/AZ96-1</f>
        <v>0.22442967366074917</v>
      </c>
      <c r="BB97" s="57">
        <f t="shared" si="114"/>
        <v>0.1341770129458002</v>
      </c>
      <c r="BC97" s="57">
        <f t="shared" si="114"/>
        <v>0.20296064374801426</v>
      </c>
      <c r="BD97" s="57">
        <f t="shared" si="114"/>
        <v>-7.4430721603025329E-2</v>
      </c>
      <c r="BE97" s="57">
        <f t="shared" si="114"/>
        <v>8.9302867122689644E-2</v>
      </c>
      <c r="BF97" s="57">
        <f t="shared" si="114"/>
        <v>4.067301019709979E-2</v>
      </c>
      <c r="BG97" s="57">
        <f t="shared" si="114"/>
        <v>9.702435712737878E-2</v>
      </c>
      <c r="BH97" s="57">
        <f t="shared" si="114"/>
        <v>0.10772492428524116</v>
      </c>
      <c r="BI97" s="57">
        <f t="shared" si="114"/>
        <v>0.14445724223522527</v>
      </c>
      <c r="BJ97" s="57">
        <f t="shared" si="114"/>
        <v>0.14727562026714436</v>
      </c>
    </row>
    <row r="98" spans="1:64">
      <c r="A98" s="405" t="s">
        <v>339</v>
      </c>
      <c r="B98" s="406"/>
      <c r="C98" s="407"/>
      <c r="D98" s="407"/>
      <c r="E98" s="407"/>
      <c r="F98" s="408">
        <f>'Operating Metrics'!F91*100</f>
        <v>18.172390431163009</v>
      </c>
      <c r="G98" s="409">
        <f>'Operating Metrics'!G91*100</f>
        <v>26.993474616195854</v>
      </c>
      <c r="H98" s="409">
        <f>'Operating Metrics'!H91*100</f>
        <v>17.18413270608923</v>
      </c>
      <c r="I98" s="1039">
        <f>'Operating Metrics'!I91*100</f>
        <v>27.413204610131082</v>
      </c>
      <c r="J98" s="409">
        <f>'Operating Metrics'!J91*100</f>
        <v>13.628881870412091</v>
      </c>
      <c r="K98" s="409">
        <f>'Operating Metrics'!K91*100</f>
        <v>16.614076195505302</v>
      </c>
      <c r="L98" s="409">
        <f>'Operating Metrics'!L91*100</f>
        <v>11.631961989938521</v>
      </c>
      <c r="M98" s="1039">
        <f>'Operating Metrics'!M91*100</f>
        <v>11.892650465419919</v>
      </c>
      <c r="N98" s="408">
        <f>'Operating Metrics'!N91*100</f>
        <v>33.228496545151273</v>
      </c>
      <c r="O98" s="409">
        <f>'Operating Metrics'!O91*100</f>
        <v>16.952345818895665</v>
      </c>
      <c r="P98" s="409">
        <f>'Operating Metrics'!P91*100</f>
        <v>21.623627892284624</v>
      </c>
      <c r="Q98" s="1039">
        <f>'Operating Metrics'!Q91*100</f>
        <v>11.233033865224451</v>
      </c>
      <c r="R98" s="408">
        <f>'Operating Metrics'!R91*100</f>
        <v>-10.353029544316472</v>
      </c>
      <c r="S98" s="409">
        <f>'Operating Metrics'!S91*100</f>
        <v>-7.8162014625605121</v>
      </c>
      <c r="T98" s="409">
        <f>'Operating Metrics'!T91*100</f>
        <v>-9.7055748902683092</v>
      </c>
      <c r="U98" s="1039">
        <f>'Operating Metrics'!U91*100</f>
        <v>-1.7245189764059199</v>
      </c>
      <c r="V98" s="408">
        <f>'Operating Metrics'!V91*100</f>
        <v>11.40212950016053</v>
      </c>
      <c r="W98" s="409">
        <f>'Operating Metrics'!W91*100</f>
        <v>9.7236770436167177</v>
      </c>
      <c r="X98" s="409">
        <f>'Operating Metrics'!X91*100</f>
        <v>11.531180731208778</v>
      </c>
      <c r="Y98" s="409">
        <f>'Operating Metrics'!Y91*100</f>
        <v>3.369178558285979</v>
      </c>
      <c r="Z98" s="408">
        <f>'Operating Metrics'!Z91*100</f>
        <v>-6.7507993253759002</v>
      </c>
      <c r="AA98" s="637">
        <f>'Operating Metrics (organic)'!AM88*100</f>
        <v>7.5248287208077524</v>
      </c>
      <c r="AB98" s="637">
        <f>(AB96/X96-1)*100</f>
        <v>3.7873952288846047</v>
      </c>
      <c r="AC98" s="1041">
        <f>(AC96/Y96-1)*100</f>
        <v>11.724219769787592</v>
      </c>
      <c r="AD98" s="408">
        <f>(AD96/Z96-1)*100</f>
        <v>19.713687150837988</v>
      </c>
      <c r="AE98" s="409">
        <f>(AE96/AA96-1)*100</f>
        <v>3.251109795797591</v>
      </c>
      <c r="AF98" s="409">
        <f>(AF96/AB96-1)*100</f>
        <v>10.535070050023542</v>
      </c>
      <c r="AG98" s="1041">
        <f t="shared" ref="AG98:AK98" si="115">(AG96/AC96-1)*100</f>
        <v>6.8836926889714878</v>
      </c>
      <c r="AH98" s="414">
        <f t="shared" si="115"/>
        <v>7.8805609718252567</v>
      </c>
      <c r="AI98" s="413">
        <f t="shared" si="115"/>
        <v>9.6219783435631534</v>
      </c>
      <c r="AJ98" s="413">
        <f t="shared" si="115"/>
        <v>11.770552608000017</v>
      </c>
      <c r="AK98" s="1041">
        <f t="shared" si="115"/>
        <v>13.637054960000006</v>
      </c>
      <c r="AL98" s="414">
        <f t="shared" ref="AL98" si="116">(AL96/AH96-1)*100</f>
        <v>14.638752799999999</v>
      </c>
      <c r="AM98" s="413">
        <f t="shared" ref="AM98" si="117">(AM96/AI96-1)*100</f>
        <v>14.195275999999989</v>
      </c>
      <c r="AN98" s="413">
        <f t="shared" ref="AN98" si="118">(AN96/AJ96-1)*100</f>
        <v>14.195275999999989</v>
      </c>
      <c r="AO98" s="1041">
        <f t="shared" ref="AO98" si="119">(AO96/AK96-1)*100</f>
        <v>14.746943999999985</v>
      </c>
      <c r="AP98" s="414">
        <f t="shared" ref="AP98" si="120">(AP96/AL96-1)*100</f>
        <v>14.746944000000006</v>
      </c>
      <c r="AQ98" s="413">
        <f t="shared" ref="AQ98" si="121">(AQ96/AM96-1)*100</f>
        <v>15.860991999999996</v>
      </c>
      <c r="AR98" s="413">
        <f t="shared" ref="AR98" si="122">(AR96/AN96-1)*100</f>
        <v>14.746944000000006</v>
      </c>
      <c r="AS98" s="1041">
        <f t="shared" ref="AS98" si="123">(AS96/AO96-1)*100</f>
        <v>13.643608000000018</v>
      </c>
      <c r="AT98" s="407"/>
      <c r="AU98" s="110"/>
      <c r="AV98" s="412"/>
      <c r="AW98" s="412"/>
      <c r="AX98" s="412"/>
      <c r="AY98" s="412"/>
      <c r="AZ98" s="412"/>
      <c r="BA98" s="412"/>
      <c r="BB98" s="412"/>
      <c r="BC98" s="412"/>
      <c r="BD98" s="412"/>
      <c r="BE98" s="415"/>
      <c r="BF98" s="415"/>
      <c r="BG98" s="415"/>
      <c r="BH98" s="415"/>
      <c r="BI98" s="415"/>
      <c r="BJ98" s="415">
        <f>((BJ96/BG96)^(1/3))-1</f>
        <v>0.1330082914739128</v>
      </c>
      <c r="BK98" s="415"/>
    </row>
    <row r="99" spans="1:64">
      <c r="A99" s="405" t="s">
        <v>364</v>
      </c>
      <c r="B99" s="406"/>
      <c r="C99" s="407"/>
      <c r="D99" s="407"/>
      <c r="E99" s="407"/>
      <c r="F99" s="408">
        <f>'Operating Metrics'!F29</f>
        <v>29</v>
      </c>
      <c r="G99" s="409">
        <f>'Operating Metrics'!G29</f>
        <v>31</v>
      </c>
      <c r="H99" s="409">
        <f>'Operating Metrics'!H29</f>
        <v>30</v>
      </c>
      <c r="I99" s="1039">
        <f>'Operating Metrics'!I29</f>
        <v>31</v>
      </c>
      <c r="J99" s="409">
        <f>'Operating Metrics'!J29</f>
        <v>33</v>
      </c>
      <c r="K99" s="409">
        <f>'Operating Metrics'!K29</f>
        <v>34.300000000000004</v>
      </c>
      <c r="L99" s="409">
        <f>'Operating Metrics'!L29</f>
        <v>31.5</v>
      </c>
      <c r="M99" s="1039">
        <f>'Operating Metrics'!M29</f>
        <v>31.2</v>
      </c>
      <c r="N99" s="408">
        <f>'Operating Metrics'!N29</f>
        <v>30.8</v>
      </c>
      <c r="O99" s="409">
        <f>'Operating Metrics'!O29</f>
        <v>29.2</v>
      </c>
      <c r="P99" s="409">
        <f>'Operating Metrics'!P29</f>
        <v>27.800000000000004</v>
      </c>
      <c r="Q99" s="1039">
        <f>'Operating Metrics'!Q29</f>
        <v>25.7</v>
      </c>
      <c r="R99" s="408">
        <f>'Operating Metrics'!R29</f>
        <v>23.1</v>
      </c>
      <c r="S99" s="409">
        <f>'Operating Metrics'!S29</f>
        <v>23.2</v>
      </c>
      <c r="T99" s="409">
        <f>'Operating Metrics'!T29</f>
        <v>22.1</v>
      </c>
      <c r="U99" s="1039">
        <f>'Operating Metrics'!U29</f>
        <v>22.2</v>
      </c>
      <c r="V99" s="408">
        <f>'Operating Metrics'!V29</f>
        <v>22.6</v>
      </c>
      <c r="W99" s="409">
        <f>'Operating Metrics'!W29</f>
        <v>22.6</v>
      </c>
      <c r="X99" s="409">
        <f>'Operating Metrics'!X29</f>
        <v>22</v>
      </c>
      <c r="Y99" s="409">
        <f>'Operating Metrics'!Y29</f>
        <v>21.6</v>
      </c>
      <c r="Z99" s="408">
        <f>'Operating Metrics'!Z29</f>
        <v>20</v>
      </c>
      <c r="AA99" s="637">
        <f>'Operating Metrics (organic)'!AM29</f>
        <v>21.8</v>
      </c>
      <c r="AB99" s="637">
        <f>AB96/AB129*100</f>
        <v>19.539320220271282</v>
      </c>
      <c r="AC99" s="1041">
        <f>AC96/AC129*100</f>
        <v>16.800000000000004</v>
      </c>
      <c r="AD99" s="408">
        <f>AD96/AD129*100</f>
        <v>15.500000000000004</v>
      </c>
      <c r="AE99" s="409">
        <f>AE96/AE129*100</f>
        <v>15.1</v>
      </c>
      <c r="AF99" s="409">
        <f>AF96/AF129*100</f>
        <v>14.800000000000002</v>
      </c>
      <c r="AG99" s="1041">
        <f>AG96/AG$133*100</f>
        <v>14.811759774132641</v>
      </c>
      <c r="AH99" s="414">
        <f>AH96/AH$133*100</f>
        <v>12.585241563269687</v>
      </c>
      <c r="AI99" s="413">
        <f>AI96/AI$133*100</f>
        <v>11.569230988989434</v>
      </c>
      <c r="AJ99" s="413">
        <f>AJ96/AJ$133*100</f>
        <v>11.577967178202385</v>
      </c>
      <c r="AK99" s="1041">
        <f>AK96/AK$133*100</f>
        <v>11.508973307554541</v>
      </c>
      <c r="AL99" s="414">
        <f t="shared" ref="AL99:AO99" si="124">AL96/AL$133*100</f>
        <v>11.280095759292797</v>
      </c>
      <c r="AM99" s="413">
        <f t="shared" si="124"/>
        <v>11.287646222867734</v>
      </c>
      <c r="AN99" s="413">
        <f t="shared" si="124"/>
        <v>11.396458588468544</v>
      </c>
      <c r="AO99" s="1041">
        <f t="shared" si="124"/>
        <v>11.534158401998562</v>
      </c>
      <c r="AP99" s="414">
        <f t="shared" ref="AP99:AS99" si="125">AP96/AP$133*100</f>
        <v>11.196456279001254</v>
      </c>
      <c r="AQ99" s="413">
        <f t="shared" si="125"/>
        <v>11.305590026482616</v>
      </c>
      <c r="AR99" s="413">
        <f t="shared" si="125"/>
        <v>11.23134972271982</v>
      </c>
      <c r="AS99" s="1041">
        <f t="shared" si="125"/>
        <v>11.192128893263884</v>
      </c>
      <c r="AT99" s="407"/>
      <c r="AU99" s="110"/>
      <c r="AV99" s="412"/>
      <c r="AW99" s="412"/>
      <c r="AX99" s="412"/>
      <c r="AY99" s="412"/>
      <c r="AZ99" s="412"/>
      <c r="BA99" s="412"/>
      <c r="BB99" s="412"/>
      <c r="BC99" s="412"/>
      <c r="BD99" s="412"/>
      <c r="BE99" s="415"/>
      <c r="BF99" s="415"/>
      <c r="BG99" s="415"/>
      <c r="BH99" s="415"/>
      <c r="BI99" s="415"/>
      <c r="BJ99" s="415"/>
    </row>
    <row r="100" spans="1:64">
      <c r="A100" s="405" t="s">
        <v>365</v>
      </c>
      <c r="B100" s="406"/>
      <c r="C100" s="407"/>
      <c r="D100" s="407"/>
      <c r="E100" s="407"/>
      <c r="F100" s="408"/>
      <c r="G100" s="409"/>
      <c r="H100" s="409"/>
      <c r="I100" s="1039"/>
      <c r="J100" s="409"/>
      <c r="K100" s="409"/>
      <c r="L100" s="409"/>
      <c r="M100" s="1039"/>
      <c r="N100" s="408"/>
      <c r="O100" s="409"/>
      <c r="P100" s="409"/>
      <c r="Q100" s="1039"/>
      <c r="R100" s="408"/>
      <c r="S100" s="409"/>
      <c r="T100" s="409"/>
      <c r="U100" s="1039"/>
      <c r="V100" s="408"/>
      <c r="W100" s="409"/>
      <c r="X100" s="413"/>
      <c r="Y100" s="413"/>
      <c r="Z100" s="408"/>
      <c r="AA100" s="637"/>
      <c r="AB100" s="637"/>
      <c r="AC100" s="1041"/>
      <c r="AD100" s="408"/>
      <c r="AE100" s="409"/>
      <c r="AF100" s="409"/>
      <c r="AG100" s="1041"/>
      <c r="AH100" s="414"/>
      <c r="AI100" s="413"/>
      <c r="AJ100" s="413"/>
      <c r="AK100" s="1041"/>
      <c r="AL100" s="414"/>
      <c r="AM100" s="413"/>
      <c r="AN100" s="413"/>
      <c r="AO100" s="1041"/>
      <c r="AP100" s="414"/>
      <c r="AQ100" s="413"/>
      <c r="AR100" s="413"/>
      <c r="AS100" s="1041"/>
      <c r="AT100" s="407"/>
      <c r="AU100" s="110"/>
      <c r="AV100" s="412"/>
      <c r="AW100" s="412"/>
      <c r="AX100" s="412"/>
      <c r="AY100" s="412"/>
      <c r="AZ100" s="412"/>
      <c r="BA100" s="412"/>
      <c r="BB100" s="412"/>
      <c r="BC100" s="412"/>
      <c r="BD100" s="412"/>
      <c r="BE100" s="415"/>
      <c r="BF100" s="415"/>
      <c r="BG100" s="415"/>
      <c r="BH100" s="415"/>
      <c r="BI100" s="415"/>
      <c r="BJ100" s="415"/>
    </row>
    <row r="101" spans="1:64">
      <c r="A101" s="110"/>
      <c r="B101" s="406"/>
      <c r="C101" s="407"/>
      <c r="D101" s="407"/>
      <c r="E101" s="407"/>
      <c r="F101" s="406"/>
      <c r="G101" s="407"/>
      <c r="H101" s="407"/>
      <c r="I101" s="1234"/>
      <c r="J101" s="407"/>
      <c r="K101" s="407"/>
      <c r="L101" s="407"/>
      <c r="M101" s="1234"/>
      <c r="N101" s="406"/>
      <c r="O101" s="407"/>
      <c r="P101" s="407"/>
      <c r="Q101" s="1234"/>
      <c r="R101" s="406"/>
      <c r="S101" s="407"/>
      <c r="T101" s="407"/>
      <c r="U101" s="1234"/>
      <c r="V101" s="406"/>
      <c r="W101" s="407"/>
      <c r="X101" s="407"/>
      <c r="Y101" s="407"/>
      <c r="Z101" s="406"/>
      <c r="AA101" s="638"/>
      <c r="AB101" s="638"/>
      <c r="AC101" s="1234"/>
      <c r="AD101" s="406"/>
      <c r="AE101" s="407"/>
      <c r="AF101" s="407"/>
      <c r="AG101" s="1234"/>
      <c r="AH101" s="406"/>
      <c r="AI101" s="407"/>
      <c r="AJ101" s="407"/>
      <c r="AK101" s="1234"/>
      <c r="AL101" s="406"/>
      <c r="AM101" s="407"/>
      <c r="AN101" s="407"/>
      <c r="AO101" s="1234"/>
      <c r="AP101" s="406"/>
      <c r="AQ101" s="407"/>
      <c r="AR101" s="407"/>
      <c r="AS101" s="1234"/>
      <c r="AT101" s="407"/>
      <c r="AU101" s="110"/>
      <c r="AV101" s="412"/>
      <c r="AW101" s="412"/>
      <c r="AX101" s="412"/>
      <c r="AY101" s="412"/>
      <c r="AZ101" s="412"/>
      <c r="BA101" s="412"/>
      <c r="BB101" s="412"/>
      <c r="BC101" s="412"/>
      <c r="BD101" s="412"/>
      <c r="BE101" s="415"/>
      <c r="BF101" s="415"/>
      <c r="BG101" s="649"/>
      <c r="BH101" s="415"/>
      <c r="BI101" s="415"/>
      <c r="BJ101" s="415"/>
    </row>
    <row r="102" spans="1:64" ht="15" thickBot="1">
      <c r="A102" s="397" t="str">
        <f>'Operating Metrics'!A30</f>
        <v>Banking and Financial Services (BFS)</v>
      </c>
      <c r="B102" s="398">
        <v>20.154768957345976</v>
      </c>
      <c r="C102" s="399">
        <f>'Operating Metrics'!C74</f>
        <v>19.794071762870512</v>
      </c>
      <c r="D102" s="399">
        <f>'Operating Metrics'!D74</f>
        <v>19.360173039352496</v>
      </c>
      <c r="E102" s="399">
        <f>'Operating Metrics'!E74</f>
        <v>21.521939953810627</v>
      </c>
      <c r="F102" s="400">
        <f>'Operating Metrics'!F74</f>
        <v>22.416350364963506</v>
      </c>
      <c r="G102" s="401">
        <f>'Operating Metrics'!G74</f>
        <v>24.985140107557321</v>
      </c>
      <c r="H102" s="401">
        <f>'Operating Metrics'!H74</f>
        <v>24.199520924334223</v>
      </c>
      <c r="I102" s="401">
        <f>'Operating Metrics'!I74</f>
        <v>23.220066982975162</v>
      </c>
      <c r="J102" s="400">
        <f>'Operating Metrics'!J74</f>
        <v>24.062799999999999</v>
      </c>
      <c r="K102" s="401">
        <f>'Operating Metrics'!K74</f>
        <v>26.487900000000003</v>
      </c>
      <c r="L102" s="401">
        <f>'Operating Metrics'!L74</f>
        <v>29.748000000000001</v>
      </c>
      <c r="M102" s="1231">
        <f>'Operating Metrics'!M74</f>
        <v>28.912800000000001</v>
      </c>
      <c r="N102" s="400">
        <f>'Operating Metrics'!N74</f>
        <v>42.13669999999999</v>
      </c>
      <c r="O102" s="401">
        <f>'Operating Metrics'!O74</f>
        <v>51.284800000000004</v>
      </c>
      <c r="P102" s="401">
        <f>'Operating Metrics'!P74</f>
        <v>62.934399999999989</v>
      </c>
      <c r="Q102" s="1231">
        <f>'Operating Metrics'!Q74</f>
        <v>64.374799999999993</v>
      </c>
      <c r="R102" s="400">
        <f>'Operating Metrics'!R74</f>
        <v>70.416499999999999</v>
      </c>
      <c r="S102" s="401">
        <f>'Operating Metrics'!S74</f>
        <v>78.267300000000006</v>
      </c>
      <c r="T102" s="401">
        <f>'Operating Metrics'!T74</f>
        <v>78.278700000000001</v>
      </c>
      <c r="U102" s="1231">
        <f>'Operating Metrics'!U74</f>
        <v>81.963999999999999</v>
      </c>
      <c r="V102" s="400">
        <f>'Operating Metrics'!V74</f>
        <v>84.529800000000009</v>
      </c>
      <c r="W102" s="401">
        <f>'Operating Metrics'!W74</f>
        <v>87.879600000000011</v>
      </c>
      <c r="X102" s="401">
        <f>'Operating Metrics'!X74</f>
        <v>90.804000000000002</v>
      </c>
      <c r="Y102" s="401">
        <f>'Operating Metrics'!Y74</f>
        <v>94.663299999999992</v>
      </c>
      <c r="Z102" s="400">
        <f>'Operating Metrics'!Z74</f>
        <v>92.507199999999983</v>
      </c>
      <c r="AA102" s="636">
        <f>'Operating Metrics (organic)'!AM73</f>
        <v>97.03</v>
      </c>
      <c r="AB102" s="636">
        <f>'Operating Metrics'!AB74-'P&amp;L revenue (cigniti)'!H83</f>
        <v>96.794600000000003</v>
      </c>
      <c r="AC102" s="1232">
        <f>'Operating Metrics'!AC74</f>
        <v>123.8745</v>
      </c>
      <c r="AD102" s="400">
        <f>'Operating Metrics'!AD74</f>
        <v>122.54479999999998</v>
      </c>
      <c r="AE102" s="401">
        <f>'Operating Metrics'!AE74</f>
        <v>127.53960000000002</v>
      </c>
      <c r="AF102" s="401">
        <f>'Operating Metrics'!AF74</f>
        <v>125.03399999999999</v>
      </c>
      <c r="AG102" s="1232">
        <f>'Operating Metrics'!AG74</f>
        <v>121.78590000000001</v>
      </c>
      <c r="AH102" s="403">
        <f t="shared" ref="AH102:AK102" si="126">AG102*(1+AH103%)</f>
        <v>123.00375900000002</v>
      </c>
      <c r="AI102" s="402">
        <f t="shared" si="126"/>
        <v>129.15394695000003</v>
      </c>
      <c r="AJ102" s="402">
        <f t="shared" si="126"/>
        <v>136.90318376700003</v>
      </c>
      <c r="AK102" s="1232">
        <f t="shared" si="126"/>
        <v>145.11737479302005</v>
      </c>
      <c r="AL102" s="403">
        <f t="shared" ref="AL102" si="127">AK102*(1+AL103%)</f>
        <v>150.92206978474084</v>
      </c>
      <c r="AM102" s="402">
        <f t="shared" ref="AM102" si="128">AL102*(1+AM103%)</f>
        <v>156.95895257613049</v>
      </c>
      <c r="AN102" s="402">
        <f t="shared" ref="AN102" si="129">AM102*(1+AN103%)</f>
        <v>163.23731067917572</v>
      </c>
      <c r="AO102" s="1232">
        <f t="shared" ref="AO102" si="130">AN102*(1+AO103%)</f>
        <v>169.76680310634276</v>
      </c>
      <c r="AP102" s="403">
        <f t="shared" ref="AP102" si="131">AO102*(1+AP103%)</f>
        <v>178.2551432616599</v>
      </c>
      <c r="AQ102" s="402">
        <f t="shared" ref="AQ102" si="132">AP102*(1+AQ103%)</f>
        <v>185.3853489921263</v>
      </c>
      <c r="AR102" s="402">
        <f t="shared" ref="AR102" si="133">AQ102*(1+AR103%)</f>
        <v>194.65461644173263</v>
      </c>
      <c r="AS102" s="1232">
        <f t="shared" ref="AS102" si="134">AR102*(1+AS103%)</f>
        <v>204.38734726381927</v>
      </c>
      <c r="AT102" s="121"/>
      <c r="AU102" s="110"/>
      <c r="AV102" s="404"/>
      <c r="AW102" s="404"/>
      <c r="AX102" s="404"/>
      <c r="AY102" s="404"/>
      <c r="AZ102" s="404">
        <f>SUM(B102:E102)</f>
        <v>80.830953713379614</v>
      </c>
      <c r="BA102" s="404">
        <f>SUM(F102:I102)</f>
        <v>94.821078379830226</v>
      </c>
      <c r="BB102" s="404">
        <f>SUM(J102:M102)</f>
        <v>109.21150000000002</v>
      </c>
      <c r="BC102" s="404">
        <f>SUM(N102:Q102)</f>
        <v>220.73069999999998</v>
      </c>
      <c r="BD102" s="404">
        <f>SUM(R102:U102)</f>
        <v>308.92650000000003</v>
      </c>
      <c r="BE102" s="404">
        <f>SUM(V102:Y102)</f>
        <v>357.87669999999997</v>
      </c>
      <c r="BF102" s="404">
        <f>SUM(Z102:AC102)</f>
        <v>410.2063</v>
      </c>
      <c r="BG102" s="404">
        <f>SUM(AD102:AG102)</f>
        <v>496.90430000000003</v>
      </c>
      <c r="BH102" s="404">
        <f>SUM(AH102:AK102)</f>
        <v>534.17826451002009</v>
      </c>
      <c r="BI102" s="404">
        <f>SUM(AL102:AO102)</f>
        <v>640.88513614638987</v>
      </c>
      <c r="BJ102" s="404">
        <f>SUM(AP102:AS102)</f>
        <v>762.68245595933809</v>
      </c>
      <c r="BK102" s="404">
        <v>1000</v>
      </c>
      <c r="BL102" s="267">
        <f>(BF102/BC102)^(1/3)-1</f>
        <v>0.22945657868593039</v>
      </c>
    </row>
    <row r="103" spans="1:64">
      <c r="A103" s="405" t="s">
        <v>363</v>
      </c>
      <c r="B103" s="406"/>
      <c r="C103" s="407"/>
      <c r="D103" s="407"/>
      <c r="E103" s="407"/>
      <c r="F103" s="408">
        <v>0</v>
      </c>
      <c r="G103" s="409">
        <v>0</v>
      </c>
      <c r="H103" s="409">
        <v>0</v>
      </c>
      <c r="I103" s="1039">
        <v>0</v>
      </c>
      <c r="J103" s="409">
        <v>-4.3698758942185663</v>
      </c>
      <c r="K103" s="409">
        <v>4.6214196706118704</v>
      </c>
      <c r="L103" s="409">
        <v>-9.6012357221250788</v>
      </c>
      <c r="M103" s="1039">
        <v>5.8063800785845388</v>
      </c>
      <c r="N103" s="408">
        <v>2.1256592403831487</v>
      </c>
      <c r="O103" s="409">
        <v>2.5158039096147</v>
      </c>
      <c r="P103" s="409">
        <v>-1.9105635051279934</v>
      </c>
      <c r="Q103" s="1039">
        <v>11.099676943912474</v>
      </c>
      <c r="R103" s="408">
        <f>'Operating Metrics'!R84</f>
        <v>9.3851942064286042</v>
      </c>
      <c r="S103" s="409">
        <f>'Operating Metrics'!S84</f>
        <v>11.149091477139606</v>
      </c>
      <c r="T103" s="409">
        <f>'Operating Metrics'!T84</f>
        <v>1.4565469870553294E-2</v>
      </c>
      <c r="U103" s="1039">
        <f>'Operating Metrics'!U84</f>
        <v>4.7079218229224562</v>
      </c>
      <c r="V103" s="408">
        <f>'Operating Metrics'!V84</f>
        <v>3.1303987116295007</v>
      </c>
      <c r="W103" s="409">
        <f>'Operating Metrics'!W84</f>
        <v>3.962862801047673</v>
      </c>
      <c r="X103" s="409">
        <f>'Operating Metrics'!X84</f>
        <v>3.3277347643821731</v>
      </c>
      <c r="Y103" s="409">
        <f>'Operating Metrics'!Y84</f>
        <v>4.2501431654992983</v>
      </c>
      <c r="Z103" s="408">
        <f>'Operating Metrics'!Z84</f>
        <v>-2.2776514235189449</v>
      </c>
      <c r="AA103" s="637">
        <f>'Operating Metrics (organic)'!AM82</f>
        <v>6.5383331576543302</v>
      </c>
      <c r="AB103" s="637">
        <f t="shared" ref="AB103:AG103" si="135">(AB102/AA102-1)*100</f>
        <v>-0.24260537977944807</v>
      </c>
      <c r="AC103" s="1040">
        <f t="shared" si="135"/>
        <v>27.976663987453843</v>
      </c>
      <c r="AD103" s="408">
        <f t="shared" si="135"/>
        <v>-1.0734251197785039</v>
      </c>
      <c r="AE103" s="409">
        <f t="shared" si="135"/>
        <v>4.0758971412903966</v>
      </c>
      <c r="AF103" s="409">
        <f t="shared" si="135"/>
        <v>-1.9645662994082103</v>
      </c>
      <c r="AG103" s="1040">
        <f t="shared" si="135"/>
        <v>-2.5977734056336521</v>
      </c>
      <c r="AH103" s="411">
        <v>1</v>
      </c>
      <c r="AI103" s="410">
        <v>5</v>
      </c>
      <c r="AJ103" s="410">
        <v>6</v>
      </c>
      <c r="AK103" s="1233">
        <v>6</v>
      </c>
      <c r="AL103" s="411">
        <v>4</v>
      </c>
      <c r="AM103" s="410">
        <v>4</v>
      </c>
      <c r="AN103" s="410">
        <v>4</v>
      </c>
      <c r="AO103" s="1233">
        <v>4</v>
      </c>
      <c r="AP103" s="411">
        <v>5</v>
      </c>
      <c r="AQ103" s="410">
        <v>4</v>
      </c>
      <c r="AR103" s="410">
        <v>5</v>
      </c>
      <c r="AS103" s="1233">
        <v>5</v>
      </c>
      <c r="AT103" s="407"/>
      <c r="AU103" s="110"/>
      <c r="AV103" s="129"/>
      <c r="AW103" s="129"/>
      <c r="AX103" s="129"/>
      <c r="AY103" s="57"/>
      <c r="AZ103" s="57"/>
      <c r="BA103" s="57">
        <f t="shared" ref="BA103:BJ103" si="136">BA102/AZ102-1</f>
        <v>0.1730788024109986</v>
      </c>
      <c r="BB103" s="57">
        <f t="shared" si="136"/>
        <v>0.15176395234111606</v>
      </c>
      <c r="BC103" s="57">
        <f t="shared" si="136"/>
        <v>1.0211305585950194</v>
      </c>
      <c r="BD103" s="57">
        <f t="shared" si="136"/>
        <v>0.39956290629260027</v>
      </c>
      <c r="BE103" s="57">
        <f t="shared" si="136"/>
        <v>0.15845257690745185</v>
      </c>
      <c r="BF103" s="57">
        <f t="shared" si="136"/>
        <v>0.14622242800383489</v>
      </c>
      <c r="BG103" s="57">
        <f t="shared" si="136"/>
        <v>0.21135219034910002</v>
      </c>
      <c r="BH103" s="57">
        <f t="shared" si="136"/>
        <v>7.5012360549144175E-2</v>
      </c>
      <c r="BI103" s="57">
        <f t="shared" si="136"/>
        <v>0.19975891706160609</v>
      </c>
      <c r="BJ103" s="57">
        <f t="shared" si="136"/>
        <v>0.19004547452186116</v>
      </c>
    </row>
    <row r="104" spans="1:64">
      <c r="A104" s="405" t="s">
        <v>339</v>
      </c>
      <c r="B104" s="406"/>
      <c r="C104" s="407"/>
      <c r="D104" s="407"/>
      <c r="E104" s="407"/>
      <c r="F104" s="408">
        <v>0</v>
      </c>
      <c r="G104" s="409">
        <v>0</v>
      </c>
      <c r="H104" s="409">
        <v>0</v>
      </c>
      <c r="I104" s="1039">
        <v>0</v>
      </c>
      <c r="J104" s="409">
        <v>-3.506967053001675</v>
      </c>
      <c r="K104" s="409">
        <v>4.1769041769041504</v>
      </c>
      <c r="L104" s="409">
        <v>-11.503547046674667</v>
      </c>
      <c r="M104" s="1039">
        <v>-4.3049048860423262</v>
      </c>
      <c r="N104" s="408">
        <v>2.19504330846374</v>
      </c>
      <c r="O104" s="409">
        <v>0.13826091568442944</v>
      </c>
      <c r="P104" s="409">
        <v>8.6575205232092713</v>
      </c>
      <c r="Q104" s="1039">
        <v>14.093454654521874</v>
      </c>
      <c r="R104" s="408">
        <f>'Operating Metrics'!R92*100</f>
        <v>67.114415699378483</v>
      </c>
      <c r="S104" s="409">
        <f>'Operating Metrics'!S92*100</f>
        <v>52.613054940255211</v>
      </c>
      <c r="T104" s="409">
        <f>'Operating Metrics'!T92*100</f>
        <v>24.381419382722356</v>
      </c>
      <c r="U104" s="1039">
        <f>'Operating Metrics'!U92*100</f>
        <v>27.323114013558115</v>
      </c>
      <c r="V104" s="408">
        <f>'Operating Metrics'!V92*100</f>
        <v>20.042603651132907</v>
      </c>
      <c r="W104" s="409">
        <f>'Operating Metrics'!W92*100</f>
        <v>12.281374213752105</v>
      </c>
      <c r="X104" s="409">
        <f>'Operating Metrics'!X92*100</f>
        <v>16.000904460600385</v>
      </c>
      <c r="Y104" s="409">
        <f>'Operating Metrics'!Y92*100</f>
        <v>15.493753355131524</v>
      </c>
      <c r="Z104" s="408">
        <f>'Operating Metrics'!Z92*100</f>
        <v>9.4373818464020598</v>
      </c>
      <c r="AA104" s="637">
        <f>'Operating Metrics (organic)'!AM89*100</f>
        <v>10.412427912735133</v>
      </c>
      <c r="AB104" s="637">
        <f t="shared" ref="AB104:AG104" si="137">(AB102/X102-1)*100</f>
        <v>6.5972864631514083</v>
      </c>
      <c r="AC104" s="1040">
        <f t="shared" si="137"/>
        <v>30.857998823197597</v>
      </c>
      <c r="AD104" s="408">
        <f t="shared" si="137"/>
        <v>32.470553643392087</v>
      </c>
      <c r="AE104" s="409">
        <f t="shared" si="137"/>
        <v>31.443471091415056</v>
      </c>
      <c r="AF104" s="409">
        <f t="shared" si="137"/>
        <v>29.174561390821374</v>
      </c>
      <c r="AG104" s="1040">
        <f t="shared" si="137"/>
        <v>-1.6860612959083476</v>
      </c>
      <c r="AH104" s="414">
        <f t="shared" ref="AH104:AK104" si="138">(AH102/AD102-1)*100</f>
        <v>0.37452343959110124</v>
      </c>
      <c r="AI104" s="413">
        <f t="shared" si="138"/>
        <v>1.2657613400073542</v>
      </c>
      <c r="AJ104" s="413">
        <f t="shared" si="138"/>
        <v>9.492764981525049</v>
      </c>
      <c r="AK104" s="1041">
        <f t="shared" si="138"/>
        <v>19.157780000000034</v>
      </c>
      <c r="AL104" s="414">
        <f t="shared" ref="AL104" si="139">(AL102/AH102-1)*100</f>
        <v>22.697120000000016</v>
      </c>
      <c r="AM104" s="413">
        <f t="shared" ref="AM104" si="140">(AM102/AI102-1)*100</f>
        <v>21.528576000000001</v>
      </c>
      <c r="AN104" s="413">
        <f t="shared" ref="AN104" si="141">(AN102/AJ102-1)*100</f>
        <v>19.235584000000028</v>
      </c>
      <c r="AO104" s="1041">
        <f t="shared" ref="AO104" si="142">(AO102/AK102-1)*100</f>
        <v>16.98585600000002</v>
      </c>
      <c r="AP104" s="414">
        <f t="shared" ref="AP104" si="143">(AP102/AL102-1)*100</f>
        <v>18.110720000000025</v>
      </c>
      <c r="AQ104" s="413">
        <f t="shared" ref="AQ104" si="144">(AQ102/AM102-1)*100</f>
        <v>18.110720000000025</v>
      </c>
      <c r="AR104" s="413">
        <f t="shared" ref="AR104" si="145">(AR102/AN102-1)*100</f>
        <v>19.246400000000019</v>
      </c>
      <c r="AS104" s="1041">
        <f t="shared" ref="AS104" si="146">(AS102/AO102-1)*100</f>
        <v>20.393000000000015</v>
      </c>
      <c r="AT104" s="407"/>
      <c r="AU104" s="110"/>
      <c r="AV104" s="412"/>
      <c r="AW104" s="412"/>
      <c r="AX104" s="412"/>
      <c r="AY104" s="412"/>
      <c r="AZ104" s="412"/>
      <c r="BA104" s="412"/>
      <c r="BB104" s="412"/>
      <c r="BC104" s="412"/>
      <c r="BD104" s="412"/>
      <c r="BE104" s="415"/>
      <c r="BF104" s="415"/>
      <c r="BG104" s="415"/>
      <c r="BH104" s="415"/>
      <c r="BI104" s="415"/>
      <c r="BJ104" s="415">
        <f>((BJ102/BG102)^(1/3))-1</f>
        <v>0.1535161176769122</v>
      </c>
      <c r="BK104" s="415"/>
    </row>
    <row r="105" spans="1:64">
      <c r="A105" s="405" t="s">
        <v>364</v>
      </c>
      <c r="B105" s="406"/>
      <c r="C105" s="407"/>
      <c r="D105" s="407"/>
      <c r="E105" s="407"/>
      <c r="F105" s="408">
        <v>14.184500412481196</v>
      </c>
      <c r="G105" s="409">
        <v>13.406735751295336</v>
      </c>
      <c r="H105" s="409">
        <v>13.615663741575585</v>
      </c>
      <c r="I105" s="1039">
        <v>13.247571988413698</v>
      </c>
      <c r="J105" s="409">
        <v>13.074619091027479</v>
      </c>
      <c r="K105" s="409">
        <v>12.958990015677863</v>
      </c>
      <c r="L105" s="409">
        <v>11.479208162269826</v>
      </c>
      <c r="M105" s="1039">
        <v>11.851141990097428</v>
      </c>
      <c r="N105" s="408">
        <v>11.412692383612773</v>
      </c>
      <c r="O105" s="409">
        <v>11.022487702037948</v>
      </c>
      <c r="P105" s="409">
        <v>10.059764173800678</v>
      </c>
      <c r="Q105" s="1039">
        <v>10.743012111313137</v>
      </c>
      <c r="R105" s="408">
        <f>'Operating Metrics'!R30</f>
        <v>29.5</v>
      </c>
      <c r="S105" s="409">
        <f>'Operating Metrics'!S30</f>
        <v>31.7</v>
      </c>
      <c r="T105" s="409">
        <f>'Operating Metrics'!T30</f>
        <v>31.1</v>
      </c>
      <c r="U105" s="1039">
        <f>'Operating Metrics'!U30</f>
        <v>31</v>
      </c>
      <c r="V105" s="408">
        <f>'Operating Metrics'!V30</f>
        <v>31.1</v>
      </c>
      <c r="W105" s="409">
        <f>'Operating Metrics'!W30</f>
        <v>31.6</v>
      </c>
      <c r="X105" s="409">
        <f>'Operating Metrics'!X30</f>
        <v>32.200000000000003</v>
      </c>
      <c r="Y105" s="409">
        <f>'Operating Metrics'!Y30</f>
        <v>33.700000000000003</v>
      </c>
      <c r="Z105" s="408">
        <f>'Operating Metrics'!Z30</f>
        <v>32.299999999999997</v>
      </c>
      <c r="AA105" s="637">
        <f>'Operating Metrics (organic)'!AM30</f>
        <v>31.3</v>
      </c>
      <c r="AB105" s="637">
        <f t="shared" ref="AB105:AG105" si="147">AB102/AB$129*100</f>
        <v>29.372720869845185</v>
      </c>
      <c r="AC105" s="1040">
        <f t="shared" si="147"/>
        <v>30.7</v>
      </c>
      <c r="AD105" s="408">
        <f t="shared" si="147"/>
        <v>27.699999999999996</v>
      </c>
      <c r="AE105" s="409">
        <f t="shared" si="147"/>
        <v>27.6</v>
      </c>
      <c r="AF105" s="409">
        <f t="shared" si="147"/>
        <v>26</v>
      </c>
      <c r="AG105" s="1040">
        <f t="shared" si="147"/>
        <v>24.896563164602082</v>
      </c>
      <c r="AH105" s="414">
        <f>AH102/AH$133*100</f>
        <v>20.926178572521724</v>
      </c>
      <c r="AI105" s="413">
        <f>AI102/AI$133*100</f>
        <v>19.53446959542142</v>
      </c>
      <c r="AJ105" s="413">
        <f>AJ102/AJ$133*100</f>
        <v>19.925167065713708</v>
      </c>
      <c r="AK105" s="1041">
        <f>AK102/AK$133*100</f>
        <v>20.284847904111778</v>
      </c>
      <c r="AL105" s="414">
        <f t="shared" ref="AL105:AO105" si="148">AL102/AL$133*100</f>
        <v>20.074469352030285</v>
      </c>
      <c r="AM105" s="413">
        <f t="shared" si="148"/>
        <v>20.282934649862053</v>
      </c>
      <c r="AN105" s="413">
        <f t="shared" si="148"/>
        <v>20.478461162387482</v>
      </c>
      <c r="AO105" s="1041">
        <f t="shared" si="148"/>
        <v>20.725895947636978</v>
      </c>
      <c r="AP105" s="414">
        <f t="shared" ref="AP105:AS105" si="149">AP102/AP$133*100</f>
        <v>20.509735755096493</v>
      </c>
      <c r="AQ105" s="413">
        <f t="shared" si="149"/>
        <v>20.709647608189158</v>
      </c>
      <c r="AR105" s="413">
        <f t="shared" si="149"/>
        <v>20.973142197356939</v>
      </c>
      <c r="AS105" s="1041">
        <f t="shared" si="149"/>
        <v>21.305725542847856</v>
      </c>
      <c r="AT105" s="407"/>
      <c r="AU105" s="110"/>
      <c r="AV105" s="412"/>
      <c r="AW105" s="412"/>
      <c r="AX105" s="412"/>
      <c r="AY105" s="412"/>
      <c r="AZ105" s="412"/>
      <c r="BA105" s="412"/>
      <c r="BB105" s="412"/>
      <c r="BC105" s="412"/>
      <c r="BD105" s="412"/>
      <c r="BE105" s="415"/>
      <c r="BF105" s="415"/>
      <c r="BG105" s="415"/>
      <c r="BH105" s="415"/>
      <c r="BI105" s="415"/>
      <c r="BJ105" s="415"/>
    </row>
    <row r="106" spans="1:64">
      <c r="A106" s="405" t="s">
        <v>365</v>
      </c>
      <c r="B106" s="406"/>
      <c r="C106" s="407"/>
      <c r="D106" s="407"/>
      <c r="E106" s="407"/>
      <c r="F106" s="408"/>
      <c r="G106" s="409"/>
      <c r="H106" s="409"/>
      <c r="I106" s="1039"/>
      <c r="J106" s="409"/>
      <c r="K106" s="409"/>
      <c r="L106" s="409"/>
      <c r="M106" s="1039"/>
      <c r="N106" s="408"/>
      <c r="O106" s="409"/>
      <c r="P106" s="409"/>
      <c r="Q106" s="1039"/>
      <c r="R106" s="408"/>
      <c r="S106" s="409"/>
      <c r="T106" s="409"/>
      <c r="U106" s="1039"/>
      <c r="V106" s="408"/>
      <c r="W106" s="413"/>
      <c r="X106" s="413"/>
      <c r="Y106" s="413"/>
      <c r="Z106" s="408"/>
      <c r="AA106" s="639"/>
      <c r="AB106" s="639"/>
      <c r="AC106" s="1041"/>
      <c r="AD106" s="408"/>
      <c r="AE106" s="409"/>
      <c r="AF106" s="409"/>
      <c r="AG106" s="1041"/>
      <c r="AH106" s="414"/>
      <c r="AI106" s="413"/>
      <c r="AJ106" s="413"/>
      <c r="AK106" s="1041"/>
      <c r="AL106" s="414"/>
      <c r="AM106" s="413"/>
      <c r="AN106" s="413"/>
      <c r="AO106" s="1041"/>
      <c r="AP106" s="414"/>
      <c r="AQ106" s="413"/>
      <c r="AR106" s="413"/>
      <c r="AS106" s="1041"/>
      <c r="AT106" s="407"/>
      <c r="AU106" s="110"/>
      <c r="AV106" s="412"/>
      <c r="AW106" s="412"/>
      <c r="AX106" s="412"/>
      <c r="AY106" s="412"/>
      <c r="AZ106" s="412"/>
      <c r="BA106" s="412"/>
      <c r="BB106" s="412"/>
      <c r="BC106" s="412"/>
      <c r="BD106" s="412"/>
      <c r="BE106" s="415"/>
      <c r="BF106" s="415"/>
      <c r="BG106" s="415"/>
      <c r="BH106" s="415"/>
      <c r="BI106" s="415"/>
      <c r="BJ106" s="415"/>
    </row>
    <row r="107" spans="1:64">
      <c r="A107" s="110"/>
      <c r="B107" s="383"/>
      <c r="C107" s="110"/>
      <c r="D107" s="110"/>
      <c r="E107" s="1171"/>
      <c r="F107" s="383"/>
      <c r="G107" s="110"/>
      <c r="H107" s="110"/>
      <c r="I107" s="1171"/>
      <c r="J107" s="110"/>
      <c r="K107" s="110"/>
      <c r="L107" s="110"/>
      <c r="M107" s="1171"/>
      <c r="N107" s="383"/>
      <c r="O107" s="110"/>
      <c r="P107" s="110"/>
      <c r="Q107" s="1171"/>
      <c r="R107" s="383"/>
      <c r="S107" s="110"/>
      <c r="T107" s="110"/>
      <c r="U107" s="1171"/>
      <c r="V107" s="383"/>
      <c r="W107" s="110"/>
      <c r="X107" s="110"/>
      <c r="Y107" s="110"/>
      <c r="Z107" s="383"/>
      <c r="AA107" s="640"/>
      <c r="AB107" s="640"/>
      <c r="AC107" s="1171"/>
      <c r="AD107" s="383">
        <f>AD108-AC108</f>
        <v>24.241099999999989</v>
      </c>
      <c r="AE107" s="110">
        <f>AE108-AD108</f>
        <v>6.3597000000000179</v>
      </c>
      <c r="AF107" s="110">
        <f>AF108-AE108</f>
        <v>2.4567999999999728</v>
      </c>
      <c r="AG107" s="1171">
        <f t="shared" ref="AG107" si="150">AG108-AF108</f>
        <v>4.3233000000000175</v>
      </c>
      <c r="AH107" s="917">
        <f>AH108-AG108</f>
        <v>0</v>
      </c>
      <c r="AI107" s="110"/>
      <c r="AJ107" s="110"/>
      <c r="AK107" s="1171"/>
      <c r="AL107" s="383"/>
      <c r="AM107" s="110"/>
      <c r="AN107" s="110"/>
      <c r="AO107" s="1171"/>
      <c r="AP107" s="383"/>
      <c r="AQ107" s="110"/>
      <c r="AR107" s="110"/>
      <c r="AS107" s="1171"/>
      <c r="AT107" s="110"/>
      <c r="AU107" s="110"/>
      <c r="AV107" s="110"/>
      <c r="AW107" s="110"/>
      <c r="AX107" s="110"/>
      <c r="AY107" s="110"/>
      <c r="AZ107" s="110"/>
      <c r="BA107" s="110"/>
      <c r="BB107" s="110"/>
      <c r="BC107" s="110"/>
      <c r="BD107" s="110"/>
      <c r="BE107" s="110"/>
      <c r="BF107" s="110"/>
      <c r="BG107" s="649"/>
      <c r="BH107" s="649"/>
      <c r="BI107" s="649"/>
      <c r="BJ107" s="649"/>
      <c r="BK107" s="1042"/>
    </row>
    <row r="108" spans="1:64" ht="15" thickBot="1">
      <c r="A108" s="397" t="str">
        <f>'Operating Metrics'!A31</f>
        <v>Travel, Transportation and Hospitality (TTH)</v>
      </c>
      <c r="B108" s="398">
        <v>32.010515402843609</v>
      </c>
      <c r="C108" s="399">
        <f>'Operating Metrics'!C75</f>
        <v>33.402496099843994</v>
      </c>
      <c r="D108" s="399">
        <f>'Operating Metrics'!D75</f>
        <v>33.557633268210999</v>
      </c>
      <c r="E108" s="399">
        <f>'Operating Metrics'!E75</f>
        <v>36.318273672055433</v>
      </c>
      <c r="F108" s="400">
        <f>'Operating Metrics'!F75</f>
        <v>39.228613138686136</v>
      </c>
      <c r="G108" s="401">
        <f>'Operating Metrics'!G75</f>
        <v>41.15199547127088</v>
      </c>
      <c r="H108" s="401">
        <f>'Operating Metrics'!H75</f>
        <v>43.861631675355781</v>
      </c>
      <c r="I108" s="401">
        <f>'Operating Metrics'!I75</f>
        <v>41.796120569355296</v>
      </c>
      <c r="J108" s="400">
        <f>'Operating Metrics'!J75</f>
        <v>27.140600000000006</v>
      </c>
      <c r="K108" s="401">
        <f>'Operating Metrics'!K75</f>
        <v>29.121200000000002</v>
      </c>
      <c r="L108" s="401">
        <f>'Operating Metrics'!L75</f>
        <v>32.160000000000004</v>
      </c>
      <c r="M108" s="1231">
        <f>'Operating Metrics'!M75</f>
        <v>32.526899999999998</v>
      </c>
      <c r="N108" s="400">
        <f>'Operating Metrics'!N75</f>
        <v>37.743299999999991</v>
      </c>
      <c r="O108" s="401">
        <f>'Operating Metrics'!O75</f>
        <v>39.580800000000011</v>
      </c>
      <c r="P108" s="401">
        <f>'Operating Metrics'!P75</f>
        <v>40.552799999999998</v>
      </c>
      <c r="Q108" s="1231">
        <f>'Operating Metrics'!Q75</f>
        <v>46.712400000000002</v>
      </c>
      <c r="R108" s="400">
        <f>'Operating Metrics'!R75</f>
        <v>46.307799999999993</v>
      </c>
      <c r="S108" s="401">
        <f>'Operating Metrics'!S75</f>
        <v>47.651700000000005</v>
      </c>
      <c r="T108" s="401">
        <f>'Operating Metrics'!T75</f>
        <v>48.578099999999999</v>
      </c>
      <c r="U108" s="1231">
        <f>'Operating Metrics'!U75</f>
        <v>49.707199999999993</v>
      </c>
      <c r="V108" s="400">
        <f>'Operating Metrics'!V75</f>
        <v>50.283000000000001</v>
      </c>
      <c r="W108" s="401">
        <f>'Operating Metrics'!W75</f>
        <v>51.448500000000003</v>
      </c>
      <c r="X108" s="401">
        <f>'Operating Metrics'!X75</f>
        <v>50.196000000000005</v>
      </c>
      <c r="Y108" s="401">
        <f>'Operating Metrics'!Y75</f>
        <v>49.438400000000001</v>
      </c>
      <c r="Z108" s="400">
        <f>'Operating Metrics'!Z75</f>
        <v>52.697599999999994</v>
      </c>
      <c r="AA108" s="636">
        <f>'Operating Metrics (organic)'!AM74</f>
        <v>55.8</v>
      </c>
      <c r="AB108" s="636">
        <f>'Operating Metrics'!AB75-'P&amp;L revenue (cigniti)'!H95</f>
        <v>60.585500000000003</v>
      </c>
      <c r="AC108" s="1232">
        <f>'Operating Metrics'!AC75</f>
        <v>77.0685</v>
      </c>
      <c r="AD108" s="400">
        <f>'Operating Metrics'!AD75</f>
        <v>101.30959999999999</v>
      </c>
      <c r="AE108" s="401">
        <f>'Operating Metrics'!AE75</f>
        <v>107.66930000000001</v>
      </c>
      <c r="AF108" s="401">
        <f>'Operating Metrics'!AF75</f>
        <v>110.12609999999998</v>
      </c>
      <c r="AG108" s="1232">
        <f>'Operating Metrics'!AG75</f>
        <v>114.4494</v>
      </c>
      <c r="AH108" s="403">
        <f t="shared" ref="AH108:AK108" si="151">AG108*(1+AH109%)</f>
        <v>114.4494</v>
      </c>
      <c r="AI108" s="402">
        <f t="shared" si="151"/>
        <v>118.45512899999999</v>
      </c>
      <c r="AJ108" s="402">
        <f t="shared" si="151"/>
        <v>123.19333415999999</v>
      </c>
      <c r="AK108" s="1232">
        <f t="shared" si="151"/>
        <v>126.8891341848</v>
      </c>
      <c r="AL108" s="403">
        <f t="shared" ref="AL108" si="152">AK108*(1+AL109%)</f>
        <v>130.69580821034401</v>
      </c>
      <c r="AM108" s="402">
        <f t="shared" ref="AM108" si="153">AL108*(1+AM109%)</f>
        <v>135.92364053875778</v>
      </c>
      <c r="AN108" s="402">
        <f t="shared" ref="AN108" si="154">AM108*(1+AN109%)</f>
        <v>141.36058616030809</v>
      </c>
      <c r="AO108" s="1232">
        <f t="shared" ref="AO108" si="155">AN108*(1+AO109%)</f>
        <v>145.60140374511732</v>
      </c>
      <c r="AP108" s="403">
        <f t="shared" ref="AP108" si="156">AO108*(1+AP109%)</f>
        <v>152.88147393237318</v>
      </c>
      <c r="AQ108" s="402">
        <f t="shared" ref="AQ108" si="157">AP108*(1+AQ109%)</f>
        <v>157.46791815034439</v>
      </c>
      <c r="AR108" s="402">
        <f t="shared" ref="AR108" si="158">AQ108*(1+AR109%)</f>
        <v>163.76663487635818</v>
      </c>
      <c r="AS108" s="1232">
        <f t="shared" ref="AS108" si="159">AR108*(1+AS109%)</f>
        <v>167.86080074826711</v>
      </c>
      <c r="AT108" s="121"/>
      <c r="AU108" s="110"/>
      <c r="AV108" s="404"/>
      <c r="AW108" s="404"/>
      <c r="AX108" s="404"/>
      <c r="AY108" s="404"/>
      <c r="AZ108" s="404">
        <f>SUM(B108:E108)</f>
        <v>135.28891844295401</v>
      </c>
      <c r="BA108" s="404">
        <f>SUM(F108:I108)</f>
        <v>166.0383608546681</v>
      </c>
      <c r="BB108" s="404">
        <f>SUM(J108:M108)</f>
        <v>120.94870000000002</v>
      </c>
      <c r="BC108" s="404">
        <f>SUM(N108:Q108)</f>
        <v>164.58930000000001</v>
      </c>
      <c r="BD108" s="404">
        <f>SUM(R108:U108)</f>
        <v>192.2448</v>
      </c>
      <c r="BE108" s="404">
        <f>SUM(V108:Y108)</f>
        <v>201.36590000000001</v>
      </c>
      <c r="BF108" s="404">
        <f>SUM(Z108:AC108)</f>
        <v>246.1516</v>
      </c>
      <c r="BG108" s="404">
        <f>SUM(AD108:AG108)</f>
        <v>433.55439999999999</v>
      </c>
      <c r="BH108" s="404">
        <f>SUM(AH108:AK108)</f>
        <v>482.98699734479999</v>
      </c>
      <c r="BI108" s="404">
        <f>SUM(AL108:AO108)</f>
        <v>553.58143865452723</v>
      </c>
      <c r="BJ108" s="404">
        <f>SUM(AP108:AS108)</f>
        <v>641.97682770734286</v>
      </c>
      <c r="BK108" s="1044">
        <v>850</v>
      </c>
      <c r="BL108" s="267">
        <f>(BF108/BC108)^(1/3)-1</f>
        <v>0.14358123818823976</v>
      </c>
    </row>
    <row r="109" spans="1:64">
      <c r="A109" s="405" t="s">
        <v>363</v>
      </c>
      <c r="B109" s="406"/>
      <c r="C109" s="407"/>
      <c r="D109" s="407"/>
      <c r="E109" s="407"/>
      <c r="F109" s="408">
        <f>'Operating Metrics'!F85</f>
        <v>8.0134300790569277</v>
      </c>
      <c r="G109" s="409">
        <f>'Operating Metrics'!G85</f>
        <v>4.9030087446246151</v>
      </c>
      <c r="H109" s="409">
        <f>'Operating Metrics'!H85</f>
        <v>6.5844588410701954</v>
      </c>
      <c r="I109" s="1039">
        <f>'Operating Metrics'!I85</f>
        <v>-4.7091524576387762</v>
      </c>
      <c r="J109" s="409">
        <f>'Operating Metrics'!J85</f>
        <v>-35.064308289178022</v>
      </c>
      <c r="K109" s="409">
        <f>'Operating Metrics'!K85</f>
        <v>7.2975542176665131</v>
      </c>
      <c r="L109" s="409">
        <f>'Operating Metrics'!L85</f>
        <v>10.435009546309914</v>
      </c>
      <c r="M109" s="1039">
        <f>'Operating Metrics'!M85</f>
        <v>1.1408582089551977</v>
      </c>
      <c r="N109" s="408">
        <f>'Operating Metrics'!N85</f>
        <v>16.037187681580466</v>
      </c>
      <c r="O109" s="409">
        <f>'Operating Metrics'!O85</f>
        <v>4.8684137317087206</v>
      </c>
      <c r="P109" s="409">
        <f>'Operating Metrics'!P85</f>
        <v>2.4557361144797119</v>
      </c>
      <c r="Q109" s="1039">
        <f>'Operating Metrics'!Q85</f>
        <v>15.189086820145592</v>
      </c>
      <c r="R109" s="408">
        <f>'Operating Metrics'!R85</f>
        <v>-0.86615117185160351</v>
      </c>
      <c r="S109" s="409">
        <f>'Operating Metrics'!S85</f>
        <v>2.902102885475033</v>
      </c>
      <c r="T109" s="409">
        <f>'Operating Metrics'!T85</f>
        <v>1.9441069258809174</v>
      </c>
      <c r="U109" s="1039">
        <f>'Operating Metrics'!U85</f>
        <v>2.3242983978376985</v>
      </c>
      <c r="V109" s="408">
        <f>'Operating Metrics'!V85</f>
        <v>1.1583834937393567</v>
      </c>
      <c r="W109" s="409">
        <f>'Operating Metrics'!W85</f>
        <v>2.3178807947019875</v>
      </c>
      <c r="X109" s="409">
        <f>'Operating Metrics'!X85</f>
        <v>-2.4344733082597103</v>
      </c>
      <c r="Y109" s="409">
        <f>'Operating Metrics'!Y85</f>
        <v>-1.5092836082556405</v>
      </c>
      <c r="Z109" s="408">
        <f>'Operating Metrics'!Z85</f>
        <v>6.5924463574872805</v>
      </c>
      <c r="AA109" s="637">
        <f>'Operating Metrics (organic)'!AM83</f>
        <v>7.6422111793573722</v>
      </c>
      <c r="AB109" s="637">
        <f t="shared" ref="AB109:AG109" si="160">(AB108/AA108-1)*100</f>
        <v>8.5761648745519725</v>
      </c>
      <c r="AC109" s="1040">
        <f t="shared" si="160"/>
        <v>27.206179696462019</v>
      </c>
      <c r="AD109" s="408">
        <f t="shared" si="160"/>
        <v>31.453966276753786</v>
      </c>
      <c r="AE109" s="409">
        <f t="shared" si="160"/>
        <v>6.2774899910768678</v>
      </c>
      <c r="AF109" s="409">
        <f t="shared" si="160"/>
        <v>2.2818017763651888</v>
      </c>
      <c r="AG109" s="1040">
        <f t="shared" si="160"/>
        <v>3.9257723645893305</v>
      </c>
      <c r="AH109" s="411">
        <v>0</v>
      </c>
      <c r="AI109" s="410">
        <v>3.5</v>
      </c>
      <c r="AJ109" s="410">
        <v>4</v>
      </c>
      <c r="AK109" s="1233">
        <v>3</v>
      </c>
      <c r="AL109" s="411">
        <v>3</v>
      </c>
      <c r="AM109" s="410">
        <v>4</v>
      </c>
      <c r="AN109" s="410">
        <v>4</v>
      </c>
      <c r="AO109" s="1233">
        <v>3</v>
      </c>
      <c r="AP109" s="411">
        <v>5</v>
      </c>
      <c r="AQ109" s="410">
        <v>3</v>
      </c>
      <c r="AR109" s="410">
        <v>4</v>
      </c>
      <c r="AS109" s="1233">
        <v>2.5</v>
      </c>
      <c r="AT109" s="407"/>
      <c r="AU109" s="110"/>
      <c r="AV109" s="129"/>
      <c r="AW109" s="129"/>
      <c r="AX109" s="129"/>
      <c r="AY109" s="57"/>
      <c r="AZ109" s="57"/>
      <c r="BA109" s="57">
        <f t="shared" ref="BA109:BJ109" si="161">BA108/AZ108-1</f>
        <v>0.22728722178882599</v>
      </c>
      <c r="BB109" s="57">
        <f t="shared" si="161"/>
        <v>-0.27156170792443957</v>
      </c>
      <c r="BC109" s="57">
        <f t="shared" si="161"/>
        <v>0.36081909106918864</v>
      </c>
      <c r="BD109" s="57">
        <f>BD108/BC108-1</f>
        <v>0.16802732619921223</v>
      </c>
      <c r="BE109" s="57">
        <f t="shared" si="161"/>
        <v>4.7445236490141873E-2</v>
      </c>
      <c r="BF109" s="57">
        <f t="shared" si="161"/>
        <v>0.22240955395128958</v>
      </c>
      <c r="BG109" s="57">
        <f t="shared" si="161"/>
        <v>0.76133082214375203</v>
      </c>
      <c r="BH109" s="57">
        <f t="shared" si="161"/>
        <v>0.11401705840097565</v>
      </c>
      <c r="BI109" s="57">
        <f t="shared" si="161"/>
        <v>0.14616219835692701</v>
      </c>
      <c r="BJ109" s="57">
        <f t="shared" si="161"/>
        <v>0.15967910569339083</v>
      </c>
      <c r="BK109" s="1042"/>
    </row>
    <row r="110" spans="1:64">
      <c r="A110" s="405" t="s">
        <v>339</v>
      </c>
      <c r="B110" s="406"/>
      <c r="C110" s="407"/>
      <c r="D110" s="407"/>
      <c r="E110" s="407"/>
      <c r="F110" s="408">
        <f>'Operating Metrics'!F93*100</f>
        <v>22.549145632317181</v>
      </c>
      <c r="G110" s="409">
        <f>'Operating Metrics'!G93*100</f>
        <v>23.20036008166193</v>
      </c>
      <c r="H110" s="409">
        <f>'Operating Metrics'!H93*100</f>
        <v>30.705378787561031</v>
      </c>
      <c r="I110" s="1039">
        <f>'Operating Metrics'!I93*100</f>
        <v>15.08289448657003</v>
      </c>
      <c r="J110" s="409">
        <f>'Operating Metrics'!J93*100</f>
        <v>-30.814276038643019</v>
      </c>
      <c r="K110" s="409">
        <f>'Operating Metrics'!K93*100</f>
        <v>-29.235023316596742</v>
      </c>
      <c r="L110" s="409">
        <f>'Operating Metrics'!L93*100</f>
        <v>-26.678514292322795</v>
      </c>
      <c r="M110" s="1039">
        <f>'Operating Metrics'!M93*100</f>
        <v>-22.17722708014065</v>
      </c>
      <c r="N110" s="408">
        <f>'Operating Metrics'!N93*100</f>
        <v>39.065827579345999</v>
      </c>
      <c r="O110" s="409">
        <f>'Operating Metrics'!O93*100</f>
        <v>35.917475928189788</v>
      </c>
      <c r="P110" s="409">
        <f>'Operating Metrics'!P93*100</f>
        <v>26.097014925373109</v>
      </c>
      <c r="Q110" s="1039">
        <f>'Operating Metrics'!Q93*100</f>
        <v>43.611595325715037</v>
      </c>
      <c r="R110" s="408">
        <f>'Operating Metrics'!R93*100</f>
        <v>22.691444574268814</v>
      </c>
      <c r="S110" s="409">
        <f>'Operating Metrics'!S93*100</f>
        <v>20.390947125879187</v>
      </c>
      <c r="T110" s="409">
        <f>'Operating Metrics'!T93*100</f>
        <v>19.789755577913247</v>
      </c>
      <c r="U110" s="1039">
        <f>'Operating Metrics'!U93*100</f>
        <v>6.4111456486928287</v>
      </c>
      <c r="V110" s="408">
        <f>'Operating Metrics'!V93*100</f>
        <v>8.5842989733911033</v>
      </c>
      <c r="W110" s="409">
        <f>'Operating Metrics'!W93*100</f>
        <v>7.9678164682477126</v>
      </c>
      <c r="X110" s="409">
        <f>'Operating Metrics'!X93*100</f>
        <v>3.3305131324609327</v>
      </c>
      <c r="Y110" s="409">
        <f>'Operating Metrics'!Y93*100</f>
        <v>-0.54076672997068753</v>
      </c>
      <c r="Z110" s="408">
        <f>'Operating Metrics'!Z93*100</f>
        <v>4.8020205636099433</v>
      </c>
      <c r="AA110" s="637">
        <f>'Operating Metrics'!AA93*100</f>
        <v>28.445144173299532</v>
      </c>
      <c r="AB110" s="637">
        <f t="shared" ref="AB110:AG110" si="162">(AB108/X108-1)*100</f>
        <v>20.697864371663076</v>
      </c>
      <c r="AC110" s="1040">
        <f t="shared" si="162"/>
        <v>55.887933266448741</v>
      </c>
      <c r="AD110" s="408">
        <f t="shared" si="162"/>
        <v>92.247085256254564</v>
      </c>
      <c r="AE110" s="409">
        <f t="shared" si="162"/>
        <v>92.95573476702512</v>
      </c>
      <c r="AF110" s="409">
        <f t="shared" si="162"/>
        <v>81.769730381031721</v>
      </c>
      <c r="AG110" s="1040">
        <f t="shared" si="162"/>
        <v>48.503474182058802</v>
      </c>
      <c r="AH110" s="414">
        <f t="shared" ref="AH110:AK110" si="163">(AH108/AD108-1)*100</f>
        <v>12.969945592520361</v>
      </c>
      <c r="AI110" s="413">
        <f t="shared" si="163"/>
        <v>10.017552821463482</v>
      </c>
      <c r="AJ110" s="413">
        <f t="shared" si="163"/>
        <v>11.865701373243965</v>
      </c>
      <c r="AK110" s="1041">
        <f t="shared" si="163"/>
        <v>10.869200000000001</v>
      </c>
      <c r="AL110" s="414">
        <f t="shared" ref="AL110" si="164">(AL108/AH108-1)*100</f>
        <v>14.195276000000012</v>
      </c>
      <c r="AM110" s="413">
        <f t="shared" ref="AM110" si="165">(AM108/AI108-1)*100</f>
        <v>14.746944000000028</v>
      </c>
      <c r="AN110" s="413">
        <f t="shared" ref="AN110" si="166">(AN108/AJ108-1)*100</f>
        <v>14.746944000000028</v>
      </c>
      <c r="AO110" s="1041">
        <f t="shared" ref="AO110" si="167">(AO108/AK108-1)*100</f>
        <v>14.746944000000006</v>
      </c>
      <c r="AP110" s="414">
        <f t="shared" ref="AP110" si="168">(AP108/AL108-1)*100</f>
        <v>16.975039999999986</v>
      </c>
      <c r="AQ110" s="413">
        <f t="shared" ref="AQ110" si="169">(AQ108/AM108-1)*100</f>
        <v>15.850279999999994</v>
      </c>
      <c r="AR110" s="413">
        <f t="shared" ref="AR110" si="170">(AR108/AN108-1)*100</f>
        <v>15.850280000000016</v>
      </c>
      <c r="AS110" s="1041">
        <f t="shared" ref="AS110" si="171">(AS108/AO108-1)*100</f>
        <v>15.287899999999999</v>
      </c>
      <c r="AT110" s="407"/>
      <c r="AU110" s="110"/>
      <c r="AV110" s="412"/>
      <c r="AW110" s="412"/>
      <c r="AX110" s="412"/>
      <c r="AY110" s="412"/>
      <c r="AZ110" s="412"/>
      <c r="BA110" s="412"/>
      <c r="BB110" s="412"/>
      <c r="BC110" s="412"/>
      <c r="BD110" s="412"/>
      <c r="BE110" s="415"/>
      <c r="BF110" s="415"/>
      <c r="BG110" s="415"/>
      <c r="BH110" s="415"/>
      <c r="BI110" s="415"/>
      <c r="BJ110" s="415">
        <f>((BJ108/BG108)^(1/3))-1</f>
        <v>0.13979107362478005</v>
      </c>
      <c r="BK110" s="1042"/>
    </row>
    <row r="111" spans="1:64">
      <c r="A111" s="405" t="s">
        <v>364</v>
      </c>
      <c r="B111" s="406"/>
      <c r="C111" s="407"/>
      <c r="D111" s="407"/>
      <c r="E111" s="407"/>
      <c r="F111" s="408">
        <f>'Operating Metrics'!F31</f>
        <v>28</v>
      </c>
      <c r="G111" s="409">
        <f>'Operating Metrics'!G31</f>
        <v>28</v>
      </c>
      <c r="H111" s="409">
        <f>'Operating Metrics'!H31</f>
        <v>29</v>
      </c>
      <c r="I111" s="1039">
        <f>'Operating Metrics'!I31</f>
        <v>27</v>
      </c>
      <c r="J111" s="409">
        <f>'Operating Metrics'!J31</f>
        <v>19.400000000000002</v>
      </c>
      <c r="K111" s="409">
        <f>'Operating Metrics'!K31</f>
        <v>18.8</v>
      </c>
      <c r="L111" s="409">
        <f>'Operating Metrics'!L31</f>
        <v>20</v>
      </c>
      <c r="M111" s="1039">
        <f>'Operating Metrics'!M31</f>
        <v>18.899999999999999</v>
      </c>
      <c r="N111" s="408">
        <f>'Operating Metrics'!N31</f>
        <v>18.899999999999999</v>
      </c>
      <c r="O111" s="409">
        <f>'Operating Metrics'!O31</f>
        <v>18.600000000000001</v>
      </c>
      <c r="P111" s="409">
        <f>'Operating Metrics'!P31</f>
        <v>18.3</v>
      </c>
      <c r="Q111" s="1039">
        <f>'Operating Metrics'!Q31</f>
        <v>20.100000000000001</v>
      </c>
      <c r="R111" s="408">
        <f>'Operating Metrics'!R31</f>
        <v>19.399999999999999</v>
      </c>
      <c r="S111" s="409">
        <f>'Operating Metrics'!S31</f>
        <v>19.3</v>
      </c>
      <c r="T111" s="409">
        <f>'Operating Metrics'!T31</f>
        <v>19.3</v>
      </c>
      <c r="U111" s="1039">
        <f>'Operating Metrics'!U31</f>
        <v>18.8</v>
      </c>
      <c r="V111" s="408">
        <f>'Operating Metrics'!V31</f>
        <v>18.5</v>
      </c>
      <c r="W111" s="409">
        <f>'Operating Metrics'!W31</f>
        <v>18.5</v>
      </c>
      <c r="X111" s="409">
        <f>'Operating Metrics'!X31</f>
        <v>17.8</v>
      </c>
      <c r="Y111" s="409">
        <f>'Operating Metrics'!Y31</f>
        <v>17.600000000000001</v>
      </c>
      <c r="Z111" s="408">
        <f>'Operating Metrics'!Z31</f>
        <v>18.399999999999999</v>
      </c>
      <c r="AA111" s="637">
        <f>'Operating Metrics (organic)'!AM31</f>
        <v>18</v>
      </c>
      <c r="AB111" s="637">
        <f t="shared" ref="AB111:AG111" si="172">AB108/AB$129*100</f>
        <v>18.384920029216563</v>
      </c>
      <c r="AC111" s="1040">
        <f t="shared" si="172"/>
        <v>19.100000000000001</v>
      </c>
      <c r="AD111" s="408">
        <f t="shared" si="172"/>
        <v>22.9</v>
      </c>
      <c r="AE111" s="409">
        <f t="shared" si="172"/>
        <v>23.3</v>
      </c>
      <c r="AF111" s="409">
        <f t="shared" si="172"/>
        <v>22.9</v>
      </c>
      <c r="AG111" s="1040">
        <f t="shared" si="172"/>
        <v>23.396770202879061</v>
      </c>
      <c r="AH111" s="414">
        <f>AH108/AH$133*100</f>
        <v>19.470856837131031</v>
      </c>
      <c r="AI111" s="413">
        <f>AI108/AI$133*100</f>
        <v>17.916278755058375</v>
      </c>
      <c r="AJ111" s="413">
        <f>AJ108/AJ$133*100</f>
        <v>17.929807744266487</v>
      </c>
      <c r="AK111" s="1041">
        <f>AK108/AK$133*100</f>
        <v>17.736861566675067</v>
      </c>
      <c r="AL111" s="414">
        <f t="shared" ref="AL111:AO111" si="173">AL108/AL$133*100</f>
        <v>17.384130764304203</v>
      </c>
      <c r="AM111" s="413">
        <f t="shared" si="173"/>
        <v>17.564657976943103</v>
      </c>
      <c r="AN111" s="413">
        <f t="shared" si="173"/>
        <v>17.733980433344005</v>
      </c>
      <c r="AO111" s="1041">
        <f t="shared" si="173"/>
        <v>17.775675153409516</v>
      </c>
      <c r="AP111" s="414">
        <f t="shared" ref="AP111:AS111" si="174">AP108/AP$133*100</f>
        <v>17.59028421188372</v>
      </c>
      <c r="AQ111" s="413">
        <f t="shared" si="174"/>
        <v>17.590953720012209</v>
      </c>
      <c r="AR111" s="413">
        <f t="shared" si="174"/>
        <v>17.645103842027954</v>
      </c>
      <c r="AS111" s="1041">
        <f t="shared" si="174"/>
        <v>17.498128910733922</v>
      </c>
      <c r="AT111" s="407"/>
      <c r="AU111" s="110"/>
      <c r="AV111" s="412"/>
      <c r="AW111" s="412"/>
      <c r="AX111" s="412"/>
      <c r="AY111" s="412"/>
      <c r="AZ111" s="412"/>
      <c r="BA111" s="412"/>
      <c r="BB111" s="412"/>
      <c r="BC111" s="412"/>
      <c r="BD111" s="412"/>
      <c r="BE111" s="415"/>
      <c r="BF111" s="415"/>
      <c r="BG111" s="415"/>
      <c r="BH111" s="415"/>
      <c r="BI111" s="415"/>
      <c r="BJ111" s="415"/>
      <c r="BK111" s="1042"/>
    </row>
    <row r="112" spans="1:64">
      <c r="A112" s="110"/>
      <c r="B112" s="383"/>
      <c r="C112" s="110"/>
      <c r="D112" s="110"/>
      <c r="E112" s="1171"/>
      <c r="F112" s="383"/>
      <c r="G112" s="110"/>
      <c r="H112" s="110"/>
      <c r="I112" s="1171"/>
      <c r="J112" s="110"/>
      <c r="K112" s="110"/>
      <c r="L112" s="110"/>
      <c r="M112" s="1171"/>
      <c r="N112" s="383"/>
      <c r="O112" s="110"/>
      <c r="P112" s="110"/>
      <c r="Q112" s="1171"/>
      <c r="R112" s="383"/>
      <c r="S112" s="110"/>
      <c r="T112" s="110"/>
      <c r="U112" s="1171"/>
      <c r="V112" s="383"/>
      <c r="W112" s="110"/>
      <c r="X112" s="110"/>
      <c r="Y112" s="110"/>
      <c r="Z112" s="383"/>
      <c r="AA112" s="640"/>
      <c r="AB112" s="640"/>
      <c r="AC112" s="1171"/>
      <c r="AD112" s="383"/>
      <c r="AE112" s="110"/>
      <c r="AF112" s="110"/>
      <c r="AG112" s="1171"/>
      <c r="AH112" s="1000">
        <f>AH113-AG113</f>
        <v>2.8123250000000013</v>
      </c>
      <c r="AI112" s="1001">
        <f t="shared" ref="AI112:AO112" si="175">AI113-AH113</f>
        <v>3.2482353750000001</v>
      </c>
      <c r="AJ112" s="1001">
        <f t="shared" si="175"/>
        <v>3.738423622500008</v>
      </c>
      <c r="AK112" s="1235">
        <f t="shared" si="175"/>
        <v>3.9627290398500037</v>
      </c>
      <c r="AL112" s="1002">
        <f t="shared" si="175"/>
        <v>2.1002463911205069</v>
      </c>
      <c r="AM112" s="1001">
        <f t="shared" si="175"/>
        <v>2.8843383771388176</v>
      </c>
      <c r="AN112" s="1001">
        <f t="shared" si="175"/>
        <v>2.9997119122243703</v>
      </c>
      <c r="AO112" s="1235">
        <f t="shared" si="175"/>
        <v>2.3397752915350196</v>
      </c>
      <c r="AP112" s="383"/>
      <c r="AQ112" s="110"/>
      <c r="AR112" s="110"/>
      <c r="AS112" s="1171"/>
      <c r="AT112" s="110"/>
      <c r="AU112" s="110"/>
      <c r="AV112" s="110"/>
      <c r="AW112" s="110"/>
      <c r="AX112" s="110"/>
      <c r="AY112" s="110"/>
      <c r="AZ112" s="110"/>
      <c r="BA112" s="110"/>
      <c r="BB112" s="110"/>
      <c r="BC112" s="110"/>
      <c r="BD112" s="110"/>
      <c r="BE112" s="110"/>
      <c r="BF112" s="110"/>
      <c r="BG112" s="649"/>
      <c r="BH112" s="110"/>
      <c r="BI112" s="110"/>
      <c r="BJ112" s="110"/>
      <c r="BK112" s="1042"/>
    </row>
    <row r="113" spans="1:64" ht="15" thickBot="1">
      <c r="A113" s="397" t="str">
        <f>'Operating Metrics'!A76</f>
        <v>Healthcare &amp; HiTech</v>
      </c>
      <c r="B113" s="398">
        <v>0</v>
      </c>
      <c r="C113" s="399">
        <f>'Operating Metrics'!C76</f>
        <v>0</v>
      </c>
      <c r="D113" s="399">
        <f>'Operating Metrics'!D76</f>
        <v>0</v>
      </c>
      <c r="E113" s="399">
        <f>'Operating Metrics'!E76</f>
        <v>0</v>
      </c>
      <c r="F113" s="400">
        <f>'Operating Metrics'!F76</f>
        <v>0</v>
      </c>
      <c r="G113" s="401">
        <f>'Operating Metrics'!G76</f>
        <v>0</v>
      </c>
      <c r="H113" s="401">
        <f>'Operating Metrics'!H76</f>
        <v>0</v>
      </c>
      <c r="I113" s="401">
        <f>'Operating Metrics'!I76</f>
        <v>0</v>
      </c>
      <c r="J113" s="400">
        <f>'Operating Metrics'!J76</f>
        <v>0</v>
      </c>
      <c r="K113" s="401">
        <f>'Operating Metrics'!K76</f>
        <v>0</v>
      </c>
      <c r="L113" s="401">
        <f>'Operating Metrics'!L76</f>
        <v>0</v>
      </c>
      <c r="M113" s="1231">
        <f>'Operating Metrics'!M76</f>
        <v>0</v>
      </c>
      <c r="N113" s="400">
        <f>'Operating Metrics'!N76</f>
        <v>0</v>
      </c>
      <c r="O113" s="401">
        <f>'Operating Metrics'!O76</f>
        <v>0</v>
      </c>
      <c r="P113" s="401">
        <f>'Operating Metrics'!P76</f>
        <v>0</v>
      </c>
      <c r="Q113" s="1231">
        <f>'Operating Metrics'!Q76</f>
        <v>0</v>
      </c>
      <c r="R113" s="400">
        <f>'Operating Metrics'!R76</f>
        <v>0</v>
      </c>
      <c r="S113" s="401">
        <f>'Operating Metrics'!S76</f>
        <v>0</v>
      </c>
      <c r="T113" s="401">
        <f>'Operating Metrics'!T76</f>
        <v>0</v>
      </c>
      <c r="U113" s="1231">
        <f>'Operating Metrics'!U76</f>
        <v>0</v>
      </c>
      <c r="V113" s="400">
        <f>'Operating Metrics'!V76</f>
        <v>0</v>
      </c>
      <c r="W113" s="401">
        <f>'Operating Metrics'!W76</f>
        <v>0</v>
      </c>
      <c r="X113" s="401">
        <f>'Operating Metrics'!X76</f>
        <v>0</v>
      </c>
      <c r="Y113" s="401">
        <f>'Operating Metrics'!Y76</f>
        <v>0</v>
      </c>
      <c r="Z113" s="400">
        <f>'Operating Metrics'!Z76</f>
        <v>0</v>
      </c>
      <c r="AA113" s="636">
        <f>'Operating Metrics'!AA76</f>
        <v>0</v>
      </c>
      <c r="AB113" s="636">
        <f>'Operating Metrics'!AB76</f>
        <v>32.020999999999994</v>
      </c>
      <c r="AC113" s="1232">
        <f>'Operating Metrics'!AC76</f>
        <v>33.894000000000005</v>
      </c>
      <c r="AD113" s="400">
        <f>'Operating Metrics'!AD76</f>
        <v>0</v>
      </c>
      <c r="AE113" s="401">
        <f>'Operating Metrics'!AE76</f>
        <v>46.210000000000008</v>
      </c>
      <c r="AF113" s="401">
        <f>'Operating Metrics'!AF76</f>
        <v>50.494499999999995</v>
      </c>
      <c r="AG113" s="1232">
        <f>'Operating Metrics'!AG76</f>
        <v>56.246500000000005</v>
      </c>
      <c r="AH113" s="403">
        <f>AG113*(1+AH114%)</f>
        <v>59.058825000000006</v>
      </c>
      <c r="AI113" s="402">
        <f t="shared" ref="AI113" si="176">AH113*(1+AI114%)</f>
        <v>62.307060375000006</v>
      </c>
      <c r="AJ113" s="402">
        <f t="shared" ref="AJ113" si="177">AI113*(1+AJ114%)</f>
        <v>66.045483997500014</v>
      </c>
      <c r="AK113" s="1232">
        <f t="shared" ref="AK113" si="178">AJ113*(1+AK114%)</f>
        <v>70.008213037350018</v>
      </c>
      <c r="AL113" s="403">
        <f t="shared" ref="AL113" si="179">AK113*(1+AL114%)</f>
        <v>72.108459428470525</v>
      </c>
      <c r="AM113" s="402">
        <f t="shared" ref="AM113" si="180">AL113*(1+AM114%)</f>
        <v>74.992797805609342</v>
      </c>
      <c r="AN113" s="402">
        <f t="shared" ref="AN113" si="181">AM113*(1+AN114%)</f>
        <v>77.992509717833713</v>
      </c>
      <c r="AO113" s="1232">
        <f t="shared" ref="AO113" si="182">AN113*(1+AO114%)</f>
        <v>80.332285009368732</v>
      </c>
      <c r="AP113" s="403">
        <f t="shared" ref="AP113" si="183">AO113*(1+AP114%)</f>
        <v>85.152222109930861</v>
      </c>
      <c r="AQ113" s="402">
        <f t="shared" ref="AQ113" si="184">AP113*(1+AQ114%)</f>
        <v>89.409833215427412</v>
      </c>
      <c r="AR113" s="402">
        <f t="shared" ref="AR113" si="185">AQ113*(1+AR114%)</f>
        <v>93.880324876198785</v>
      </c>
      <c r="AS113" s="1232">
        <f t="shared" ref="AS113" si="186">AR113*(1+AS114%)</f>
        <v>99.51314436877071</v>
      </c>
      <c r="AT113" s="121"/>
      <c r="AU113" s="110"/>
      <c r="AV113" s="404"/>
      <c r="AW113" s="404"/>
      <c r="AX113" s="404"/>
      <c r="AY113" s="404"/>
      <c r="AZ113" s="404">
        <f>SUM(B113:E113)</f>
        <v>0</v>
      </c>
      <c r="BA113" s="404">
        <f>SUM(F113:I113)</f>
        <v>0</v>
      </c>
      <c r="BB113" s="404">
        <f>SUM(J113:M113)</f>
        <v>0</v>
      </c>
      <c r="BC113" s="404">
        <f>SUM(N113:Q113)</f>
        <v>0</v>
      </c>
      <c r="BD113" s="404">
        <f>SUM(R113:U113)</f>
        <v>0</v>
      </c>
      <c r="BE113" s="404">
        <f>SUM(V113:Y113)</f>
        <v>0</v>
      </c>
      <c r="BF113" s="404">
        <f>SUM(Z113:AC113)</f>
        <v>65.914999999999992</v>
      </c>
      <c r="BG113" s="404">
        <f>SUM(AD113:AG113)</f>
        <v>152.95099999999999</v>
      </c>
      <c r="BH113" s="404">
        <f>SUM(AH113:AK113)</f>
        <v>257.41958240985002</v>
      </c>
      <c r="BI113" s="404">
        <f>SUM(AL113:AO113)</f>
        <v>305.42605196128233</v>
      </c>
      <c r="BJ113" s="404">
        <f>SUM(AP113:AS113)</f>
        <v>367.95552457032778</v>
      </c>
      <c r="BK113" s="1043">
        <v>750</v>
      </c>
      <c r="BL113" s="267" t="e">
        <f>(BF113/BC113)^(1/3)-1</f>
        <v>#DIV/0!</v>
      </c>
    </row>
    <row r="114" spans="1:64">
      <c r="A114" s="405" t="s">
        <v>363</v>
      </c>
      <c r="B114" s="984"/>
      <c r="C114" s="985"/>
      <c r="D114" s="985"/>
      <c r="E114" s="985"/>
      <c r="F114" s="986">
        <f>'Operating Metrics'!F86</f>
        <v>0</v>
      </c>
      <c r="G114" s="987">
        <f>'Operating Metrics'!G86</f>
        <v>0</v>
      </c>
      <c r="H114" s="987">
        <f>'Operating Metrics'!H86</f>
        <v>0</v>
      </c>
      <c r="I114" s="1236"/>
      <c r="J114" s="987"/>
      <c r="K114" s="987"/>
      <c r="L114" s="987"/>
      <c r="M114" s="1236"/>
      <c r="N114" s="986"/>
      <c r="O114" s="987"/>
      <c r="P114" s="987"/>
      <c r="Q114" s="1236"/>
      <c r="R114" s="986"/>
      <c r="S114" s="987"/>
      <c r="T114" s="987"/>
      <c r="U114" s="1236"/>
      <c r="V114" s="986"/>
      <c r="W114" s="987"/>
      <c r="X114" s="987"/>
      <c r="Y114" s="987"/>
      <c r="Z114" s="986"/>
      <c r="AA114" s="988"/>
      <c r="AB114" s="988"/>
      <c r="AC114" s="1040"/>
      <c r="AD114" s="986"/>
      <c r="AE114" s="987"/>
      <c r="AF114" s="987">
        <f>(AF113/AE113-1)*100</f>
        <v>9.2718026401211517</v>
      </c>
      <c r="AG114" s="1040">
        <f>(AG113/AF113-1)*100</f>
        <v>11.391339650853084</v>
      </c>
      <c r="AH114" s="411">
        <v>5</v>
      </c>
      <c r="AI114" s="410">
        <v>5.5</v>
      </c>
      <c r="AJ114" s="410">
        <v>6</v>
      </c>
      <c r="AK114" s="1233">
        <v>6</v>
      </c>
      <c r="AL114" s="411">
        <v>3</v>
      </c>
      <c r="AM114" s="410">
        <v>4</v>
      </c>
      <c r="AN114" s="410">
        <v>4</v>
      </c>
      <c r="AO114" s="1233">
        <v>3</v>
      </c>
      <c r="AP114" s="411">
        <v>6</v>
      </c>
      <c r="AQ114" s="410">
        <v>5</v>
      </c>
      <c r="AR114" s="410">
        <v>5</v>
      </c>
      <c r="AS114" s="1233">
        <v>6</v>
      </c>
      <c r="AT114" s="407"/>
      <c r="AU114" s="110"/>
      <c r="AV114" s="129"/>
      <c r="AW114" s="129"/>
      <c r="AX114" s="129"/>
      <c r="AY114" s="57"/>
      <c r="AZ114" s="57"/>
      <c r="BA114" s="57" t="e">
        <f t="shared" ref="BA114" si="187">BA113/AZ113-1</f>
        <v>#DIV/0!</v>
      </c>
      <c r="BB114" s="57" t="e">
        <f t="shared" ref="BB114" si="188">BB113/BA113-1</f>
        <v>#DIV/0!</v>
      </c>
      <c r="BC114" s="57" t="e">
        <f t="shared" ref="BC114" si="189">BC113/BB113-1</f>
        <v>#DIV/0!</v>
      </c>
      <c r="BD114" s="57" t="e">
        <f>BD113/BC113-1</f>
        <v>#DIV/0!</v>
      </c>
      <c r="BE114" s="57" t="e">
        <f>BE113/BD113-1</f>
        <v>#DIV/0!</v>
      </c>
      <c r="BF114" s="57" t="e">
        <f t="shared" ref="BF114" si="190">BF113/BE113-1</f>
        <v>#DIV/0!</v>
      </c>
      <c r="BG114" s="57">
        <f t="shared" ref="BG114" si="191">BG113/BF113-1</f>
        <v>1.320427823712357</v>
      </c>
      <c r="BH114" s="57">
        <f t="shared" ref="BH114" si="192">BH113/BG113-1</f>
        <v>0.68301993716843978</v>
      </c>
      <c r="BI114" s="57">
        <f t="shared" ref="BI114:BJ114" si="193">BI113/BH113-1</f>
        <v>0.18649113288902353</v>
      </c>
      <c r="BJ114" s="57">
        <f t="shared" si="193"/>
        <v>0.20472868050225168</v>
      </c>
      <c r="BK114" s="1042"/>
    </row>
    <row r="115" spans="1:64">
      <c r="A115" s="405" t="s">
        <v>339</v>
      </c>
      <c r="B115" s="984"/>
      <c r="C115" s="985"/>
      <c r="D115" s="985"/>
      <c r="E115" s="985"/>
      <c r="F115" s="986">
        <f>'Operating Metrics'!F94*100</f>
        <v>0</v>
      </c>
      <c r="G115" s="987">
        <f>'Operating Metrics'!G94*100</f>
        <v>0</v>
      </c>
      <c r="H115" s="987">
        <f>'Operating Metrics'!H94*100</f>
        <v>0</v>
      </c>
      <c r="I115" s="1236"/>
      <c r="J115" s="987"/>
      <c r="K115" s="987"/>
      <c r="L115" s="987"/>
      <c r="M115" s="1236"/>
      <c r="N115" s="986"/>
      <c r="O115" s="987"/>
      <c r="P115" s="987"/>
      <c r="Q115" s="1236"/>
      <c r="R115" s="986"/>
      <c r="S115" s="987"/>
      <c r="T115" s="987"/>
      <c r="U115" s="1236"/>
      <c r="V115" s="986"/>
      <c r="W115" s="987"/>
      <c r="X115" s="987"/>
      <c r="Y115" s="987"/>
      <c r="Z115" s="986"/>
      <c r="AA115" s="988"/>
      <c r="AB115" s="988"/>
      <c r="AC115" s="1040"/>
      <c r="AD115" s="986"/>
      <c r="AE115" s="987"/>
      <c r="AF115" s="987">
        <f>(AF113/AB113-1)*100</f>
        <v>57.691827238374827</v>
      </c>
      <c r="AG115" s="1040">
        <f>(AG113/AC113-1)*100</f>
        <v>65.948250427804325</v>
      </c>
      <c r="AH115" s="414" t="s">
        <v>66</v>
      </c>
      <c r="AI115" s="413">
        <f t="shared" ref="AI115" si="194">(AI113/AE113-1)*100</f>
        <v>34.834582070980289</v>
      </c>
      <c r="AJ115" s="413">
        <f t="shared" ref="AJ115" si="195">(AJ113/AF113-1)*100</f>
        <v>30.797381888126463</v>
      </c>
      <c r="AK115" s="1041">
        <f t="shared" ref="AK115" si="196">(AK113/AG113-1)*100</f>
        <v>24.466790000000028</v>
      </c>
      <c r="AL115" s="414">
        <f t="shared" ref="AL115" si="197">(AL113/AH113-1)*100</f>
        <v>22.095994000000019</v>
      </c>
      <c r="AM115" s="413">
        <f t="shared" ref="AM115" si="198">(AM113/AI113-1)*100</f>
        <v>20.360032000000029</v>
      </c>
      <c r="AN115" s="413">
        <f t="shared" ref="AN115" si="199">(AN113/AJ113-1)*100</f>
        <v>18.089087999999997</v>
      </c>
      <c r="AO115" s="1041">
        <f t="shared" ref="AO115" si="200">(AO113/AK113-1)*100</f>
        <v>14.746944000000006</v>
      </c>
      <c r="AP115" s="414">
        <f t="shared" ref="AP115" si="201">(AP113/AL113-1)*100</f>
        <v>18.089087999999997</v>
      </c>
      <c r="AQ115" s="413">
        <f t="shared" ref="AQ115" si="202">(AQ113/AM113-1)*100</f>
        <v>19.224560000000036</v>
      </c>
      <c r="AR115" s="413">
        <f t="shared" ref="AR115" si="203">(AR113/AN113-1)*100</f>
        <v>20.370950000000043</v>
      </c>
      <c r="AS115" s="1041">
        <f t="shared" ref="AS115" si="204">(AS113/AO113-1)*100</f>
        <v>23.876900000000024</v>
      </c>
      <c r="AT115" s="407"/>
      <c r="AU115" s="110"/>
      <c r="AV115" s="412"/>
      <c r="AW115" s="412"/>
      <c r="AX115" s="412"/>
      <c r="AY115" s="412"/>
      <c r="AZ115" s="412"/>
      <c r="BA115" s="412"/>
      <c r="BB115" s="412"/>
      <c r="BC115" s="412"/>
      <c r="BD115" s="412"/>
      <c r="BE115" s="415"/>
      <c r="BF115" s="415"/>
      <c r="BG115" s="415"/>
      <c r="BH115" s="415"/>
      <c r="BI115" s="415"/>
      <c r="BJ115" s="415">
        <f>((BJ113/BG113)^(1/3))-1</f>
        <v>0.33992658036111445</v>
      </c>
      <c r="BK115" s="1042"/>
    </row>
    <row r="116" spans="1:64">
      <c r="A116" s="405" t="s">
        <v>364</v>
      </c>
      <c r="B116" s="984"/>
      <c r="C116" s="985"/>
      <c r="D116" s="985"/>
      <c r="E116" s="985"/>
      <c r="F116" s="986">
        <f>'Operating Metrics'!F32</f>
        <v>0</v>
      </c>
      <c r="G116" s="987">
        <f>'Operating Metrics'!G32</f>
        <v>0</v>
      </c>
      <c r="H116" s="987">
        <f>'Operating Metrics'!H32</f>
        <v>0</v>
      </c>
      <c r="I116" s="1236">
        <f>'Operating Metrics'!I28</f>
        <v>0</v>
      </c>
      <c r="J116" s="987">
        <f>'Operating Metrics'!J28</f>
        <v>0</v>
      </c>
      <c r="K116" s="987">
        <f>'Operating Metrics'!K28</f>
        <v>0</v>
      </c>
      <c r="L116" s="987">
        <f>'Operating Metrics'!L28</f>
        <v>0</v>
      </c>
      <c r="M116" s="1236">
        <f>'Operating Metrics'!M28</f>
        <v>0</v>
      </c>
      <c r="N116" s="986">
        <f>'Operating Metrics'!N28</f>
        <v>0</v>
      </c>
      <c r="O116" s="987">
        <f>'Operating Metrics'!O28</f>
        <v>0</v>
      </c>
      <c r="P116" s="987">
        <f>'Operating Metrics'!P28</f>
        <v>0</v>
      </c>
      <c r="Q116" s="1236">
        <f>'Operating Metrics'!Q28</f>
        <v>0</v>
      </c>
      <c r="R116" s="986">
        <f>'Operating Metrics'!R28</f>
        <v>0</v>
      </c>
      <c r="S116" s="987">
        <f>'Operating Metrics'!S28</f>
        <v>0</v>
      </c>
      <c r="T116" s="987">
        <f>'Operating Metrics'!T28</f>
        <v>0</v>
      </c>
      <c r="U116" s="1236">
        <f>'Operating Metrics'!U28</f>
        <v>0</v>
      </c>
      <c r="V116" s="986">
        <f>'Operating Metrics'!V28</f>
        <v>0</v>
      </c>
      <c r="W116" s="987">
        <f>'Operating Metrics'!W28</f>
        <v>0</v>
      </c>
      <c r="X116" s="987">
        <f>'Operating Metrics'!X28</f>
        <v>0</v>
      </c>
      <c r="Y116" s="987">
        <f>'Operating Metrics'!Y28</f>
        <v>0</v>
      </c>
      <c r="Z116" s="986">
        <f>'Operating Metrics'!Z28</f>
        <v>0</v>
      </c>
      <c r="AA116" s="988">
        <f>'Operating Metrics (organic)'!AM27</f>
        <v>0</v>
      </c>
      <c r="AB116" s="988">
        <f t="shared" ref="AB116:AG116" si="205">AB113/AB$129*100</f>
        <v>9.7169046101054448</v>
      </c>
      <c r="AC116" s="1040">
        <f t="shared" si="205"/>
        <v>8.4000000000000021</v>
      </c>
      <c r="AD116" s="986">
        <f t="shared" si="205"/>
        <v>0</v>
      </c>
      <c r="AE116" s="987">
        <f t="shared" si="205"/>
        <v>10</v>
      </c>
      <c r="AF116" s="987">
        <f t="shared" si="205"/>
        <v>10.5</v>
      </c>
      <c r="AG116" s="1040">
        <f t="shared" si="205"/>
        <v>11.49841270654313</v>
      </c>
      <c r="AH116" s="414">
        <f>AH113/AH$133*100</f>
        <v>10.047461380699026</v>
      </c>
      <c r="AI116" s="413">
        <f>AI113/AI$133*100</f>
        <v>9.4239115816314882</v>
      </c>
      <c r="AJ116" s="413">
        <f>AJ113/AJ$133*100</f>
        <v>9.6123937104764234</v>
      </c>
      <c r="AK116" s="1041">
        <f>AK113/AK$133*100</f>
        <v>9.785912648480501</v>
      </c>
      <c r="AL116" s="414">
        <f t="shared" ref="AL116:AO116" si="206">AL113/AL$133*100</f>
        <v>9.5913013973606791</v>
      </c>
      <c r="AM116" s="413">
        <f t="shared" si="206"/>
        <v>9.6909032083641069</v>
      </c>
      <c r="AN116" s="413">
        <f t="shared" si="206"/>
        <v>9.7843230482572352</v>
      </c>
      <c r="AO116" s="1041">
        <f t="shared" si="206"/>
        <v>9.8073271680633347</v>
      </c>
      <c r="AP116" s="414">
        <f t="shared" ref="AP116:AS116" si="207">AP113/AP$133*100</f>
        <v>9.7974708750499371</v>
      </c>
      <c r="AQ116" s="413">
        <f t="shared" si="207"/>
        <v>9.9880931727625946</v>
      </c>
      <c r="AR116" s="413">
        <f t="shared" si="207"/>
        <v>10.115174451832061</v>
      </c>
      <c r="AS116" s="1041">
        <f t="shared" si="207"/>
        <v>10.373439306348603</v>
      </c>
      <c r="AT116" s="407"/>
      <c r="AU116" s="110"/>
      <c r="AV116" s="412"/>
      <c r="AW116" s="412"/>
      <c r="AX116" s="412"/>
      <c r="AY116" s="412"/>
      <c r="AZ116" s="412"/>
      <c r="BA116" s="412"/>
      <c r="BB116" s="412"/>
      <c r="BC116" s="412"/>
      <c r="BD116" s="412"/>
      <c r="BE116" s="415"/>
      <c r="BF116" s="415"/>
      <c r="BG116" s="415"/>
      <c r="BH116" s="415"/>
      <c r="BI116" s="415"/>
      <c r="BJ116" s="415"/>
      <c r="BK116" s="1042"/>
    </row>
    <row r="117" spans="1:64">
      <c r="A117" s="110"/>
      <c r="B117" s="383"/>
      <c r="C117" s="110"/>
      <c r="D117" s="110"/>
      <c r="E117" s="110"/>
      <c r="F117" s="383"/>
      <c r="G117" s="110"/>
      <c r="H117" s="110"/>
      <c r="I117" s="110"/>
      <c r="J117" s="110"/>
      <c r="K117" s="110"/>
      <c r="L117" s="110"/>
      <c r="M117" s="1171"/>
      <c r="N117" s="383"/>
      <c r="O117" s="110"/>
      <c r="P117" s="110"/>
      <c r="Q117" s="1171"/>
      <c r="R117" s="383"/>
      <c r="S117" s="110"/>
      <c r="T117" s="110"/>
      <c r="U117" s="1171"/>
      <c r="V117" s="383"/>
      <c r="W117" s="110"/>
      <c r="X117" s="110"/>
      <c r="Y117" s="110"/>
      <c r="Z117" s="383"/>
      <c r="AA117" s="640"/>
      <c r="AB117" s="640"/>
      <c r="AC117" s="1171"/>
      <c r="AD117" s="383"/>
      <c r="AE117" s="110"/>
      <c r="AF117" s="110"/>
      <c r="AG117" s="1171"/>
      <c r="AH117" s="383"/>
      <c r="AI117" s="110"/>
      <c r="AJ117" s="110"/>
      <c r="AK117" s="1171"/>
      <c r="AL117" s="383"/>
      <c r="AM117" s="110"/>
      <c r="AN117" s="110"/>
      <c r="AO117" s="1171"/>
      <c r="AP117" s="383"/>
      <c r="AQ117" s="110"/>
      <c r="AR117" s="110"/>
      <c r="AS117" s="1171"/>
      <c r="AT117" s="110"/>
      <c r="AU117" s="110"/>
      <c r="AV117" s="110"/>
      <c r="AW117" s="110"/>
      <c r="AX117" s="110"/>
      <c r="AY117" s="110"/>
      <c r="AZ117" s="110"/>
      <c r="BA117" s="110"/>
      <c r="BB117" s="110"/>
      <c r="BC117" s="110"/>
      <c r="BD117" s="110"/>
      <c r="BE117" s="110"/>
      <c r="BF117" s="110"/>
      <c r="BG117" s="649"/>
      <c r="BH117" s="110"/>
      <c r="BI117" s="110"/>
      <c r="BJ117" s="110"/>
      <c r="BK117" s="1042"/>
    </row>
    <row r="118" spans="1:64" ht="15" thickBot="1">
      <c r="A118" s="397" t="str">
        <f>'Operating Metrics'!A33</f>
        <v xml:space="preserve">Government (Overseas) </v>
      </c>
      <c r="B118" s="398">
        <v>0</v>
      </c>
      <c r="C118" s="399">
        <f>'Operating Metrics'!C77</f>
        <v>0</v>
      </c>
      <c r="D118" s="399">
        <f>'Operating Metrics'!D77</f>
        <v>0</v>
      </c>
      <c r="E118" s="399">
        <f>'Operating Metrics'!E77</f>
        <v>0</v>
      </c>
      <c r="F118" s="400">
        <f>'Operating Metrics'!F77</f>
        <v>0</v>
      </c>
      <c r="G118" s="401">
        <f>'Operating Metrics'!G77</f>
        <v>0</v>
      </c>
      <c r="H118" s="401">
        <f>'Operating Metrics'!H77</f>
        <v>0</v>
      </c>
      <c r="I118" s="401">
        <f>'Operating Metrics'!I77</f>
        <v>0</v>
      </c>
      <c r="J118" s="400">
        <f>'Operating Metrics'!J77</f>
        <v>0</v>
      </c>
      <c r="K118" s="401">
        <f>'Operating Metrics'!K77</f>
        <v>0</v>
      </c>
      <c r="L118" s="401">
        <f>'Operating Metrics'!L77</f>
        <v>0</v>
      </c>
      <c r="M118" s="1231">
        <f>'Operating Metrics'!M77</f>
        <v>0</v>
      </c>
      <c r="N118" s="400">
        <f>'Operating Metrics'!N77</f>
        <v>0</v>
      </c>
      <c r="O118" s="401">
        <f>'Operating Metrics'!O77</f>
        <v>0</v>
      </c>
      <c r="P118" s="401">
        <f>'Operating Metrics'!P77</f>
        <v>0</v>
      </c>
      <c r="Q118" s="1231">
        <f>'Operating Metrics'!Q77</f>
        <v>0</v>
      </c>
      <c r="R118" s="400">
        <f>'Operating Metrics'!R77</f>
        <v>0</v>
      </c>
      <c r="S118" s="401">
        <f>'Operating Metrics'!S77</f>
        <v>0</v>
      </c>
      <c r="T118" s="401">
        <f>'Operating Metrics'!T77</f>
        <v>0</v>
      </c>
      <c r="U118" s="1231">
        <f>'Operating Metrics'!U77</f>
        <v>0</v>
      </c>
      <c r="V118" s="400">
        <f>'Operating Metrics'!V77</f>
        <v>20.6568</v>
      </c>
      <c r="W118" s="401">
        <f>'Operating Metrics'!W77</f>
        <v>21.1356</v>
      </c>
      <c r="X118" s="401">
        <f>'Operating Metrics'!X77</f>
        <v>18.612000000000002</v>
      </c>
      <c r="Y118" s="401">
        <f>'Operating Metrics'!Y77</f>
        <v>21.348399999999998</v>
      </c>
      <c r="Z118" s="400">
        <f>'Operating Metrics'!Z77</f>
        <v>22.911999999999999</v>
      </c>
      <c r="AA118" s="636">
        <f>'Operating Metrics (organic)'!AM75</f>
        <v>24.18</v>
      </c>
      <c r="AB118" s="636">
        <f>'Operating Metrics'!AB77-'P&amp;L revenue (cigniti)'!H100</f>
        <v>23.924600000000002</v>
      </c>
      <c r="AC118" s="1232">
        <f>'Operating Metrics'!AC77</f>
        <v>29.859000000000005</v>
      </c>
      <c r="AD118" s="400">
        <f>'Operating Metrics'!AD77</f>
        <v>31.852800000000002</v>
      </c>
      <c r="AE118" s="401">
        <f>'Operating Metrics'!AE77</f>
        <v>31.884900000000005</v>
      </c>
      <c r="AF118" s="401">
        <f>'Operating Metrics'!AF77</f>
        <v>30.296699999999998</v>
      </c>
      <c r="AG118" s="1232">
        <f>'Operating Metrics'!AG77</f>
        <v>36.682499999999997</v>
      </c>
      <c r="AH118" s="403">
        <f>AG118*(1+AH119%)</f>
        <v>38.516624999999998</v>
      </c>
      <c r="AI118" s="402">
        <f t="shared" ref="AI118" si="208">AH118*(1+AI119%)</f>
        <v>40.442456249999999</v>
      </c>
      <c r="AJ118" s="402">
        <f t="shared" ref="AJ118" si="209">AI118*(1+AJ119%)</f>
        <v>42.869003625000005</v>
      </c>
      <c r="AK118" s="1232">
        <f t="shared" ref="AK118" si="210">AJ118*(1+AK119%)</f>
        <v>45.441143842500004</v>
      </c>
      <c r="AL118" s="403">
        <f t="shared" ref="AL118" si="211">AK118*(1+AL119%)</f>
        <v>46.804378157775005</v>
      </c>
      <c r="AM118" s="402">
        <f t="shared" ref="AM118" si="212">AL118*(1+AM119%)</f>
        <v>48.208509502508257</v>
      </c>
      <c r="AN118" s="402">
        <f t="shared" ref="AN118" si="213">AM118*(1+AN119%)</f>
        <v>49.172679692558425</v>
      </c>
      <c r="AO118" s="1232">
        <f t="shared" ref="AO118" si="214">AN118*(1+AO119%)</f>
        <v>50.156133286409592</v>
      </c>
      <c r="AP118" s="403">
        <f t="shared" ref="AP118" si="215">AO118*(1+AP119%)</f>
        <v>52.162378617865976</v>
      </c>
      <c r="AQ118" s="402">
        <f t="shared" ref="AQ118" si="216">AP118*(1+AQ119%)</f>
        <v>53.727249976401957</v>
      </c>
      <c r="AR118" s="402">
        <f t="shared" ref="AR118" si="217">AQ118*(1+AR119%)</f>
        <v>56.41361247522206</v>
      </c>
      <c r="AS118" s="1232">
        <f t="shared" ref="AS118" si="218">AR118*(1+AS119%)</f>
        <v>58.670156974230942</v>
      </c>
      <c r="AT118" s="121"/>
      <c r="AU118" s="110"/>
      <c r="AV118" s="404"/>
      <c r="AW118" s="404"/>
      <c r="AX118" s="404"/>
      <c r="AY118" s="404"/>
      <c r="AZ118" s="404">
        <f>SUM(B118:E118)</f>
        <v>0</v>
      </c>
      <c r="BA118" s="404">
        <f>SUM(F118:I118)</f>
        <v>0</v>
      </c>
      <c r="BB118" s="404">
        <f>SUM(J118:M118)</f>
        <v>0</v>
      </c>
      <c r="BC118" s="404">
        <f>SUM(N118:Q118)</f>
        <v>0</v>
      </c>
      <c r="BD118" s="404">
        <f>SUM(R118:U118)</f>
        <v>0</v>
      </c>
      <c r="BE118" s="404">
        <f>SUM(V118:Y118)</f>
        <v>81.752800000000008</v>
      </c>
      <c r="BF118" s="404">
        <f>SUM(Z118:AC118)</f>
        <v>100.87560000000001</v>
      </c>
      <c r="BG118" s="404">
        <f>SUM(AD118:AG118)</f>
        <v>130.71690000000001</v>
      </c>
      <c r="BH118" s="404">
        <f>SUM(AH118:AK118)</f>
        <v>167.2692287175</v>
      </c>
      <c r="BI118" s="404">
        <f>SUM(AL118:AO118)</f>
        <v>194.34170063925129</v>
      </c>
      <c r="BJ118" s="404">
        <f>SUM(AP118:AS118)</f>
        <v>220.97339804372092</v>
      </c>
      <c r="BK118" s="1043">
        <v>250</v>
      </c>
      <c r="BL118" s="267" t="e">
        <f>(BF118/BC118)^(1/3)-1</f>
        <v>#DIV/0!</v>
      </c>
    </row>
    <row r="119" spans="1:64">
      <c r="A119" s="405" t="s">
        <v>363</v>
      </c>
      <c r="B119" s="406"/>
      <c r="C119" s="407"/>
      <c r="D119" s="407"/>
      <c r="E119" s="407"/>
      <c r="F119" s="408">
        <f>'Operating Metrics'!F91</f>
        <v>0.1817239043116301</v>
      </c>
      <c r="G119" s="409">
        <f>'Operating Metrics'!G91</f>
        <v>0.26993474616195856</v>
      </c>
      <c r="H119" s="409">
        <f>'Operating Metrics'!H91</f>
        <v>0.17184132706089228</v>
      </c>
      <c r="I119" s="1039">
        <f>'Operating Metrics'!I87</f>
        <v>0</v>
      </c>
      <c r="J119" s="409">
        <f>'Operating Metrics'!J87</f>
        <v>0</v>
      </c>
      <c r="K119" s="409">
        <f>'Operating Metrics'!K87</f>
        <v>0</v>
      </c>
      <c r="L119" s="409">
        <f>'Operating Metrics'!L87</f>
        <v>0</v>
      </c>
      <c r="M119" s="1039">
        <f>'Operating Metrics'!M87</f>
        <v>0</v>
      </c>
      <c r="N119" s="408">
        <f>'Operating Metrics'!N87</f>
        <v>0</v>
      </c>
      <c r="O119" s="409">
        <f>'Operating Metrics'!O87</f>
        <v>0</v>
      </c>
      <c r="P119" s="409">
        <f>'Operating Metrics'!P87</f>
        <v>0</v>
      </c>
      <c r="Q119" s="1039">
        <f>'Operating Metrics'!Q87</f>
        <v>0</v>
      </c>
      <c r="R119" s="408">
        <f>'Operating Metrics'!R87</f>
        <v>0</v>
      </c>
      <c r="S119" s="409">
        <f>'Operating Metrics'!S87</f>
        <v>0</v>
      </c>
      <c r="T119" s="409">
        <f>'Operating Metrics'!T87</f>
        <v>0</v>
      </c>
      <c r="U119" s="1039">
        <f>'Operating Metrics'!U87</f>
        <v>0</v>
      </c>
      <c r="V119" s="408">
        <f>'Operating Metrics'!V87</f>
        <v>0</v>
      </c>
      <c r="W119" s="409">
        <f>'Operating Metrics'!W87</f>
        <v>0</v>
      </c>
      <c r="X119" s="409">
        <f>'Operating Metrics'!X87</f>
        <v>0</v>
      </c>
      <c r="Y119" s="409">
        <f>'Operating Metrics'!Y87</f>
        <v>0</v>
      </c>
      <c r="Z119" s="408">
        <f>'Operating Metrics'!Z87</f>
        <v>7.3242022821382369</v>
      </c>
      <c r="AA119" s="637">
        <f>'Operating Metrics (organic)'!AM84</f>
        <v>8.2402234636871583</v>
      </c>
      <c r="AB119" s="637">
        <f t="shared" ref="AB119:AG119" si="219">(AB118/AA118-1)*100</f>
        <v>-1.0562448304383687</v>
      </c>
      <c r="AC119" s="1040">
        <f t="shared" si="219"/>
        <v>24.804594434180729</v>
      </c>
      <c r="AD119" s="408">
        <f t="shared" si="219"/>
        <v>6.6773837034060035</v>
      </c>
      <c r="AE119" s="409">
        <f t="shared" si="219"/>
        <v>0.10077606992164867</v>
      </c>
      <c r="AF119" s="409">
        <f t="shared" si="219"/>
        <v>-4.9810411825033434</v>
      </c>
      <c r="AG119" s="1040">
        <f t="shared" si="219"/>
        <v>21.077543098753338</v>
      </c>
      <c r="AH119" s="411">
        <v>5</v>
      </c>
      <c r="AI119" s="410">
        <v>5</v>
      </c>
      <c r="AJ119" s="410">
        <v>6</v>
      </c>
      <c r="AK119" s="1233">
        <v>6</v>
      </c>
      <c r="AL119" s="411">
        <v>3</v>
      </c>
      <c r="AM119" s="410">
        <v>3</v>
      </c>
      <c r="AN119" s="410">
        <v>2</v>
      </c>
      <c r="AO119" s="1233">
        <v>2</v>
      </c>
      <c r="AP119" s="411">
        <v>4</v>
      </c>
      <c r="AQ119" s="410">
        <v>3</v>
      </c>
      <c r="AR119" s="410">
        <v>5</v>
      </c>
      <c r="AS119" s="1233">
        <v>4</v>
      </c>
      <c r="AT119" s="407"/>
      <c r="AU119" s="110"/>
      <c r="AV119" s="129"/>
      <c r="AW119" s="129"/>
      <c r="AX119" s="129"/>
      <c r="AY119" s="57"/>
      <c r="AZ119" s="57"/>
      <c r="BA119" s="57" t="e">
        <f t="shared" ref="BA119" si="220">BA118/AZ118-1</f>
        <v>#DIV/0!</v>
      </c>
      <c r="BB119" s="57" t="e">
        <f t="shared" ref="BB119" si="221">BB118/BA118-1</f>
        <v>#DIV/0!</v>
      </c>
      <c r="BC119" s="57" t="e">
        <f t="shared" ref="BC119" si="222">BC118/BB118-1</f>
        <v>#DIV/0!</v>
      </c>
      <c r="BD119" s="57" t="e">
        <f>BD118/BC118-1</f>
        <v>#DIV/0!</v>
      </c>
      <c r="BE119" s="57" t="e">
        <f t="shared" ref="BE119" si="223">BE118/BD118-1</f>
        <v>#DIV/0!</v>
      </c>
      <c r="BF119" s="57">
        <f t="shared" ref="BF119" si="224">BF118/BE118-1</f>
        <v>0.23391003121605625</v>
      </c>
      <c r="BG119" s="57">
        <f t="shared" ref="BG119" si="225">BG118/BF118-1</f>
        <v>0.29582277577531135</v>
      </c>
      <c r="BH119" s="57">
        <f t="shared" ref="BH119:BJ119" si="226">BH118/BG118-1</f>
        <v>0.27962970906975282</v>
      </c>
      <c r="BI119" s="57">
        <f t="shared" si="226"/>
        <v>0.1618496846630042</v>
      </c>
      <c r="BJ119" s="57">
        <f t="shared" si="226"/>
        <v>0.13703542429066728</v>
      </c>
      <c r="BK119" s="1042"/>
    </row>
    <row r="120" spans="1:64">
      <c r="A120" s="405" t="s">
        <v>339</v>
      </c>
      <c r="B120" s="406"/>
      <c r="C120" s="407"/>
      <c r="D120" s="407"/>
      <c r="E120" s="407"/>
      <c r="F120" s="408">
        <f>'Operating Metrics'!F99*100</f>
        <v>0</v>
      </c>
      <c r="G120" s="409">
        <f>'Operating Metrics'!G99*100</f>
        <v>0</v>
      </c>
      <c r="H120" s="409">
        <f>'Operating Metrics'!H99*100</f>
        <v>0</v>
      </c>
      <c r="I120" s="1039">
        <f>'Operating Metrics'!I95*100</f>
        <v>0</v>
      </c>
      <c r="J120" s="409">
        <f>'Operating Metrics'!J95*100</f>
        <v>0</v>
      </c>
      <c r="K120" s="409">
        <f>'Operating Metrics'!K95*100</f>
        <v>0</v>
      </c>
      <c r="L120" s="409">
        <f>'Operating Metrics'!L95*100</f>
        <v>0</v>
      </c>
      <c r="M120" s="1039">
        <f>'Operating Metrics'!M95*100</f>
        <v>0</v>
      </c>
      <c r="N120" s="408">
        <f>'Operating Metrics'!N95*100</f>
        <v>0</v>
      </c>
      <c r="O120" s="409">
        <f>'Operating Metrics'!O95*100</f>
        <v>0</v>
      </c>
      <c r="P120" s="409">
        <f>'Operating Metrics'!P95*100</f>
        <v>0</v>
      </c>
      <c r="Q120" s="1039">
        <f>'Operating Metrics'!Q95*100</f>
        <v>0</v>
      </c>
      <c r="R120" s="408">
        <f>'Operating Metrics'!R95*100</f>
        <v>0</v>
      </c>
      <c r="S120" s="409">
        <f>'Operating Metrics'!S95*100</f>
        <v>0</v>
      </c>
      <c r="T120" s="409">
        <f>'Operating Metrics'!T95*100</f>
        <v>0</v>
      </c>
      <c r="U120" s="1039">
        <f>'Operating Metrics'!U95*100</f>
        <v>0</v>
      </c>
      <c r="V120" s="408">
        <f>'Operating Metrics'!V95*100</f>
        <v>0</v>
      </c>
      <c r="W120" s="409">
        <f>'Operating Metrics'!W95*100</f>
        <v>0</v>
      </c>
      <c r="X120" s="409">
        <f>'Operating Metrics'!X95*100</f>
        <v>0</v>
      </c>
      <c r="Y120" s="409">
        <f>'Operating Metrics'!Y95*100</f>
        <v>0</v>
      </c>
      <c r="Z120" s="408">
        <f>'Operating Metrics'!Z95*100</f>
        <v>10.917470276131812</v>
      </c>
      <c r="AA120" s="637">
        <f>'Operating Metrics (organic)'!AM91*100</f>
        <v>14.404133310622825</v>
      </c>
      <c r="AB120" s="637">
        <f t="shared" ref="AB120:AG120" si="227">(AB118/X118-1)*100</f>
        <v>28.543950139694818</v>
      </c>
      <c r="AC120" s="1040">
        <f t="shared" si="227"/>
        <v>39.865282644132627</v>
      </c>
      <c r="AD120" s="408">
        <f t="shared" si="227"/>
        <v>39.022346368715091</v>
      </c>
      <c r="AE120" s="409">
        <f t="shared" si="227"/>
        <v>31.864764267990097</v>
      </c>
      <c r="AF120" s="409">
        <f t="shared" si="227"/>
        <v>26.634092106033091</v>
      </c>
      <c r="AG120" s="1040">
        <f t="shared" si="227"/>
        <v>22.85240630965535</v>
      </c>
      <c r="AH120" s="414">
        <f t="shared" ref="AH120" si="228">(AH118/AD118-1)*100</f>
        <v>20.920688291139221</v>
      </c>
      <c r="AI120" s="413">
        <f t="shared" ref="AI120" si="229">(AI118/AE118-1)*100</f>
        <v>26.838899447700925</v>
      </c>
      <c r="AJ120" s="413">
        <f t="shared" ref="AJ120" si="230">(AJ118/AF118-1)*100</f>
        <v>41.497270742358097</v>
      </c>
      <c r="AK120" s="1041">
        <f t="shared" ref="AK120" si="231">(AK118/AG118-1)*100</f>
        <v>23.876900000000024</v>
      </c>
      <c r="AL120" s="414">
        <f t="shared" ref="AL120" si="232">(AL118/AH118-1)*100</f>
        <v>21.517340000000029</v>
      </c>
      <c r="AM120" s="413">
        <f t="shared" ref="AM120" si="233">(AM118/AI118-1)*100</f>
        <v>19.202724000000025</v>
      </c>
      <c r="AN120" s="413">
        <f t="shared" ref="AN120" si="234">(AN118/AJ118-1)*100</f>
        <v>14.704508000000004</v>
      </c>
      <c r="AO120" s="1041">
        <f t="shared" ref="AO120" si="235">(AO118/AK118-1)*100</f>
        <v>10.37603600000001</v>
      </c>
      <c r="AP120" s="414">
        <f t="shared" ref="AP120" si="236">(AP118/AL118-1)*100</f>
        <v>11.447647999999999</v>
      </c>
      <c r="AQ120" s="413">
        <f t="shared" ref="AQ120" si="237">(AQ118/AM118-1)*100</f>
        <v>11.447647999999999</v>
      </c>
      <c r="AR120" s="413">
        <f t="shared" ref="AR120" si="238">(AR118/AN118-1)*100</f>
        <v>14.725520000000003</v>
      </c>
      <c r="AS120" s="1041">
        <f t="shared" ref="AS120" si="239">(AS118/AO118-1)*100</f>
        <v>16.975040000000007</v>
      </c>
      <c r="AT120" s="407"/>
      <c r="AU120" s="110"/>
      <c r="AV120" s="412"/>
      <c r="AW120" s="412"/>
      <c r="AX120" s="412"/>
      <c r="AY120" s="412"/>
      <c r="AZ120" s="412"/>
      <c r="BA120" s="412"/>
      <c r="BB120" s="412"/>
      <c r="BC120" s="412"/>
      <c r="BD120" s="412"/>
      <c r="BE120" s="415"/>
      <c r="BF120" s="415"/>
      <c r="BG120" s="415"/>
      <c r="BH120" s="415"/>
      <c r="BI120" s="415"/>
      <c r="BJ120" s="415">
        <f>((BJ118/BG118)^(1/3))-1</f>
        <v>0.19124955504862173</v>
      </c>
      <c r="BK120" s="1042"/>
    </row>
    <row r="121" spans="1:64">
      <c r="A121" s="405" t="s">
        <v>364</v>
      </c>
      <c r="B121" s="406"/>
      <c r="C121" s="407"/>
      <c r="D121" s="407"/>
      <c r="E121" s="407"/>
      <c r="F121" s="408">
        <f>'Operating Metrics'!F37</f>
        <v>0</v>
      </c>
      <c r="G121" s="409">
        <f>'Operating Metrics'!G37</f>
        <v>0</v>
      </c>
      <c r="H121" s="409">
        <f>'Operating Metrics'!H37</f>
        <v>0</v>
      </c>
      <c r="I121" s="1039">
        <f>'Operating Metrics'!I33</f>
        <v>0</v>
      </c>
      <c r="J121" s="409">
        <f>'Operating Metrics'!J33</f>
        <v>0</v>
      </c>
      <c r="K121" s="409">
        <f>'Operating Metrics'!K33</f>
        <v>0</v>
      </c>
      <c r="L121" s="409">
        <f>'Operating Metrics'!L33</f>
        <v>0</v>
      </c>
      <c r="M121" s="1039">
        <f>'Operating Metrics'!M33</f>
        <v>0</v>
      </c>
      <c r="N121" s="408">
        <f>'Operating Metrics'!N33</f>
        <v>0</v>
      </c>
      <c r="O121" s="409">
        <f>'Operating Metrics'!O33</f>
        <v>0</v>
      </c>
      <c r="P121" s="409">
        <f>'Operating Metrics'!P33</f>
        <v>0</v>
      </c>
      <c r="Q121" s="1039">
        <f>'Operating Metrics'!Q33</f>
        <v>0</v>
      </c>
      <c r="R121" s="408">
        <f>'Operating Metrics'!R33</f>
        <v>0</v>
      </c>
      <c r="S121" s="409">
        <f>'Operating Metrics'!S33</f>
        <v>0</v>
      </c>
      <c r="T121" s="409">
        <f>'Operating Metrics'!T33</f>
        <v>0</v>
      </c>
      <c r="U121" s="1039">
        <f>'Operating Metrics'!U33</f>
        <v>0</v>
      </c>
      <c r="V121" s="408">
        <f>'Operating Metrics'!V33</f>
        <v>7.6</v>
      </c>
      <c r="W121" s="409">
        <f>'Operating Metrics'!W33</f>
        <v>7.6</v>
      </c>
      <c r="X121" s="409">
        <f>'Operating Metrics'!X33</f>
        <v>6.6</v>
      </c>
      <c r="Y121" s="409">
        <f>'Operating Metrics'!Y33</f>
        <v>7.6</v>
      </c>
      <c r="Z121" s="408">
        <f>'Operating Metrics'!Z33</f>
        <v>8</v>
      </c>
      <c r="AA121" s="637">
        <f>'Operating Metrics (organic)'!AM32</f>
        <v>7.8</v>
      </c>
      <c r="AB121" s="637">
        <f t="shared" ref="AB121:AG121" si="240">AB118/AB$129*100</f>
        <v>7.2600186138761682</v>
      </c>
      <c r="AC121" s="1040">
        <f t="shared" si="240"/>
        <v>7.4000000000000012</v>
      </c>
      <c r="AD121" s="408">
        <f t="shared" si="240"/>
        <v>7.2000000000000011</v>
      </c>
      <c r="AE121" s="409">
        <f t="shared" si="240"/>
        <v>6.9</v>
      </c>
      <c r="AF121" s="409">
        <f t="shared" si="240"/>
        <v>6.3</v>
      </c>
      <c r="AG121" s="1040">
        <f t="shared" si="240"/>
        <v>7.4989648086150833</v>
      </c>
      <c r="AH121" s="414">
        <f>AH118/AH$133*100</f>
        <v>6.5526922048037122</v>
      </c>
      <c r="AI121" s="413">
        <f>AI118/AI$133*100</f>
        <v>6.1169011914566633</v>
      </c>
      <c r="AJ121" s="413">
        <f>AJ118/AJ$133*100</f>
        <v>6.2392417449002116</v>
      </c>
      <c r="AK121" s="1041">
        <f>AK118/AK$133*100</f>
        <v>6.3518699449234646</v>
      </c>
      <c r="AL121" s="414">
        <f t="shared" ref="AL121:AO121" si="241">AL118/AL$133*100</f>
        <v>6.2255510821525109</v>
      </c>
      <c r="AM121" s="413">
        <f t="shared" si="241"/>
        <v>6.2297182273330813</v>
      </c>
      <c r="AN121" s="413">
        <f t="shared" si="241"/>
        <v>6.1688152490681682</v>
      </c>
      <c r="AO121" s="1041">
        <f t="shared" si="241"/>
        <v>6.1232866532732526</v>
      </c>
      <c r="AP121" s="414">
        <f t="shared" ref="AP121:AS121" si="242">AP118/AP$133*100</f>
        <v>6.0017151944912932</v>
      </c>
      <c r="AQ121" s="413">
        <f t="shared" si="242"/>
        <v>6.0019436272476492</v>
      </c>
      <c r="AR121" s="413">
        <f t="shared" si="242"/>
        <v>6.0783080203165314</v>
      </c>
      <c r="AS121" s="1041">
        <f t="shared" si="242"/>
        <v>6.1158886730658342</v>
      </c>
      <c r="AT121" s="407"/>
      <c r="AU121" s="110"/>
      <c r="AV121" s="412"/>
      <c r="AW121" s="412"/>
      <c r="AX121" s="412"/>
      <c r="AY121" s="412"/>
      <c r="AZ121" s="412"/>
      <c r="BA121" s="412"/>
      <c r="BB121" s="412"/>
      <c r="BC121" s="412"/>
      <c r="BD121" s="412"/>
      <c r="BE121" s="415"/>
      <c r="BF121" s="415"/>
      <c r="BG121" s="415"/>
      <c r="BH121" s="415"/>
      <c r="BI121" s="415"/>
      <c r="BJ121" s="415"/>
      <c r="BK121" s="1042"/>
    </row>
    <row r="122" spans="1:64">
      <c r="A122" s="110"/>
      <c r="B122" s="383"/>
      <c r="C122" s="110"/>
      <c r="D122" s="110"/>
      <c r="E122" s="110"/>
      <c r="F122" s="383"/>
      <c r="G122" s="110"/>
      <c r="H122" s="110"/>
      <c r="I122" s="110"/>
      <c r="J122" s="110"/>
      <c r="K122" s="110"/>
      <c r="L122" s="110"/>
      <c r="M122" s="1171"/>
      <c r="N122" s="383"/>
      <c r="O122" s="110"/>
      <c r="P122" s="110"/>
      <c r="Q122" s="1171"/>
      <c r="R122" s="383"/>
      <c r="S122" s="110"/>
      <c r="T122" s="110"/>
      <c r="U122" s="1171"/>
      <c r="V122" s="383"/>
      <c r="W122" s="110"/>
      <c r="X122" s="110"/>
      <c r="Y122" s="110"/>
      <c r="Z122" s="383"/>
      <c r="AA122" s="640"/>
      <c r="AB122" s="640"/>
      <c r="AC122" s="1171"/>
      <c r="AD122" s="383"/>
      <c r="AE122" s="110"/>
      <c r="AF122" s="110"/>
      <c r="AG122" s="1171"/>
      <c r="AH122" s="383"/>
      <c r="AI122" s="110"/>
      <c r="AJ122" s="110"/>
      <c r="AK122" s="1171"/>
      <c r="AL122" s="383"/>
      <c r="AM122" s="110"/>
      <c r="AN122" s="110"/>
      <c r="AO122" s="1171"/>
      <c r="AP122" s="383"/>
      <c r="AQ122" s="110"/>
      <c r="AR122" s="110"/>
      <c r="AS122" s="1171"/>
      <c r="AT122" s="110"/>
      <c r="AU122" s="110"/>
      <c r="AV122" s="110"/>
      <c r="AW122" s="110"/>
      <c r="AX122" s="110"/>
      <c r="AY122" s="110"/>
      <c r="AZ122" s="110"/>
      <c r="BA122" s="110"/>
      <c r="BB122" s="110"/>
      <c r="BC122" s="110"/>
      <c r="BD122" s="110"/>
      <c r="BE122" s="110"/>
      <c r="BF122" s="110"/>
      <c r="BG122" s="649"/>
      <c r="BH122" s="110"/>
      <c r="BI122" s="110"/>
      <c r="BJ122" s="110"/>
      <c r="BK122" s="1042"/>
    </row>
    <row r="123" spans="1:64" ht="15" thickBot="1">
      <c r="A123" s="397" t="str">
        <f>'Operating Metrics'!A34</f>
        <v>Others</v>
      </c>
      <c r="B123" s="398">
        <v>33.196090047393369</v>
      </c>
      <c r="C123" s="399">
        <f>'Operating Metrics'!C78</f>
        <v>34.639625585023403</v>
      </c>
      <c r="D123" s="399">
        <f>'Operating Metrics'!D78</f>
        <v>37.429667876081496</v>
      </c>
      <c r="E123" s="399">
        <f>'Operating Metrics'!E78</f>
        <v>39.008516166281751</v>
      </c>
      <c r="F123" s="400">
        <f>'Operating Metrics'!F78</f>
        <v>37.827591240875918</v>
      </c>
      <c r="G123" s="401">
        <f>'Operating Metrics'!G78</f>
        <v>35.273138975375041</v>
      </c>
      <c r="H123" s="401">
        <f>'Operating Metrics'!H78</f>
        <v>37.811751444272225</v>
      </c>
      <c r="I123" s="401">
        <f>'Operating Metrics'!I78</f>
        <v>41.796120569355296</v>
      </c>
      <c r="J123" s="400">
        <f>'Operating Metrics'!J78</f>
        <v>42.529600000000002</v>
      </c>
      <c r="K123" s="401">
        <f>'Operating Metrics'!K78</f>
        <v>46.160200000000003</v>
      </c>
      <c r="L123" s="401">
        <f>'Operating Metrics'!L78</f>
        <v>48.24</v>
      </c>
      <c r="M123" s="1231">
        <f>'Operating Metrics'!M78</f>
        <v>56.9651</v>
      </c>
      <c r="N123" s="400">
        <f>'Operating Metrics'!N78</f>
        <v>58.31239999999999</v>
      </c>
      <c r="O123" s="401">
        <f>'Operating Metrics'!O78</f>
        <v>59.796800000000012</v>
      </c>
      <c r="P123" s="401">
        <f>'Operating Metrics'!P78</f>
        <v>56.2864</v>
      </c>
      <c r="Q123" s="1231">
        <f>'Operating Metrics'!Q78</f>
        <v>61.586000000000006</v>
      </c>
      <c r="R123" s="400">
        <f>'Operating Metrics'!R78</f>
        <v>66.835999999999999</v>
      </c>
      <c r="S123" s="401">
        <f>'Operating Metrics'!S78</f>
        <v>63.700200000000002</v>
      </c>
      <c r="T123" s="401">
        <f>'Operating Metrics'!T78</f>
        <v>68.965799999999987</v>
      </c>
      <c r="U123" s="1231">
        <f>'Operating Metrics'!U78</f>
        <v>74.031999999999996</v>
      </c>
      <c r="V123" s="400">
        <f>'Operating Metrics'!V78</f>
        <v>54.903599999999997</v>
      </c>
      <c r="W123" s="401">
        <f>'Operating Metrics'!W78</f>
        <v>75.921300000000016</v>
      </c>
      <c r="X123" s="401">
        <f>'Operating Metrics'!X78</f>
        <v>60.63</v>
      </c>
      <c r="Y123" s="401">
        <f>'Operating Metrics'!Y78</f>
        <v>54.775500000000001</v>
      </c>
      <c r="Z123" s="400">
        <f>'Operating Metrics'!Z78</f>
        <v>61.003199999999993</v>
      </c>
      <c r="AA123" s="636">
        <f>'Operating Metrics (organic)'!AM76</f>
        <v>65.410000000000011</v>
      </c>
      <c r="AB123" s="636">
        <f>'Operating Metrics'!AB78-'P&amp;L revenue (cigniti)'!H105</f>
        <v>51.823700000000031</v>
      </c>
      <c r="AC123" s="1237">
        <f>'Operating Metrics'!AC78</f>
        <v>71.016000000000005</v>
      </c>
      <c r="AD123" s="400">
        <f>'Operating Metrics'!AD78</f>
        <v>118.1208</v>
      </c>
      <c r="AE123" s="401">
        <f>'Operating Metrics'!AE78</f>
        <v>79.019099999999966</v>
      </c>
      <c r="AF123" s="401">
        <f>'Operating Metrics'!AF78</f>
        <v>93.775499999999994</v>
      </c>
      <c r="AG123" s="1237">
        <f>'Operating Metrics'!AG78</f>
        <v>87.548900000000003</v>
      </c>
      <c r="AH123" s="403">
        <f>AG123*(1+AH124%)</f>
        <v>78.79401</v>
      </c>
      <c r="AI123" s="402">
        <f>AH123*(1+AI124%)</f>
        <v>84.309590700000001</v>
      </c>
      <c r="AJ123" s="402">
        <f t="shared" ref="AJ123:AK123" si="243">AI123*(1+AJ124%)</f>
        <v>88.525070235000001</v>
      </c>
      <c r="AK123" s="1232">
        <f t="shared" si="243"/>
        <v>95.607075853800012</v>
      </c>
      <c r="AL123" s="403">
        <f t="shared" ref="AL123" si="244">AK123*(1+AL124%)</f>
        <v>98.475288129414011</v>
      </c>
      <c r="AM123" s="402">
        <f t="shared" ref="AM123" si="245">AL123*(1+AM124%)</f>
        <v>102.41429965459058</v>
      </c>
      <c r="AN123" s="402">
        <f t="shared" ref="AN123" si="246">AM123*(1+AN124%)</f>
        <v>106.51087164077421</v>
      </c>
      <c r="AO123" s="1232">
        <f t="shared" ref="AO123" si="247">AN123*(1+AO124%)</f>
        <v>110.77130650640518</v>
      </c>
      <c r="AP123" s="403">
        <f t="shared" ref="AP123" si="248">AO123*(1+AP124%)</f>
        <v>115.2021587666614</v>
      </c>
      <c r="AQ123" s="402">
        <f t="shared" ref="AQ123" si="249">AP123*(1+AQ124%)</f>
        <v>119.81024511732785</v>
      </c>
      <c r="AR123" s="402">
        <f t="shared" ref="AR123" si="250">AQ123*(1+AR124%)</f>
        <v>126.99885982436753</v>
      </c>
      <c r="AS123" s="1232">
        <f t="shared" ref="AS123" si="251">AR123*(1+AS124%)</f>
        <v>133.34880281558591</v>
      </c>
      <c r="AT123" s="121"/>
      <c r="AU123" s="110"/>
      <c r="AV123" s="404"/>
      <c r="AW123" s="404"/>
      <c r="AX123" s="404"/>
      <c r="AY123" s="404"/>
      <c r="AZ123" s="404">
        <f>SUM(B123:E123)</f>
        <v>144.27389967478001</v>
      </c>
      <c r="BA123" s="404">
        <f>SUM(F123:I123)</f>
        <v>152.70860222987847</v>
      </c>
      <c r="BB123" s="404">
        <f>SUM(J123:M123)</f>
        <v>193.89490000000001</v>
      </c>
      <c r="BC123" s="404">
        <f>SUM(N123:Q123)</f>
        <v>235.98160000000001</v>
      </c>
      <c r="BD123" s="404">
        <f>SUM(R123:U123)</f>
        <v>273.53399999999999</v>
      </c>
      <c r="BE123" s="404">
        <f>SUM(V123:Y123)</f>
        <v>246.2304</v>
      </c>
      <c r="BF123" s="404">
        <f>SUM(Z123:AC123)</f>
        <v>249.25290000000007</v>
      </c>
      <c r="BG123" s="404">
        <f>SUM(AD123:AG123)</f>
        <v>378.46429999999998</v>
      </c>
      <c r="BH123" s="404">
        <f>SUM(AH123:AK123)</f>
        <v>347.23574678880004</v>
      </c>
      <c r="BI123" s="404">
        <f>SUM(AL123:AO123)</f>
        <v>418.17176593118393</v>
      </c>
      <c r="BJ123" s="404">
        <f>SUM(AP123:AS123)</f>
        <v>495.36006652394269</v>
      </c>
      <c r="BK123" s="1043">
        <v>900</v>
      </c>
      <c r="BL123" s="267">
        <f>(BF123/BC123)^(1/3)-1</f>
        <v>1.8405398556577968E-2</v>
      </c>
    </row>
    <row r="124" spans="1:64">
      <c r="A124" s="405" t="s">
        <v>363</v>
      </c>
      <c r="B124" s="406"/>
      <c r="C124" s="407"/>
      <c r="D124" s="407"/>
      <c r="E124" s="407"/>
      <c r="F124" s="408">
        <f>'Operating Metrics'!F88</f>
        <v>-3.0273515669550166</v>
      </c>
      <c r="G124" s="409">
        <f>'Operating Metrics'!G88</f>
        <v>-6.752881115889231</v>
      </c>
      <c r="H124" s="409">
        <f>'Operating Metrics'!H88</f>
        <v>7.197013202225766</v>
      </c>
      <c r="I124" s="1039">
        <f>'Operating Metrics'!I88</f>
        <v>10.537383149139012</v>
      </c>
      <c r="J124" s="409">
        <f>'Operating Metrics'!J88</f>
        <v>1.7548983509787508</v>
      </c>
      <c r="K124" s="409">
        <f>'Operating Metrics'!K88</f>
        <v>8.5366427147210544</v>
      </c>
      <c r="L124" s="409">
        <f>'Operating Metrics'!L88</f>
        <v>4.5056130606019984</v>
      </c>
      <c r="M124" s="1039">
        <f>'Operating Metrics'!M88</f>
        <v>18.086857379767828</v>
      </c>
      <c r="N124" s="408">
        <f>'Operating Metrics'!N88</f>
        <v>2.3651323354123566</v>
      </c>
      <c r="O124" s="409">
        <f>'Operating Metrics'!O88</f>
        <v>2.545599220748973</v>
      </c>
      <c r="P124" s="409">
        <f>'Operating Metrics'!P88</f>
        <v>-5.8705482567629197</v>
      </c>
      <c r="Q124" s="1039">
        <f>'Operating Metrics'!Q88</f>
        <v>9.415418289320332</v>
      </c>
      <c r="R124" s="408">
        <f>'Operating Metrics'!R88</f>
        <v>8.524664696521933</v>
      </c>
      <c r="S124" s="409">
        <f>'Operating Metrics'!S88</f>
        <v>-4.6917828715063674</v>
      </c>
      <c r="T124" s="409">
        <f>'Operating Metrics'!T88</f>
        <v>8.2662220840750589</v>
      </c>
      <c r="U124" s="1039">
        <f>'Operating Metrics'!U88</f>
        <v>7.3459598815645011</v>
      </c>
      <c r="V124" s="408">
        <f>'Operating Metrics'!V88</f>
        <v>-25.838015993084074</v>
      </c>
      <c r="W124" s="409">
        <f>'Operating Metrics'!W88</f>
        <v>38.281096321552724</v>
      </c>
      <c r="X124" s="409">
        <f>'Operating Metrics'!X88</f>
        <v>-20.140988102153166</v>
      </c>
      <c r="Y124" s="409">
        <f>'Operating Metrics'!Y88</f>
        <v>-9.6561108362196997</v>
      </c>
      <c r="Z124" s="408">
        <f>'Operating Metrics'!Z88</f>
        <v>11.369499137388051</v>
      </c>
      <c r="AA124" s="637">
        <f>'Operating Metrics (organic)'!AM85</f>
        <v>8.7556530992285442</v>
      </c>
      <c r="AB124" s="637">
        <f t="shared" ref="AB124:AG124" si="252">(AB123/AA123-1)*100</f>
        <v>-20.770983030117684</v>
      </c>
      <c r="AC124" s="1040">
        <f t="shared" si="252"/>
        <v>37.033828151984437</v>
      </c>
      <c r="AD124" s="408">
        <f t="shared" si="252"/>
        <v>66.329841162554914</v>
      </c>
      <c r="AE124" s="409">
        <f t="shared" si="252"/>
        <v>-33.103145254688449</v>
      </c>
      <c r="AF124" s="409">
        <f t="shared" si="252"/>
        <v>18.674472374400651</v>
      </c>
      <c r="AG124" s="1040">
        <f t="shared" si="252"/>
        <v>-6.6399006136997336</v>
      </c>
      <c r="AH124" s="411">
        <v>-10</v>
      </c>
      <c r="AI124" s="410">
        <v>7</v>
      </c>
      <c r="AJ124" s="410">
        <v>5</v>
      </c>
      <c r="AK124" s="1233">
        <v>8</v>
      </c>
      <c r="AL124" s="411">
        <v>3</v>
      </c>
      <c r="AM124" s="410">
        <v>4</v>
      </c>
      <c r="AN124" s="410">
        <v>4</v>
      </c>
      <c r="AO124" s="1233">
        <v>4</v>
      </c>
      <c r="AP124" s="411">
        <v>4</v>
      </c>
      <c r="AQ124" s="410">
        <v>4</v>
      </c>
      <c r="AR124" s="410">
        <v>6</v>
      </c>
      <c r="AS124" s="1233">
        <v>5</v>
      </c>
      <c r="AT124" s="407"/>
      <c r="AU124" s="110"/>
      <c r="AV124" s="129"/>
      <c r="AW124" s="129"/>
      <c r="AX124" s="129"/>
      <c r="AY124" s="57"/>
      <c r="AZ124" s="57"/>
      <c r="BA124" s="57">
        <f t="shared" ref="BA124:BJ124" si="253">BA123/AZ123-1</f>
        <v>5.8463121701928245E-2</v>
      </c>
      <c r="BB124" s="57">
        <f t="shared" si="253"/>
        <v>0.26970515850915944</v>
      </c>
      <c r="BC124" s="57">
        <f t="shared" si="253"/>
        <v>0.2170593450369247</v>
      </c>
      <c r="BD124" s="57">
        <f t="shared" si="253"/>
        <v>0.15913274594290394</v>
      </c>
      <c r="BE124" s="57">
        <f t="shared" si="253"/>
        <v>-9.9817938537805184E-2</v>
      </c>
      <c r="BF124" s="57">
        <f t="shared" si="253"/>
        <v>1.2275088697415448E-2</v>
      </c>
      <c r="BG124" s="57">
        <f t="shared" si="253"/>
        <v>0.51839477093345709</v>
      </c>
      <c r="BH124" s="57">
        <f t="shared" si="253"/>
        <v>-8.2513867784094641E-2</v>
      </c>
      <c r="BI124" s="57">
        <f t="shared" si="253"/>
        <v>0.20428777796754161</v>
      </c>
      <c r="BJ124" s="57">
        <f t="shared" si="253"/>
        <v>0.18458515586502133</v>
      </c>
    </row>
    <row r="125" spans="1:64">
      <c r="A125" s="405" t="s">
        <v>339</v>
      </c>
      <c r="B125" s="406"/>
      <c r="C125" s="407"/>
      <c r="D125" s="407"/>
      <c r="E125" s="407"/>
      <c r="F125" s="408">
        <f>'Operating Metrics'!F96*100</f>
        <v>13.951947915764329</v>
      </c>
      <c r="G125" s="409">
        <f>'Operating Metrics'!G96*100</f>
        <v>1.8288690470879221</v>
      </c>
      <c r="H125" s="409">
        <f>'Operating Metrics'!H96*100</f>
        <v>1.0208040569734456</v>
      </c>
      <c r="I125" s="1039">
        <f>'Operating Metrics'!I96*100</f>
        <v>7.1461431426686817</v>
      </c>
      <c r="J125" s="409">
        <f>'Operating Metrics'!J96*100</f>
        <v>12.430103543159699</v>
      </c>
      <c r="K125" s="409">
        <f>'Operating Metrics'!K96*100</f>
        <v>30.865018937570209</v>
      </c>
      <c r="L125" s="409">
        <f>'Operating Metrics'!L96*100</f>
        <v>27.579385131358315</v>
      </c>
      <c r="M125" s="1039">
        <f>'Operating Metrics'!M96*100</f>
        <v>36.292792785573802</v>
      </c>
      <c r="N125" s="408">
        <f>'Operating Metrics'!N96*100</f>
        <v>37.110153869305115</v>
      </c>
      <c r="O125" s="409">
        <f>'Operating Metrics'!O96*100</f>
        <v>29.541899731803611</v>
      </c>
      <c r="P125" s="409">
        <f>'Operating Metrics'!P96*100</f>
        <v>16.679933665008285</v>
      </c>
      <c r="Q125" s="1039">
        <f>'Operating Metrics'!Q96*100</f>
        <v>8.1118088092533966</v>
      </c>
      <c r="R125" s="408">
        <f>'Operating Metrics'!R96*100</f>
        <v>14.617131176216391</v>
      </c>
      <c r="S125" s="409">
        <f>'Operating Metrics'!S96*100</f>
        <v>6.527774061488234</v>
      </c>
      <c r="T125" s="409">
        <f>'Operating Metrics'!T96*100</f>
        <v>22.526578356405793</v>
      </c>
      <c r="U125" s="1039">
        <f>'Operating Metrics'!U96*100</f>
        <v>20.209138440554653</v>
      </c>
      <c r="V125" s="408">
        <f>'Operating Metrics'!V96*100</f>
        <v>-17.853252738045366</v>
      </c>
      <c r="W125" s="409">
        <f>'Operating Metrics'!W96*100</f>
        <v>19.185340077425206</v>
      </c>
      <c r="X125" s="409">
        <f>'Operating Metrics'!X96*100</f>
        <v>-12.08686044387216</v>
      </c>
      <c r="Y125" s="409">
        <f>'Operating Metrics'!Y96*100</f>
        <v>-26.01104927598875</v>
      </c>
      <c r="Z125" s="408">
        <f>'Operating Metrics'!Z96*100</f>
        <v>11.109654011758785</v>
      </c>
      <c r="AA125" s="637">
        <f>'Operating Metrics (organic)'!AM92*100</f>
        <v>-13.844994751143624</v>
      </c>
      <c r="AB125" s="637">
        <f t="shared" ref="AB125:AG125" si="254">(AB123/X123-1)*100</f>
        <v>-14.524657760184677</v>
      </c>
      <c r="AC125" s="1040">
        <f t="shared" si="254"/>
        <v>29.649204480105173</v>
      </c>
      <c r="AD125" s="408">
        <f t="shared" si="254"/>
        <v>93.630498072232314</v>
      </c>
      <c r="AE125" s="409">
        <f t="shared" si="254"/>
        <v>20.805840085613745</v>
      </c>
      <c r="AF125" s="409">
        <f t="shared" si="254"/>
        <v>80.950993464380076</v>
      </c>
      <c r="AG125" s="1040">
        <f t="shared" si="254"/>
        <v>23.28052833164358</v>
      </c>
      <c r="AH125" s="414">
        <f t="shared" ref="AH125:AK125" si="255">(AH123/AD123-1)*100</f>
        <v>-33.293704411077471</v>
      </c>
      <c r="AI125" s="413">
        <f t="shared" si="255"/>
        <v>6.6952049567763128</v>
      </c>
      <c r="AJ125" s="413">
        <f t="shared" si="255"/>
        <v>-5.5989355055424905</v>
      </c>
      <c r="AK125" s="1041">
        <f t="shared" si="255"/>
        <v>9.2042000000000179</v>
      </c>
      <c r="AL125" s="414">
        <f t="shared" ref="AL125" si="256">(AL123/AH123-1)*100</f>
        <v>24.978140000000003</v>
      </c>
      <c r="AM125" s="413">
        <f t="shared" ref="AM125" si="257">(AM123/AI123-1)*100</f>
        <v>21.474080000000018</v>
      </c>
      <c r="AN125" s="413">
        <f t="shared" ref="AN125" si="258">(AN123/AJ123-1)*100</f>
        <v>20.317184000000022</v>
      </c>
      <c r="AO125" s="1041">
        <f t="shared" ref="AO125" si="259">(AO123/AK123-1)*100</f>
        <v>15.860992000000017</v>
      </c>
      <c r="AP125" s="414">
        <f t="shared" ref="AP125" si="260">(AP123/AL123-1)*100</f>
        <v>16.98585600000002</v>
      </c>
      <c r="AQ125" s="413">
        <f t="shared" ref="AQ125" si="261">(AQ123/AM123-1)*100</f>
        <v>16.98585600000002</v>
      </c>
      <c r="AR125" s="413">
        <f t="shared" ref="AR125" si="262">(AR123/AN123-1)*100</f>
        <v>19.235584000000006</v>
      </c>
      <c r="AS125" s="1041">
        <f t="shared" ref="AS125" si="263">(AS123/AO123-1)*100</f>
        <v>20.382080000000013</v>
      </c>
      <c r="AT125" s="407"/>
      <c r="AU125" s="110"/>
      <c r="AV125" s="412"/>
      <c r="AW125" s="412"/>
      <c r="AX125" s="412"/>
      <c r="AY125" s="412"/>
      <c r="AZ125" s="412"/>
      <c r="BA125" s="412"/>
      <c r="BB125" s="412"/>
      <c r="BC125" s="412"/>
      <c r="BD125" s="412"/>
      <c r="BE125" s="415"/>
      <c r="BF125" s="415"/>
      <c r="BG125" s="415"/>
      <c r="BH125" s="415"/>
      <c r="BI125" s="415"/>
      <c r="BJ125" s="415">
        <f>((BJ123/BG123)^(1/3))-1</f>
        <v>9.3869108728790396E-2</v>
      </c>
    </row>
    <row r="126" spans="1:64">
      <c r="A126" s="405" t="s">
        <v>364</v>
      </c>
      <c r="B126" s="406"/>
      <c r="C126" s="407"/>
      <c r="D126" s="407"/>
      <c r="E126" s="407"/>
      <c r="F126" s="408">
        <f>'Operating Metrics'!F34</f>
        <v>27</v>
      </c>
      <c r="G126" s="409">
        <f>'Operating Metrics'!G34</f>
        <v>24</v>
      </c>
      <c r="H126" s="409">
        <f>'Operating Metrics'!H34</f>
        <v>25</v>
      </c>
      <c r="I126" s="1039">
        <f>'Operating Metrics'!I34</f>
        <v>27</v>
      </c>
      <c r="J126" s="409">
        <f>'Operating Metrics'!J34</f>
        <v>30.4</v>
      </c>
      <c r="K126" s="409">
        <f>'Operating Metrics'!K34</f>
        <v>29.8</v>
      </c>
      <c r="L126" s="409">
        <f>'Operating Metrics'!L34</f>
        <v>30</v>
      </c>
      <c r="M126" s="1039">
        <f>'Operating Metrics'!M34</f>
        <v>33.1</v>
      </c>
      <c r="N126" s="408">
        <f>'Operating Metrics'!N34</f>
        <v>29.2</v>
      </c>
      <c r="O126" s="409">
        <f>'Operating Metrics'!O34</f>
        <v>28.1</v>
      </c>
      <c r="P126" s="409">
        <f>'Operating Metrics'!P34</f>
        <v>25.4</v>
      </c>
      <c r="Q126" s="1039">
        <f>'Operating Metrics'!Q34</f>
        <v>26.5</v>
      </c>
      <c r="R126" s="408">
        <f>'Operating Metrics'!R34</f>
        <v>28</v>
      </c>
      <c r="S126" s="409">
        <f>'Operating Metrics'!S34</f>
        <v>25.8</v>
      </c>
      <c r="T126" s="409">
        <f>'Operating Metrics'!T34</f>
        <v>27.4</v>
      </c>
      <c r="U126" s="1039">
        <f>'Operating Metrics'!U34</f>
        <v>28</v>
      </c>
      <c r="V126" s="408">
        <f>'Operating Metrics'!V34</f>
        <v>20.2</v>
      </c>
      <c r="W126" s="409">
        <f>'Operating Metrics'!W34</f>
        <v>27.3</v>
      </c>
      <c r="X126" s="409">
        <f>'Operating Metrics'!X34</f>
        <v>21.5</v>
      </c>
      <c r="Y126" s="409">
        <f>'Operating Metrics'!Y34</f>
        <v>19.5</v>
      </c>
      <c r="Z126" s="408">
        <f>'Operating Metrics'!Z34</f>
        <v>21.3</v>
      </c>
      <c r="AA126" s="637">
        <f>'Operating Metrics (organic)'!AM33</f>
        <v>21.1</v>
      </c>
      <c r="AB126" s="637">
        <f t="shared" ref="AB126:AG126" si="264">AB123/AB$129*100</f>
        <v>15.72611565668536</v>
      </c>
      <c r="AC126" s="1040">
        <f t="shared" si="264"/>
        <v>17.600000000000001</v>
      </c>
      <c r="AD126" s="408">
        <f t="shared" si="264"/>
        <v>26.700000000000003</v>
      </c>
      <c r="AE126" s="409">
        <f t="shared" si="264"/>
        <v>17.099999999999994</v>
      </c>
      <c r="AF126" s="409">
        <f t="shared" si="264"/>
        <v>19.5</v>
      </c>
      <c r="AG126" s="1040">
        <f t="shared" si="264"/>
        <v>17.897529343228001</v>
      </c>
      <c r="AH126" s="414">
        <f>AH123/AH$133*100</f>
        <v>13.404936053255595</v>
      </c>
      <c r="AI126" s="413">
        <f>AI123/AI$133*100</f>
        <v>12.751783240268788</v>
      </c>
      <c r="AJ126" s="413">
        <f>AJ123/AJ$133*100</f>
        <v>12.884118290034904</v>
      </c>
      <c r="AK126" s="1041">
        <f>AK123/AK$133*100</f>
        <v>13.364181890813065</v>
      </c>
      <c r="AL126" s="414">
        <f t="shared" ref="AL126:AO126" si="265">AL123/AL$133*100</f>
        <v>13.098410035761013</v>
      </c>
      <c r="AM126" s="413">
        <f t="shared" si="265"/>
        <v>13.234431760736342</v>
      </c>
      <c r="AN126" s="413">
        <f t="shared" si="265"/>
        <v>13.362011045100408</v>
      </c>
      <c r="AO126" s="1041">
        <f t="shared" si="265"/>
        <v>13.523460008830082</v>
      </c>
      <c r="AP126" s="414">
        <f t="shared" ref="AP126:AS126" si="266">AP123/AP$133*100</f>
        <v>13.254965839906257</v>
      </c>
      <c r="AQ126" s="413">
        <f t="shared" si="266"/>
        <v>13.384164227217374</v>
      </c>
      <c r="AR126" s="413">
        <f t="shared" si="266"/>
        <v>13.683544704401939</v>
      </c>
      <c r="AS126" s="1041">
        <f t="shared" si="266"/>
        <v>13.900532651803454</v>
      </c>
      <c r="AT126" s="407"/>
      <c r="AU126" s="110"/>
      <c r="AV126" s="412"/>
      <c r="AW126" s="412"/>
      <c r="AX126" s="412"/>
      <c r="AY126" s="412"/>
      <c r="AZ126" s="412"/>
      <c r="BA126" s="412"/>
      <c r="BB126" s="412"/>
      <c r="BC126" s="412"/>
      <c r="BD126" s="412"/>
      <c r="BE126" s="415"/>
      <c r="BF126" s="415"/>
      <c r="BG126" s="415"/>
      <c r="BH126" s="415"/>
      <c r="BI126" s="415"/>
      <c r="BJ126" s="415"/>
    </row>
    <row r="127" spans="1:64">
      <c r="A127" s="405"/>
      <c r="B127" s="406"/>
      <c r="C127" s="407"/>
      <c r="D127" s="407"/>
      <c r="E127" s="407"/>
      <c r="F127" s="408"/>
      <c r="G127" s="409"/>
      <c r="H127" s="409"/>
      <c r="I127" s="1039"/>
      <c r="J127" s="409"/>
      <c r="K127" s="409"/>
      <c r="L127" s="409"/>
      <c r="M127" s="1039"/>
      <c r="N127" s="408"/>
      <c r="O127" s="409"/>
      <c r="P127" s="409"/>
      <c r="Q127" s="1039"/>
      <c r="R127" s="408"/>
      <c r="S127" s="409"/>
      <c r="T127" s="409"/>
      <c r="U127" s="1039"/>
      <c r="V127" s="408"/>
      <c r="W127" s="409"/>
      <c r="X127" s="409"/>
      <c r="Y127" s="409"/>
      <c r="Z127" s="408"/>
      <c r="AA127" s="637"/>
      <c r="AB127" s="637"/>
      <c r="AC127" s="1040"/>
      <c r="AD127" s="408"/>
      <c r="AE127" s="409"/>
      <c r="AF127" s="409"/>
      <c r="AG127" s="1040"/>
      <c r="AH127" s="414"/>
      <c r="AI127" s="413"/>
      <c r="AJ127" s="413"/>
      <c r="AK127" s="1041"/>
      <c r="AL127" s="414"/>
      <c r="AM127" s="413"/>
      <c r="AN127" s="413"/>
      <c r="AO127" s="1041"/>
      <c r="AP127" s="414"/>
      <c r="AQ127" s="413"/>
      <c r="AR127" s="413"/>
      <c r="AS127" s="1041"/>
      <c r="AT127" s="407"/>
      <c r="AU127" s="110"/>
      <c r="AV127" s="412"/>
      <c r="AW127" s="412"/>
      <c r="AX127" s="412"/>
      <c r="AY127" s="412"/>
      <c r="AZ127" s="412"/>
      <c r="BA127" s="412"/>
      <c r="BB127" s="412"/>
      <c r="BC127" s="412"/>
      <c r="BD127" s="412"/>
      <c r="BE127" s="415"/>
      <c r="BF127" s="415"/>
      <c r="BG127" s="415"/>
      <c r="BH127" s="415"/>
      <c r="BI127" s="415"/>
      <c r="BJ127" s="415"/>
    </row>
    <row r="128" spans="1:64" ht="15" hidden="1" thickBot="1">
      <c r="A128" s="397" t="s">
        <v>366</v>
      </c>
      <c r="B128" s="383"/>
      <c r="C128" s="110"/>
      <c r="D128" s="110"/>
      <c r="E128" s="1171"/>
      <c r="F128" s="383"/>
      <c r="G128" s="110"/>
      <c r="H128" s="110"/>
      <c r="I128" s="1171"/>
      <c r="J128" s="110"/>
      <c r="K128" s="110"/>
      <c r="L128" s="110"/>
      <c r="M128" s="1171"/>
      <c r="N128" s="383"/>
      <c r="O128" s="110"/>
      <c r="P128" s="110"/>
      <c r="Q128" s="1171"/>
      <c r="R128" s="383"/>
      <c r="S128" s="110"/>
      <c r="T128" s="110"/>
      <c r="U128" s="1171"/>
      <c r="V128" s="383"/>
      <c r="W128" s="110"/>
      <c r="X128" s="110"/>
      <c r="Y128" s="110"/>
      <c r="Z128" s="383"/>
      <c r="AA128" s="640"/>
      <c r="AB128" s="640"/>
      <c r="AC128" s="1171"/>
      <c r="AD128" s="383"/>
      <c r="AE128" s="110"/>
      <c r="AF128" s="110"/>
      <c r="AG128" s="1171"/>
      <c r="AH128" s="383"/>
      <c r="AI128" s="110"/>
      <c r="AJ128" s="110"/>
      <c r="AK128" s="1171"/>
      <c r="AL128" s="383"/>
      <c r="AM128" s="110"/>
      <c r="AN128" s="110"/>
      <c r="AO128" s="1171"/>
      <c r="AP128" s="383"/>
      <c r="AQ128" s="110"/>
      <c r="AR128" s="110"/>
      <c r="AS128" s="1171"/>
      <c r="AT128" s="110"/>
      <c r="AU128" s="110"/>
      <c r="AV128" s="110"/>
      <c r="AW128" s="110"/>
      <c r="AX128" s="110"/>
      <c r="AY128" s="110"/>
      <c r="AZ128" s="110"/>
      <c r="BA128" s="110"/>
      <c r="BB128" s="110"/>
      <c r="BC128" s="110"/>
      <c r="BD128" s="110"/>
      <c r="BE128" s="110"/>
      <c r="BF128" s="110"/>
      <c r="BG128" s="649"/>
      <c r="BH128" s="110"/>
      <c r="BI128" s="404">
        <v>500</v>
      </c>
      <c r="BJ128" s="404">
        <v>586</v>
      </c>
      <c r="BK128" s="404">
        <v>700</v>
      </c>
    </row>
    <row r="129" spans="1:64" ht="15" thickBot="1">
      <c r="A129" s="416" t="s">
        <v>279</v>
      </c>
      <c r="B129" s="417"/>
      <c r="C129" s="416"/>
      <c r="D129" s="416"/>
      <c r="E129" s="418"/>
      <c r="F129" s="419">
        <f>F111+F106+F100+F94</f>
        <v>28</v>
      </c>
      <c r="G129" s="420">
        <f>G111+G106+G100+G94</f>
        <v>28</v>
      </c>
      <c r="H129" s="420">
        <f>H111+H106+H100+H94</f>
        <v>29</v>
      </c>
      <c r="I129" s="989">
        <f t="shared" ref="I129:AE129" si="267">I123+I118+I113+I108+I102+I96</f>
        <v>154.80044655316777</v>
      </c>
      <c r="J129" s="990">
        <f t="shared" si="267"/>
        <v>139.9</v>
      </c>
      <c r="K129" s="990">
        <f t="shared" si="267"/>
        <v>154.90000000000003</v>
      </c>
      <c r="L129" s="990">
        <f t="shared" si="267"/>
        <v>160.80000000000001</v>
      </c>
      <c r="M129" s="989">
        <f t="shared" si="267"/>
        <v>172.1</v>
      </c>
      <c r="N129" s="991">
        <f t="shared" si="267"/>
        <v>199.69999999999996</v>
      </c>
      <c r="O129" s="990">
        <f t="shared" si="267"/>
        <v>212.80000000000004</v>
      </c>
      <c r="P129" s="990">
        <f t="shared" si="267"/>
        <v>221.3784</v>
      </c>
      <c r="Q129" s="989">
        <f t="shared" si="267"/>
        <v>232.4</v>
      </c>
      <c r="R129" s="991">
        <f t="shared" si="267"/>
        <v>238.7</v>
      </c>
      <c r="S129" s="990">
        <f t="shared" si="267"/>
        <v>246.9</v>
      </c>
      <c r="T129" s="990">
        <f t="shared" si="267"/>
        <v>251.44829999999996</v>
      </c>
      <c r="U129" s="989">
        <f t="shared" si="267"/>
        <v>264.39999999999998</v>
      </c>
      <c r="V129" s="991">
        <f t="shared" si="267"/>
        <v>271.8</v>
      </c>
      <c r="W129" s="990">
        <f t="shared" si="267"/>
        <v>299.23560000000003</v>
      </c>
      <c r="X129" s="990">
        <f t="shared" si="267"/>
        <v>282.28200000000004</v>
      </c>
      <c r="Y129" s="990">
        <f t="shared" si="267"/>
        <v>280.89999999999998</v>
      </c>
      <c r="Z129" s="991">
        <f t="shared" si="267"/>
        <v>286.39999999999998</v>
      </c>
      <c r="AA129" s="992">
        <f t="shared" si="267"/>
        <v>310</v>
      </c>
      <c r="AB129" s="992">
        <f t="shared" si="267"/>
        <v>329.53910000000002</v>
      </c>
      <c r="AC129" s="991">
        <f t="shared" si="267"/>
        <v>403.5</v>
      </c>
      <c r="AD129" s="991">
        <f t="shared" si="267"/>
        <v>442.4</v>
      </c>
      <c r="AE129" s="990">
        <f t="shared" si="267"/>
        <v>462.1</v>
      </c>
      <c r="AF129" s="990">
        <f>AF123+AF118+AF113+AF108+AF102+AF96</f>
        <v>480.9</v>
      </c>
      <c r="AG129" s="991">
        <f>AG123+AG118+AG113+AG108+AG102+AG96</f>
        <v>489.16751760000005</v>
      </c>
      <c r="AH129" s="424">
        <f>AH123+AH118+AH113+AH108+AH102+AH96</f>
        <v>487.79847726959997</v>
      </c>
      <c r="AI129" s="422">
        <f t="shared" ref="AI129:AO129" si="268">AI123+AI118+AI113+AI108+AI102+AI96</f>
        <v>511.15922072576643</v>
      </c>
      <c r="AJ129" s="422">
        <f t="shared" si="268"/>
        <v>537.08675473329708</v>
      </c>
      <c r="AK129" s="423">
        <f t="shared" si="268"/>
        <v>565.39789442347501</v>
      </c>
      <c r="AL129" s="424">
        <f t="shared" si="268"/>
        <v>583.81100500410946</v>
      </c>
      <c r="AM129" s="422">
        <f t="shared" si="268"/>
        <v>605.8473514097625</v>
      </c>
      <c r="AN129" s="422">
        <f t="shared" si="268"/>
        <v>629.11707527610292</v>
      </c>
      <c r="AO129" s="423">
        <f t="shared" si="268"/>
        <v>651.10477373451442</v>
      </c>
      <c r="AP129" s="424">
        <f t="shared" ref="AP129:AS129" si="269">AP123+AP118+AP113+AP108+AP102+AP96</f>
        <v>680.9645240317883</v>
      </c>
      <c r="AQ129" s="422">
        <f t="shared" si="269"/>
        <v>707.00418868865677</v>
      </c>
      <c r="AR129" s="422">
        <f t="shared" si="269"/>
        <v>739.95374952801876</v>
      </c>
      <c r="AS129" s="423">
        <f t="shared" si="269"/>
        <v>771.14714423583791</v>
      </c>
      <c r="AT129" s="110"/>
      <c r="AU129" s="110"/>
      <c r="AV129" s="425"/>
      <c r="AW129" s="425"/>
      <c r="AX129" s="425"/>
      <c r="AY129" s="425"/>
      <c r="AZ129" s="425">
        <f>SUM(B129:E129)</f>
        <v>0</v>
      </c>
      <c r="BA129" s="425">
        <f>SUM(F129:I129)</f>
        <v>239.80044655316777</v>
      </c>
      <c r="BB129" s="425">
        <f>SUM(J129:M129)</f>
        <v>627.70000000000005</v>
      </c>
      <c r="BC129" s="425">
        <f>SUM(N129:Q129)</f>
        <v>866.27840000000003</v>
      </c>
      <c r="BD129" s="425">
        <f>SUM(R129:U129)</f>
        <v>1001.4482999999999</v>
      </c>
      <c r="BE129" s="425">
        <f>SUM(V129:Y129)</f>
        <v>1134.2175999999999</v>
      </c>
      <c r="BF129" s="425">
        <f>SUM(Z129:AC129)</f>
        <v>1329.4391000000001</v>
      </c>
      <c r="BG129" s="425">
        <f>SUM(AD129:AG129)</f>
        <v>1874.5675176000002</v>
      </c>
      <c r="BH129" s="425">
        <f>SUM(AH129:AK129)</f>
        <v>2101.4423471521386</v>
      </c>
      <c r="BI129" s="425">
        <f>SUM(AL129:AO129)</f>
        <v>2469.8802054244893</v>
      </c>
      <c r="BJ129" s="425">
        <f>SUM(AP129:AS129)</f>
        <v>2899.0696064843019</v>
      </c>
      <c r="BL129" s="309">
        <f>(BH129/BF129)^(1/2)-1</f>
        <v>0.25725831349758699</v>
      </c>
    </row>
    <row r="130" spans="1:64">
      <c r="A130" s="405" t="s">
        <v>363</v>
      </c>
      <c r="B130" s="383"/>
      <c r="C130" s="110"/>
      <c r="D130" s="110"/>
      <c r="E130" s="1171"/>
      <c r="F130" s="171"/>
      <c r="G130" s="171"/>
      <c r="H130" s="171"/>
      <c r="I130" s="426"/>
      <c r="J130" s="171">
        <f t="shared" ref="J130" si="270">J129/I129-1</f>
        <v>-9.625583701433349E-2</v>
      </c>
      <c r="K130" s="171">
        <f t="shared" ref="K130" si="271">K129/J129-1</f>
        <v>0.10721944245889947</v>
      </c>
      <c r="L130" s="171">
        <f t="shared" ref="L130" si="272">L129/K129-1</f>
        <v>3.8089089735312998E-2</v>
      </c>
      <c r="M130" s="426">
        <f t="shared" ref="M130" si="273">M129/L129-1</f>
        <v>7.0273631840795936E-2</v>
      </c>
      <c r="N130" s="171">
        <f t="shared" ref="N130" si="274">N129/M129-1</f>
        <v>0.16037187681580467</v>
      </c>
      <c r="O130" s="171">
        <f t="shared" ref="O130" si="275">O129/N129-1</f>
        <v>6.5598397596394964E-2</v>
      </c>
      <c r="P130" s="171">
        <f t="shared" ref="P130" si="276">P129/O129-1</f>
        <v>4.0312030075187799E-2</v>
      </c>
      <c r="Q130" s="426">
        <f t="shared" ref="Q130" si="277">Q129/P129-1</f>
        <v>4.9786248342205131E-2</v>
      </c>
      <c r="R130" s="171">
        <f t="shared" ref="R130" si="278">R129/Q129-1</f>
        <v>2.7108433734939652E-2</v>
      </c>
      <c r="S130" s="171">
        <f t="shared" ref="S130" si="279">S129/R129-1</f>
        <v>3.4352744030163418E-2</v>
      </c>
      <c r="T130" s="171">
        <f t="shared" ref="T130" si="280">T129/S129-1</f>
        <v>1.8421628189550177E-2</v>
      </c>
      <c r="U130" s="426">
        <f t="shared" ref="U130" si="281">U129/T129-1</f>
        <v>5.1508401528266523E-2</v>
      </c>
      <c r="V130" s="171">
        <f t="shared" ref="V130" si="282">V129/U129-1</f>
        <v>2.7987897125567374E-2</v>
      </c>
      <c r="W130" s="171">
        <f t="shared" ref="W130" si="283">W129/V129-1</f>
        <v>0.10094039735099347</v>
      </c>
      <c r="X130" s="171">
        <f t="shared" ref="X130" si="284">X129/W129-1</f>
        <v>-5.6656360406315276E-2</v>
      </c>
      <c r="Y130" s="171">
        <f t="shared" ref="Y130" si="285">Y129/X129-1</f>
        <v>-4.8958134064519543E-3</v>
      </c>
      <c r="Z130" s="171">
        <f t="shared" ref="Z130:AB130" si="286">Z129/Y129-1</f>
        <v>1.9579921680313195E-2</v>
      </c>
      <c r="AA130" s="642">
        <f t="shared" si="286"/>
        <v>8.2402234636871574E-2</v>
      </c>
      <c r="AB130" s="642">
        <f t="shared" si="286"/>
        <v>6.302935483870975E-2</v>
      </c>
      <c r="AC130" s="171">
        <f t="shared" ref="AC130" si="287">AC129/AB129-1</f>
        <v>0.22443740363434861</v>
      </c>
      <c r="AD130" s="919">
        <f t="shared" ref="AD130:AG130" si="288">AD129/AC129-1</f>
        <v>9.6406443618339388E-2</v>
      </c>
      <c r="AE130" s="171">
        <f t="shared" si="288"/>
        <v>4.4529837251356286E-2</v>
      </c>
      <c r="AF130" s="171">
        <f t="shared" si="288"/>
        <v>4.0683834667820662E-2</v>
      </c>
      <c r="AG130" s="171">
        <f t="shared" si="288"/>
        <v>1.7191760449158044E-2</v>
      </c>
      <c r="AH130" s="379">
        <f t="shared" ref="AH130" si="289">AH129/AG129-1</f>
        <v>-2.7987147166209647E-3</v>
      </c>
      <c r="AI130" s="171">
        <f t="shared" ref="AI130" si="290">AI129/AH129-1</f>
        <v>4.7890152480437598E-2</v>
      </c>
      <c r="AJ130" s="171">
        <f t="shared" ref="AJ130" si="291">AJ129/AI129-1</f>
        <v>5.0723009497349203E-2</v>
      </c>
      <c r="AK130" s="426">
        <f t="shared" ref="AK130" si="292">AK129/AJ129-1</f>
        <v>5.2712414597221757E-2</v>
      </c>
      <c r="AL130" s="379">
        <f t="shared" ref="AL130" si="293">AL129/AK129-1</f>
        <v>3.2566641585055622E-2</v>
      </c>
      <c r="AM130" s="171">
        <f t="shared" ref="AM130" si="294">AM129/AL129-1</f>
        <v>3.7745685190531786E-2</v>
      </c>
      <c r="AN130" s="171">
        <f t="shared" ref="AN130" si="295">AN129/AM129-1</f>
        <v>3.8408559205868498E-2</v>
      </c>
      <c r="AO130" s="426">
        <f t="shared" ref="AO130" si="296">AO129/AN129-1</f>
        <v>3.4950090090563268E-2</v>
      </c>
      <c r="AP130" s="379">
        <f t="shared" ref="AP130" si="297">AP129/AO129-1</f>
        <v>4.5860131121460812E-2</v>
      </c>
      <c r="AQ130" s="171">
        <f t="shared" ref="AQ130" si="298">AQ129/AP129-1</f>
        <v>3.823938507500424E-2</v>
      </c>
      <c r="AR130" s="171">
        <f t="shared" ref="AR130" si="299">AR129/AQ129-1</f>
        <v>4.6604477549809786E-2</v>
      </c>
      <c r="AS130" s="426">
        <f t="shared" ref="AS130" si="300">AS129/AR129-1</f>
        <v>4.2155870860463907E-2</v>
      </c>
      <c r="AT130" s="110"/>
      <c r="AU130" s="110"/>
      <c r="AV130" s="129"/>
      <c r="AW130" s="129"/>
      <c r="AX130" s="129"/>
      <c r="AY130" s="57"/>
      <c r="AZ130" s="57"/>
      <c r="BA130" s="57" t="e">
        <f t="shared" ref="BA130" si="301">BA129/AZ129-1</f>
        <v>#DIV/0!</v>
      </c>
      <c r="BB130" s="57">
        <f t="shared" ref="BB130" si="302">BB129/BA129-1</f>
        <v>1.6175931238761412</v>
      </c>
      <c r="BC130" s="57">
        <f t="shared" ref="BC130" si="303">BC129/BB129-1</f>
        <v>0.38008347936912523</v>
      </c>
      <c r="BD130" s="57">
        <f t="shared" ref="BD130" si="304">BD129/BC129-1</f>
        <v>0.15603517298826786</v>
      </c>
      <c r="BE130" s="57">
        <f t="shared" ref="BE130" si="305">BE129/BD129-1</f>
        <v>0.13257728831333582</v>
      </c>
      <c r="BF130" s="57">
        <f t="shared" ref="BF130" si="306">BF129/BE129-1</f>
        <v>0.17211997062997453</v>
      </c>
      <c r="BG130" s="57">
        <f t="shared" ref="BG130" si="307">BG129/BF129-1</f>
        <v>0.41004391822084973</v>
      </c>
      <c r="BH130" s="57">
        <f t="shared" ref="BH130:BJ130" si="308">BH129/BG129-1</f>
        <v>0.1210278250434027</v>
      </c>
      <c r="BI130" s="57">
        <f t="shared" si="308"/>
        <v>0.17532617955075258</v>
      </c>
      <c r="BJ130" s="57">
        <f t="shared" si="308"/>
        <v>0.17376931889943603</v>
      </c>
    </row>
    <row r="131" spans="1:64">
      <c r="A131" s="405" t="s">
        <v>339</v>
      </c>
      <c r="B131" s="383"/>
      <c r="C131" s="110"/>
      <c r="D131" s="110"/>
      <c r="E131" s="1171"/>
      <c r="F131" s="171"/>
      <c r="G131" s="171"/>
      <c r="H131" s="171"/>
      <c r="I131" s="1223"/>
      <c r="J131" s="171">
        <f t="shared" ref="J131" si="309">J129/F129-1</f>
        <v>3.9964285714285719</v>
      </c>
      <c r="K131" s="171">
        <f t="shared" ref="K131" si="310">K129/G129-1</f>
        <v>4.5321428571428584</v>
      </c>
      <c r="L131" s="171">
        <f t="shared" ref="L131" si="311">L129/H129-1</f>
        <v>4.544827586206897</v>
      </c>
      <c r="M131" s="1223">
        <f t="shared" ref="M131" si="312">M129/I129-1</f>
        <v>0.11175389885513365</v>
      </c>
      <c r="N131" s="171">
        <f t="shared" ref="N131" si="313">N129/J129-1</f>
        <v>0.42744817726947781</v>
      </c>
      <c r="O131" s="171">
        <f t="shared" ref="O131" si="314">O129/K129-1</f>
        <v>0.37378954163976763</v>
      </c>
      <c r="P131" s="171">
        <f t="shared" ref="P131" si="315">P129/L129-1</f>
        <v>0.37673134328358193</v>
      </c>
      <c r="Q131" s="1223">
        <f t="shared" ref="Q131" si="316">Q129/M129-1</f>
        <v>0.3503776873910518</v>
      </c>
      <c r="R131" s="171">
        <f t="shared" ref="R131" si="317">R129/N129-1</f>
        <v>0.19529293940911385</v>
      </c>
      <c r="S131" s="171">
        <f>S129/O129-1</f>
        <v>0.16024436090225547</v>
      </c>
      <c r="T131" s="171">
        <f>T129/P129-1</f>
        <v>0.13583032490974722</v>
      </c>
      <c r="U131" s="1223">
        <f>U129/Q129-1</f>
        <v>0.13769363166953519</v>
      </c>
      <c r="V131" s="171">
        <f t="shared" ref="V131" si="318">V129/R129-1</f>
        <v>0.13866778382907419</v>
      </c>
      <c r="W131" s="171">
        <f t="shared" ref="W131" si="319">W129/S129-1</f>
        <v>0.21197083839611186</v>
      </c>
      <c r="X131" s="171">
        <f t="shared" ref="X131" si="320">X129/T129-1</f>
        <v>0.12262441225492515</v>
      </c>
      <c r="Y131" s="171">
        <f t="shared" ref="Y131" si="321">Y129/U129-1</f>
        <v>6.2405446293494649E-2</v>
      </c>
      <c r="Z131" s="171">
        <f t="shared" ref="Z131:AB131" si="322">Z129/V129-1</f>
        <v>5.371596762325237E-2</v>
      </c>
      <c r="AA131" s="642">
        <f t="shared" si="322"/>
        <v>3.5972992518269686E-2</v>
      </c>
      <c r="AB131" s="642">
        <f t="shared" si="322"/>
        <v>0.16741095783648974</v>
      </c>
      <c r="AC131" s="171">
        <f t="shared" ref="AC131" si="323">AC129/Y129-1</f>
        <v>0.43645425418298345</v>
      </c>
      <c r="AD131" s="379">
        <f t="shared" ref="AD131:AG131" si="324">AD129/Z129-1</f>
        <v>0.54469273743016755</v>
      </c>
      <c r="AE131" s="171">
        <f t="shared" si="324"/>
        <v>0.49064516129032265</v>
      </c>
      <c r="AF131" s="171">
        <f t="shared" si="324"/>
        <v>0.4593108981604912</v>
      </c>
      <c r="AG131" s="171">
        <f t="shared" si="324"/>
        <v>0.21231107211895917</v>
      </c>
      <c r="AH131" s="379">
        <f t="shared" ref="AH131" si="325">AH129/AD129-1</f>
        <v>0.102618619506329</v>
      </c>
      <c r="AI131" s="171">
        <f t="shared" ref="AI131" si="326">AI129/AE129-1</f>
        <v>0.10616580983719204</v>
      </c>
      <c r="AJ131" s="171">
        <f t="shared" ref="AJ131" si="327">AJ129/AF129-1</f>
        <v>0.11683667027094424</v>
      </c>
      <c r="AK131" s="1223">
        <f t="shared" ref="AK131" si="328">AK129/AG129-1</f>
        <v>0.15583695580909307</v>
      </c>
      <c r="AL131" s="379">
        <f t="shared" ref="AL131" si="329">AL129/AH129-1</f>
        <v>0.19682826455697322</v>
      </c>
      <c r="AM131" s="171">
        <f t="shared" ref="AM131" si="330">AM129/AI129-1</f>
        <v>0.18524194975795139</v>
      </c>
      <c r="AN131" s="171">
        <f t="shared" ref="AN131" si="331">AN129/AJ129-1</f>
        <v>0.17135094047982191</v>
      </c>
      <c r="AO131" s="1223">
        <f t="shared" ref="AO131" si="332">AO129/AK129-1</f>
        <v>0.15158683850146448</v>
      </c>
      <c r="AP131" s="379">
        <f t="shared" ref="AP131" si="333">AP129/AL129-1</f>
        <v>0.16641262017147995</v>
      </c>
      <c r="AQ131" s="171">
        <f t="shared" ref="AQ131" si="334">AQ129/AM129-1</f>
        <v>0.16696753240483719</v>
      </c>
      <c r="AR131" s="171">
        <f t="shared" ref="AR131" si="335">AR129/AN129-1</f>
        <v>0.17617813696007611</v>
      </c>
      <c r="AS131" s="1223">
        <f t="shared" ref="AS131" si="336">AS129/AO129-1</f>
        <v>0.18436720992352962</v>
      </c>
      <c r="AT131" s="395"/>
      <c r="AU131" s="110"/>
      <c r="AV131" s="110"/>
      <c r="AW131" s="110"/>
      <c r="AX131" s="110"/>
      <c r="AY131" s="110"/>
      <c r="AZ131" s="110"/>
      <c r="BA131" s="110"/>
      <c r="BB131" s="110"/>
      <c r="BC131" s="110"/>
      <c r="BD131" s="110"/>
      <c r="BE131" s="110"/>
      <c r="BF131" s="110"/>
      <c r="BG131" s="110"/>
      <c r="BH131" s="110"/>
      <c r="BI131" s="110"/>
      <c r="BJ131" s="110"/>
    </row>
    <row r="132" spans="1:64">
      <c r="A132" s="110"/>
      <c r="B132" s="383"/>
      <c r="C132" s="110"/>
      <c r="D132" s="110"/>
      <c r="E132" s="1171"/>
      <c r="F132" s="383"/>
      <c r="G132" s="110"/>
      <c r="H132" s="110"/>
      <c r="I132" s="1171"/>
      <c r="J132" s="110"/>
      <c r="K132" s="110"/>
      <c r="L132" s="110"/>
      <c r="M132" s="1171"/>
      <c r="N132" s="383"/>
      <c r="O132" s="110"/>
      <c r="P132" s="110"/>
      <c r="Q132" s="1171"/>
      <c r="R132" s="383"/>
      <c r="S132" s="110"/>
      <c r="T132" s="110"/>
      <c r="U132" s="1171"/>
      <c r="V132" s="383"/>
      <c r="W132" s="110"/>
      <c r="X132" s="110"/>
      <c r="Y132" s="110"/>
      <c r="Z132" s="383"/>
      <c r="AA132" s="640"/>
      <c r="AB132" s="640"/>
      <c r="AC132" s="383"/>
      <c r="AD132" s="383"/>
      <c r="AE132" s="110"/>
      <c r="AF132" s="110"/>
      <c r="AG132" s="915">
        <f>SUM(AD129:AG129)</f>
        <v>1874.5675176000002</v>
      </c>
      <c r="AH132" s="915"/>
      <c r="AI132" s="619"/>
      <c r="AJ132" s="619"/>
      <c r="AK132" s="1229"/>
      <c r="AL132" s="395"/>
      <c r="AM132" s="110"/>
      <c r="AN132" s="110"/>
      <c r="AO132" s="1222"/>
      <c r="AP132" s="395" t="e">
        <f>AO132/AK132-1</f>
        <v>#DIV/0!</v>
      </c>
      <c r="AQ132" s="110"/>
      <c r="AR132" s="110"/>
      <c r="AS132" s="1222"/>
      <c r="AU132" s="110"/>
      <c r="AV132" s="110"/>
      <c r="AW132" s="110"/>
      <c r="AX132" s="110"/>
      <c r="AY132" s="110"/>
      <c r="AZ132" s="110"/>
      <c r="BA132" s="110"/>
      <c r="BB132" s="110"/>
      <c r="BC132" s="110"/>
      <c r="BD132" s="110"/>
      <c r="BE132" s="110"/>
      <c r="BF132" s="110"/>
      <c r="BG132" s="649"/>
      <c r="BH132" s="110"/>
      <c r="BI132" s="110"/>
      <c r="BJ132" s="110"/>
    </row>
    <row r="133" spans="1:64" ht="15" thickBot="1">
      <c r="A133" s="416" t="s">
        <v>279</v>
      </c>
      <c r="B133" s="417"/>
      <c r="C133" s="416"/>
      <c r="D133" s="416"/>
      <c r="E133" s="418"/>
      <c r="F133" s="419">
        <f>F123+F108+F102+F96</f>
        <v>140.10218978102191</v>
      </c>
      <c r="G133" s="420">
        <f>G123+G108+G102+G96</f>
        <v>146.97141239739602</v>
      </c>
      <c r="H133" s="420">
        <f>H123+H108+H102+H96</f>
        <v>151.2470057770889</v>
      </c>
      <c r="I133" s="421">
        <f t="shared" ref="I133:Y133" si="337">I123+I118+I108+I102+I96</f>
        <v>154.80044655316777</v>
      </c>
      <c r="J133" s="420">
        <f t="shared" si="337"/>
        <v>139.9</v>
      </c>
      <c r="K133" s="420">
        <f t="shared" si="337"/>
        <v>154.90000000000003</v>
      </c>
      <c r="L133" s="420">
        <f t="shared" si="337"/>
        <v>160.80000000000001</v>
      </c>
      <c r="M133" s="421">
        <f t="shared" si="337"/>
        <v>172.1</v>
      </c>
      <c r="N133" s="419">
        <f t="shared" si="337"/>
        <v>199.69999999999996</v>
      </c>
      <c r="O133" s="420">
        <f t="shared" si="337"/>
        <v>212.80000000000004</v>
      </c>
      <c r="P133" s="420">
        <f t="shared" si="337"/>
        <v>221.3784</v>
      </c>
      <c r="Q133" s="421">
        <f t="shared" si="337"/>
        <v>232.4</v>
      </c>
      <c r="R133" s="419">
        <f t="shared" si="337"/>
        <v>238.7</v>
      </c>
      <c r="S133" s="420">
        <f t="shared" si="337"/>
        <v>246.9</v>
      </c>
      <c r="T133" s="420">
        <f t="shared" si="337"/>
        <v>251.44829999999996</v>
      </c>
      <c r="U133" s="421">
        <f t="shared" si="337"/>
        <v>264.39999999999998</v>
      </c>
      <c r="V133" s="419">
        <f t="shared" si="337"/>
        <v>271.8</v>
      </c>
      <c r="W133" s="420">
        <f t="shared" si="337"/>
        <v>299.23560000000003</v>
      </c>
      <c r="X133" s="420">
        <f t="shared" si="337"/>
        <v>282.28200000000004</v>
      </c>
      <c r="Y133" s="420">
        <f t="shared" si="337"/>
        <v>280.89999999999998</v>
      </c>
      <c r="Z133" s="419">
        <f>Z129</f>
        <v>286.39999999999998</v>
      </c>
      <c r="AA133" s="641">
        <f>'Operating Metrics'!AA4</f>
        <v>365.1</v>
      </c>
      <c r="AB133" s="641">
        <f>'Operating Metrics'!AB4</f>
        <v>390.5</v>
      </c>
      <c r="AC133" s="419">
        <f t="shared" ref="AC133:AE133" si="338">AC123+AC118+AC108+AC113+AC102+AC96+AC141</f>
        <v>403.50000000000006</v>
      </c>
      <c r="AD133" s="419">
        <f t="shared" si="338"/>
        <v>442.4</v>
      </c>
      <c r="AE133" s="420">
        <f t="shared" si="338"/>
        <v>462.09999999999997</v>
      </c>
      <c r="AF133" s="420">
        <f>AF123+AF118+AF108+AF113+AF102+AF96+AF141</f>
        <v>480.9</v>
      </c>
      <c r="AG133" s="419">
        <f t="shared" ref="AG133" si="339">AG123+AG118+AG108+AG113+AG102+AG96+AG141</f>
        <v>489.16751760000005</v>
      </c>
      <c r="AH133" s="424">
        <f>AH123+AH118+AH108+AH113+AH102+AH96+AH143</f>
        <v>587.79847726959997</v>
      </c>
      <c r="AI133" s="422">
        <f t="shared" ref="AI133:AJ133" si="340">AI123+AI118+AI108+AI113+AI102+AI96+AI143</f>
        <v>661.15922072576643</v>
      </c>
      <c r="AJ133" s="422">
        <f t="shared" si="340"/>
        <v>687.08675473329708</v>
      </c>
      <c r="AK133" s="423">
        <f>AK123+AK118+AK108+AK113+AK102+AK96+AK143</f>
        <v>715.39789442347501</v>
      </c>
      <c r="AL133" s="424">
        <f>AL123+AL118+AL108+AL113+AL102+AL96+AL143</f>
        <v>751.81100500410946</v>
      </c>
      <c r="AM133" s="424">
        <f t="shared" ref="AM133:AS133" si="341">AM123+AM118+AM108+AM113+AM102+AM96+AM143</f>
        <v>773.8473514097625</v>
      </c>
      <c r="AN133" s="424">
        <f t="shared" si="341"/>
        <v>797.11707527610292</v>
      </c>
      <c r="AO133" s="424">
        <f t="shared" si="341"/>
        <v>819.10477373451442</v>
      </c>
      <c r="AP133" s="424">
        <f t="shared" si="341"/>
        <v>869.12452403178838</v>
      </c>
      <c r="AQ133" s="424">
        <f t="shared" si="341"/>
        <v>895.16418868865685</v>
      </c>
      <c r="AR133" s="424">
        <f t="shared" si="341"/>
        <v>928.11374952801896</v>
      </c>
      <c r="AS133" s="424">
        <f t="shared" si="341"/>
        <v>959.307144235838</v>
      </c>
      <c r="AT133" s="110"/>
      <c r="AU133" s="110"/>
      <c r="AV133" s="425"/>
      <c r="AW133" s="425"/>
      <c r="AX133" s="425"/>
      <c r="AY133" s="425"/>
      <c r="AZ133" s="425">
        <f>SUM(B133:E133)</f>
        <v>0</v>
      </c>
      <c r="BA133" s="425">
        <f>SUM(F133:I133)</f>
        <v>593.12105450867466</v>
      </c>
      <c r="BB133" s="425">
        <f>SUM(J133:M133)</f>
        <v>627.70000000000005</v>
      </c>
      <c r="BC133" s="425">
        <f>SUM(N133:Q133)</f>
        <v>866.27840000000003</v>
      </c>
      <c r="BD133" s="425">
        <f>SUM(R133:U133)</f>
        <v>1001.4482999999999</v>
      </c>
      <c r="BE133" s="425">
        <f>SUM(V133:Y133)</f>
        <v>1134.2175999999999</v>
      </c>
      <c r="BF133" s="425">
        <f>SUM(Z133:AC133)</f>
        <v>1445.5</v>
      </c>
      <c r="BG133" s="425">
        <f>SUM(AD133:AG133)</f>
        <v>1874.5675176000002</v>
      </c>
      <c r="BH133" s="425">
        <f>SUM(AH133:AK133)</f>
        <v>2651.4423471521386</v>
      </c>
      <c r="BI133" s="425">
        <f>SUM(AL133:AO133)</f>
        <v>3141.8802054244888</v>
      </c>
      <c r="BJ133" s="425">
        <f>SUM(AP133:AS133)</f>
        <v>3651.7096064843026</v>
      </c>
      <c r="BL133" s="309">
        <f>(BH133/BF133)^(1/2)-1</f>
        <v>0.35435353656558433</v>
      </c>
    </row>
    <row r="134" spans="1:64">
      <c r="A134" s="405" t="s">
        <v>363</v>
      </c>
      <c r="B134" s="383"/>
      <c r="C134" s="110"/>
      <c r="D134" s="110"/>
      <c r="E134" s="1171"/>
      <c r="F134" s="171"/>
      <c r="G134" s="171"/>
      <c r="H134" s="171"/>
      <c r="I134" s="426"/>
      <c r="J134" s="171">
        <f t="shared" ref="J134:AK134" si="342">J133/I133-1</f>
        <v>-9.625583701433349E-2</v>
      </c>
      <c r="K134" s="171">
        <f t="shared" si="342"/>
        <v>0.10721944245889947</v>
      </c>
      <c r="L134" s="171">
        <f t="shared" si="342"/>
        <v>3.8089089735312998E-2</v>
      </c>
      <c r="M134" s="426">
        <f t="shared" si="342"/>
        <v>7.0273631840795936E-2</v>
      </c>
      <c r="N134" s="171">
        <f t="shared" si="342"/>
        <v>0.16037187681580467</v>
      </c>
      <c r="O134" s="171">
        <f t="shared" si="342"/>
        <v>6.5598397596394964E-2</v>
      </c>
      <c r="P134" s="171">
        <f t="shared" si="342"/>
        <v>4.0312030075187799E-2</v>
      </c>
      <c r="Q134" s="426">
        <f t="shared" si="342"/>
        <v>4.9786248342205131E-2</v>
      </c>
      <c r="R134" s="171">
        <f t="shared" si="342"/>
        <v>2.7108433734939652E-2</v>
      </c>
      <c r="S134" s="171">
        <f t="shared" si="342"/>
        <v>3.4352744030163418E-2</v>
      </c>
      <c r="T134" s="171">
        <f t="shared" si="342"/>
        <v>1.8421628189550177E-2</v>
      </c>
      <c r="U134" s="426">
        <f t="shared" si="342"/>
        <v>5.1508401528266523E-2</v>
      </c>
      <c r="V134" s="171">
        <f t="shared" si="342"/>
        <v>2.7987897125567374E-2</v>
      </c>
      <c r="W134" s="171">
        <f t="shared" si="342"/>
        <v>0.10094039735099347</v>
      </c>
      <c r="X134" s="171">
        <f t="shared" si="342"/>
        <v>-5.6656360406315276E-2</v>
      </c>
      <c r="Y134" s="171">
        <f t="shared" si="342"/>
        <v>-4.8958134064519543E-3</v>
      </c>
      <c r="Z134" s="171">
        <f t="shared" si="342"/>
        <v>1.9579921680313195E-2</v>
      </c>
      <c r="AA134" s="642">
        <f t="shared" si="342"/>
        <v>0.2747905027932962</v>
      </c>
      <c r="AB134" s="642">
        <f t="shared" si="342"/>
        <v>6.9569980827170586E-2</v>
      </c>
      <c r="AC134" s="171">
        <f t="shared" si="342"/>
        <v>3.3290653008962945E-2</v>
      </c>
      <c r="AD134" s="379">
        <f t="shared" si="342"/>
        <v>9.6406443618339388E-2</v>
      </c>
      <c r="AE134" s="171">
        <f t="shared" si="342"/>
        <v>4.4529837251356286E-2</v>
      </c>
      <c r="AF134" s="171">
        <f t="shared" si="342"/>
        <v>4.0683834667820884E-2</v>
      </c>
      <c r="AG134" s="171">
        <f t="shared" si="342"/>
        <v>1.7191760449158044E-2</v>
      </c>
      <c r="AH134" s="379">
        <f t="shared" si="342"/>
        <v>0.2016302312007805</v>
      </c>
      <c r="AI134" s="171">
        <f t="shared" si="342"/>
        <v>0.12480594335142992</v>
      </c>
      <c r="AJ134" s="171">
        <f t="shared" si="342"/>
        <v>3.9215264938859296E-2</v>
      </c>
      <c r="AK134" s="426">
        <f t="shared" si="342"/>
        <v>4.1204606980332903E-2</v>
      </c>
      <c r="AL134" s="379">
        <f t="shared" ref="AL134" si="343">AL133/AK133-1</f>
        <v>5.0899102254108541E-2</v>
      </c>
      <c r="AM134" s="171">
        <f t="shared" ref="AM134" si="344">AM133/AL133-1</f>
        <v>2.9311018672216083E-2</v>
      </c>
      <c r="AN134" s="171">
        <f t="shared" ref="AN134" si="345">AN133/AM133-1</f>
        <v>3.0070173172976E-2</v>
      </c>
      <c r="AO134" s="426">
        <f t="shared" ref="AO134" si="346">AO133/AN133-1</f>
        <v>2.7584026412676543E-2</v>
      </c>
      <c r="AP134" s="379">
        <f t="shared" ref="AP134" si="347">AP133/AO133-1</f>
        <v>6.1066364036948206E-2</v>
      </c>
      <c r="AQ134" s="171">
        <f t="shared" ref="AQ134" si="348">AQ133/AP133-1</f>
        <v>2.9960798409039091E-2</v>
      </c>
      <c r="AR134" s="171">
        <f t="shared" ref="AR134" si="349">AR133/AQ133-1</f>
        <v>3.6808399236379907E-2</v>
      </c>
      <c r="AS134" s="426">
        <f t="shared" ref="AS134" si="350">AS133/AR133-1</f>
        <v>3.3609452207428392E-2</v>
      </c>
      <c r="AT134" s="110"/>
      <c r="AU134" s="110"/>
      <c r="AV134" s="129"/>
      <c r="AW134" s="129"/>
      <c r="AX134" s="129"/>
      <c r="AY134" s="57"/>
      <c r="AZ134" s="57"/>
      <c r="BA134" s="57" t="e">
        <f t="shared" ref="BA134:BJ134" si="351">BA133/AZ133-1</f>
        <v>#DIV/0!</v>
      </c>
      <c r="BB134" s="57">
        <f t="shared" si="351"/>
        <v>5.8299979790752188E-2</v>
      </c>
      <c r="BC134" s="57">
        <f t="shared" si="351"/>
        <v>0.38008347936912523</v>
      </c>
      <c r="BD134" s="57">
        <f t="shared" si="351"/>
        <v>0.15603517298826786</v>
      </c>
      <c r="BE134" s="57">
        <f t="shared" si="351"/>
        <v>0.13257728831333582</v>
      </c>
      <c r="BF134" s="57">
        <f t="shared" si="351"/>
        <v>0.27444680809044053</v>
      </c>
      <c r="BG134" s="57">
        <f t="shared" si="351"/>
        <v>0.29682982884814946</v>
      </c>
      <c r="BH134" s="57">
        <f t="shared" si="351"/>
        <v>0.41442883345528547</v>
      </c>
      <c r="BI134" s="57">
        <f t="shared" si="351"/>
        <v>0.18497021396641711</v>
      </c>
      <c r="BJ134" s="57">
        <f t="shared" si="351"/>
        <v>0.16226888605733225</v>
      </c>
    </row>
    <row r="135" spans="1:64">
      <c r="A135" s="405" t="s">
        <v>339</v>
      </c>
      <c r="B135" s="383"/>
      <c r="C135" s="110"/>
      <c r="D135" s="110"/>
      <c r="E135" s="1171"/>
      <c r="F135" s="171"/>
      <c r="G135" s="171"/>
      <c r="H135" s="171"/>
      <c r="I135" s="1223"/>
      <c r="J135" s="171">
        <f t="shared" ref="J135:R135" si="352">J133/F133-1</f>
        <v>-1.4431593206210014E-3</v>
      </c>
      <c r="K135" s="171">
        <f t="shared" si="352"/>
        <v>5.3946461242176058E-2</v>
      </c>
      <c r="L135" s="171">
        <f t="shared" si="352"/>
        <v>6.3161542761319245E-2</v>
      </c>
      <c r="M135" s="1223">
        <f t="shared" si="352"/>
        <v>0.11175389885513365</v>
      </c>
      <c r="N135" s="171">
        <f t="shared" si="352"/>
        <v>0.42744817726947781</v>
      </c>
      <c r="O135" s="171">
        <f t="shared" si="352"/>
        <v>0.37378954163976763</v>
      </c>
      <c r="P135" s="171">
        <f t="shared" si="352"/>
        <v>0.37673134328358193</v>
      </c>
      <c r="Q135" s="1223">
        <f t="shared" si="352"/>
        <v>0.3503776873910518</v>
      </c>
      <c r="R135" s="171">
        <f t="shared" si="352"/>
        <v>0.19529293940911385</v>
      </c>
      <c r="S135" s="171">
        <f>S133/O133-1</f>
        <v>0.16024436090225547</v>
      </c>
      <c r="T135" s="171">
        <f>T133/P133-1</f>
        <v>0.13583032490974722</v>
      </c>
      <c r="U135" s="1223">
        <f>U133/Q133-1</f>
        <v>0.13769363166953519</v>
      </c>
      <c r="V135" s="171">
        <f t="shared" ref="V135:AK135" si="353">V133/R133-1</f>
        <v>0.13866778382907419</v>
      </c>
      <c r="W135" s="171">
        <f t="shared" si="353"/>
        <v>0.21197083839611186</v>
      </c>
      <c r="X135" s="171">
        <f t="shared" si="353"/>
        <v>0.12262441225492515</v>
      </c>
      <c r="Y135" s="171">
        <f t="shared" si="353"/>
        <v>6.2405446293494649E-2</v>
      </c>
      <c r="Z135" s="171">
        <f t="shared" si="353"/>
        <v>5.371596762325237E-2</v>
      </c>
      <c r="AA135" s="642">
        <f t="shared" si="353"/>
        <v>0.22010883731748487</v>
      </c>
      <c r="AB135" s="642">
        <f t="shared" si="353"/>
        <v>0.3833684046450001</v>
      </c>
      <c r="AC135" s="171">
        <f t="shared" si="353"/>
        <v>0.43645425418298367</v>
      </c>
      <c r="AD135" s="379">
        <f t="shared" si="353"/>
        <v>0.54469273743016755</v>
      </c>
      <c r="AE135" s="171">
        <f t="shared" si="353"/>
        <v>0.26568063544234444</v>
      </c>
      <c r="AF135" s="171">
        <f t="shared" si="353"/>
        <v>0.23149807938540334</v>
      </c>
      <c r="AG135" s="171">
        <f t="shared" si="353"/>
        <v>0.21231107211895917</v>
      </c>
      <c r="AH135" s="379">
        <f t="shared" si="353"/>
        <v>0.32865840250813738</v>
      </c>
      <c r="AI135" s="171">
        <f t="shared" si="353"/>
        <v>0.43077087367618794</v>
      </c>
      <c r="AJ135" s="171">
        <f t="shared" si="353"/>
        <v>0.42875182934767553</v>
      </c>
      <c r="AK135" s="1223">
        <f t="shared" si="353"/>
        <v>0.46248037468519554</v>
      </c>
      <c r="AL135" s="379">
        <f t="shared" ref="AL135" si="354">AL133/AH133-1</f>
        <v>0.27902850054387507</v>
      </c>
      <c r="AM135" s="171">
        <f t="shared" ref="AM135" si="355">AM133/AI133-1</f>
        <v>0.17044023156826915</v>
      </c>
      <c r="AN135" s="171">
        <f t="shared" ref="AN135" si="356">AN133/AJ133-1</f>
        <v>0.1601403604200109</v>
      </c>
      <c r="AO135" s="1223">
        <f t="shared" ref="AO135" si="357">AO133/AK133-1</f>
        <v>0.14496391465425651</v>
      </c>
      <c r="AP135" s="379">
        <f t="shared" ref="AP135" si="358">AP133/AL133-1</f>
        <v>0.15604123675608839</v>
      </c>
      <c r="AQ135" s="171">
        <f t="shared" ref="AQ135" si="359">AQ133/AM133-1</f>
        <v>0.15677101828659668</v>
      </c>
      <c r="AR135" s="171">
        <f t="shared" ref="AR135" si="360">AR133/AN133-1</f>
        <v>0.16433806063750644</v>
      </c>
      <c r="AS135" s="1223">
        <f t="shared" ref="AS135" si="361">AS133/AO133-1</f>
        <v>0.17116536857928932</v>
      </c>
      <c r="AT135" s="110"/>
      <c r="AU135" s="110"/>
      <c r="AV135" s="110"/>
      <c r="AW135" s="110"/>
      <c r="AX135" s="110"/>
      <c r="AY135" s="110"/>
      <c r="AZ135" s="110"/>
      <c r="BA135" s="110"/>
      <c r="BB135" s="110"/>
      <c r="BC135" s="110"/>
      <c r="BD135" s="110"/>
      <c r="BE135" s="110"/>
      <c r="BF135" s="995">
        <v>0.2740910562488188</v>
      </c>
      <c r="BG135" s="995">
        <v>0.29921606176473325</v>
      </c>
      <c r="BH135" s="995">
        <v>0.16409098741716122</v>
      </c>
      <c r="BI135" s="995">
        <v>0.14186717898777568</v>
      </c>
      <c r="BJ135" s="995">
        <v>0.14186717898777568</v>
      </c>
    </row>
    <row r="136" spans="1:64">
      <c r="A136" s="110"/>
      <c r="B136" s="383"/>
      <c r="C136" s="110"/>
      <c r="D136" s="110"/>
      <c r="E136" s="1171"/>
      <c r="F136" s="383"/>
      <c r="G136" s="110"/>
      <c r="H136" s="110"/>
      <c r="I136" s="1171"/>
      <c r="J136" s="110"/>
      <c r="K136" s="110"/>
      <c r="L136" s="110"/>
      <c r="M136" s="1171"/>
      <c r="N136" s="383"/>
      <c r="O136" s="110"/>
      <c r="P136" s="110"/>
      <c r="Q136" s="1171"/>
      <c r="R136" s="383"/>
      <c r="S136" s="110"/>
      <c r="T136" s="110"/>
      <c r="U136" s="1171"/>
      <c r="V136" s="383"/>
      <c r="W136" s="110"/>
      <c r="X136" s="110"/>
      <c r="Y136" s="1171"/>
      <c r="Z136" s="383"/>
      <c r="AA136" s="110"/>
      <c r="AB136" s="110"/>
      <c r="AC136" s="1171"/>
      <c r="AD136" s="383"/>
      <c r="AE136" s="110"/>
      <c r="AF136" s="110"/>
      <c r="AG136" s="1171"/>
      <c r="AH136" s="383"/>
      <c r="AI136" s="110"/>
      <c r="AJ136" s="110"/>
      <c r="AK136" s="1171"/>
      <c r="AL136" s="383"/>
      <c r="AM136" s="110"/>
      <c r="AN136" s="110"/>
      <c r="AO136" s="1171"/>
      <c r="AP136" s="383"/>
      <c r="AQ136" s="110"/>
      <c r="AR136" s="110"/>
      <c r="AS136" s="1171"/>
      <c r="AT136" s="110"/>
      <c r="AU136" s="110"/>
      <c r="AV136" s="110"/>
      <c r="AW136" s="110"/>
      <c r="AX136" s="110"/>
      <c r="AY136" s="110"/>
      <c r="AZ136" s="110"/>
      <c r="BA136" s="110"/>
      <c r="BB136" s="110"/>
      <c r="BC136" s="110"/>
      <c r="BD136" s="110"/>
      <c r="BE136" s="110">
        <f>869*1.4</f>
        <v>1216.5999999999999</v>
      </c>
      <c r="BF136" s="110"/>
      <c r="BG136" s="140">
        <v>0.28999999999999998</v>
      </c>
      <c r="BH136" s="110">
        <v>15.5</v>
      </c>
      <c r="BI136" s="110">
        <v>14</v>
      </c>
      <c r="BJ136" s="110">
        <v>14</v>
      </c>
    </row>
    <row r="137" spans="1:64">
      <c r="A137" s="93" t="s">
        <v>367</v>
      </c>
      <c r="B137" s="93"/>
      <c r="C137" s="93"/>
      <c r="D137" s="93"/>
      <c r="E137" s="179">
        <f>SUM(B56:E56)</f>
        <v>505.85035794658342</v>
      </c>
      <c r="F137" s="93"/>
      <c r="G137" s="93"/>
      <c r="H137" s="93"/>
      <c r="I137" s="179">
        <f>SUM(F56:I56)</f>
        <v>593.12105450867455</v>
      </c>
      <c r="J137" s="93"/>
      <c r="K137" s="93"/>
      <c r="L137" s="93"/>
      <c r="M137" s="179">
        <f>SUM(J56:M56)</f>
        <v>627.70000000000005</v>
      </c>
      <c r="N137" s="93"/>
      <c r="O137" s="93"/>
      <c r="P137" s="93"/>
      <c r="Q137" s="179">
        <f>SUM(N56:Q56)</f>
        <v>866.5</v>
      </c>
      <c r="R137" s="93"/>
      <c r="S137" s="93"/>
      <c r="T137" s="93"/>
      <c r="U137" s="179">
        <f>SUM(R56:U56)</f>
        <v>1001.6999999999999</v>
      </c>
      <c r="V137" s="93"/>
      <c r="W137" s="93"/>
      <c r="X137" s="93"/>
      <c r="Y137" s="179">
        <f>SUM(V56:Y56)</f>
        <v>1112.8000000000002</v>
      </c>
      <c r="Z137" s="93"/>
      <c r="AA137" s="93"/>
      <c r="AB137" s="93"/>
      <c r="AC137" s="179">
        <f>SUM(Z56:AC56)</f>
        <v>1445.5</v>
      </c>
      <c r="AD137" s="93"/>
      <c r="AE137" s="93"/>
      <c r="AF137" s="93"/>
      <c r="AG137" s="179">
        <f>SUM(AD56:AG56)+AG142</f>
        <v>2474.5</v>
      </c>
      <c r="AH137" s="93"/>
      <c r="AI137" s="93"/>
      <c r="AJ137" s="93"/>
      <c r="AK137" s="179">
        <f>SUM(AH56:AK56)</f>
        <v>2651.4423471521386</v>
      </c>
      <c r="AL137" s="93"/>
      <c r="AM137" s="93"/>
      <c r="AN137" s="93"/>
      <c r="AO137" s="179">
        <f>SUM(AL56:AO56)</f>
        <v>3141.8802054244888</v>
      </c>
      <c r="AP137" s="93"/>
      <c r="AQ137" s="93"/>
      <c r="AR137" s="93"/>
      <c r="AS137" s="179">
        <f>SUM(AP56:AS56)</f>
        <v>3651.7096064843026</v>
      </c>
    </row>
    <row r="138" spans="1:64">
      <c r="A138" s="4" t="s">
        <v>368</v>
      </c>
      <c r="E138" s="22" t="e">
        <f>E137/#REF!-1</f>
        <v>#REF!</v>
      </c>
      <c r="I138" s="22">
        <f>I137/E137-1</f>
        <v>0.17252275340152412</v>
      </c>
      <c r="M138" s="19">
        <f>M137/I137-1</f>
        <v>5.829997979075241E-2</v>
      </c>
      <c r="Q138" s="19">
        <f>Q137/M137-1</f>
        <v>0.38043651425840364</v>
      </c>
      <c r="U138" s="19">
        <f>U137/Q137-1</f>
        <v>0.15603000577034032</v>
      </c>
      <c r="Y138" s="19">
        <f>Y137/U137-1</f>
        <v>0.11091145053409224</v>
      </c>
      <c r="AC138" s="19">
        <f>AC137/Y137-1</f>
        <v>0.29897555715312696</v>
      </c>
      <c r="AG138" s="19">
        <f>AG137/AC137-1</f>
        <v>0.71186440677966112</v>
      </c>
      <c r="AK138" s="19">
        <f>AK137/AG137-1</f>
        <v>7.1506303153016315E-2</v>
      </c>
      <c r="AO138" s="19">
        <f>AO137/AK137-1</f>
        <v>0.18497021396641711</v>
      </c>
      <c r="AS138" s="19">
        <f>AS137/AO137-1</f>
        <v>0.16226888605733225</v>
      </c>
    </row>
    <row r="139" spans="1:64">
      <c r="E139" s="22"/>
      <c r="I139" s="22"/>
      <c r="M139" s="19"/>
      <c r="Q139" s="19"/>
      <c r="U139" s="19"/>
      <c r="Y139" s="19"/>
      <c r="AC139" s="243">
        <f>AC137-AA141</f>
        <v>1385.9</v>
      </c>
      <c r="AK139" s="22">
        <f>AK137/AG137-1</f>
        <v>7.1506303153016315E-2</v>
      </c>
      <c r="AO139" s="19" t="e">
        <f>AO132/AK132-1</f>
        <v>#DIV/0!</v>
      </c>
      <c r="AS139" s="19"/>
    </row>
    <row r="140" spans="1:64">
      <c r="A140" s="237" t="s">
        <v>369</v>
      </c>
      <c r="E140" s="22"/>
      <c r="I140" s="22"/>
      <c r="M140" s="243"/>
      <c r="Q140" s="19"/>
      <c r="U140" s="19"/>
      <c r="Y140" s="243">
        <v>221</v>
      </c>
      <c r="AC140" s="244">
        <f>SUM(Z141:AC141)</f>
        <v>176.81710000000001</v>
      </c>
      <c r="AD140" s="19">
        <f>AC140/Y140-1</f>
        <v>-0.19992262443438913</v>
      </c>
      <c r="AG140" s="244">
        <f>SUM(AD141:AG141)</f>
        <v>0</v>
      </c>
      <c r="AH140" s="19"/>
      <c r="AK140" s="244">
        <f>SUM(AH141:AK141)</f>
        <v>0</v>
      </c>
      <c r="AL140" s="19" t="e">
        <f>AK140/AG140-1</f>
        <v>#DIV/0!</v>
      </c>
      <c r="AO140" s="244">
        <f>SUM(AL141:AO141)</f>
        <v>0</v>
      </c>
      <c r="AP140" s="19"/>
      <c r="AS140" s="244"/>
      <c r="AT140" s="19" t="e">
        <f>AK140/AG140-1</f>
        <v>#DIV/0!</v>
      </c>
      <c r="BF140" s="19" t="e">
        <f>BE140/BA140-1</f>
        <v>#DIV/0!</v>
      </c>
    </row>
    <row r="141" spans="1:64">
      <c r="A141" s="180" t="s">
        <v>69</v>
      </c>
      <c r="B141" s="180"/>
      <c r="C141" s="180"/>
      <c r="D141" s="180"/>
      <c r="E141" s="180"/>
      <c r="F141" s="180"/>
      <c r="G141" s="180"/>
      <c r="H141" s="180"/>
      <c r="I141" s="180"/>
      <c r="J141" s="180"/>
      <c r="K141" s="180"/>
      <c r="L141" s="180"/>
      <c r="M141" s="180"/>
      <c r="N141" s="180"/>
      <c r="O141" s="593"/>
      <c r="P141" s="594"/>
      <c r="Q141" s="594"/>
      <c r="R141" s="594"/>
      <c r="S141" s="593"/>
      <c r="T141" s="180"/>
      <c r="U141" s="180"/>
      <c r="V141" s="180"/>
      <c r="W141" s="180"/>
      <c r="X141" s="180"/>
      <c r="Y141" s="595">
        <f>4556/83</f>
        <v>54.891566265060241</v>
      </c>
      <c r="Z141" s="643">
        <f>'P&amp;L revenue (cigniti)'!F110</f>
        <v>56.2562</v>
      </c>
      <c r="AA141" s="643">
        <f>'P&amp;L revenue (cigniti)'!G110</f>
        <v>59.599999999999994</v>
      </c>
      <c r="AB141" s="643">
        <f>'P&amp;L revenue (cigniti)'!H110</f>
        <v>60.960900000000002</v>
      </c>
      <c r="AC141" s="643">
        <f>'P&amp;L revenue (cigniti)'!I110</f>
        <v>0</v>
      </c>
      <c r="AD141" s="643">
        <f>'P&amp;L revenue (cigniti)'!J110</f>
        <v>0</v>
      </c>
      <c r="AE141" s="643">
        <f>'P&amp;L revenue (cigniti)'!K110</f>
        <v>0</v>
      </c>
      <c r="AF141" s="643">
        <f>'P&amp;L revenue (cigniti)'!L110</f>
        <v>0</v>
      </c>
      <c r="AG141" s="643">
        <f>'P&amp;L revenue (cigniti)'!M110</f>
        <v>0</v>
      </c>
      <c r="AH141" s="643">
        <f>'P&amp;L revenue (cigniti)'!N110</f>
        <v>0</v>
      </c>
      <c r="AI141" s="643">
        <f>'P&amp;L revenue (cigniti)'!O110</f>
        <v>0</v>
      </c>
      <c r="AJ141" s="643">
        <f>'P&amp;L revenue (cigniti)'!P110</f>
        <v>0</v>
      </c>
      <c r="AK141" s="643">
        <f>'P&amp;L revenue (cigniti)'!Q110</f>
        <v>0</v>
      </c>
      <c r="AL141" s="643">
        <f>'P&amp;L revenue (cigniti)'!R110</f>
        <v>0</v>
      </c>
      <c r="AM141" s="643">
        <f>'P&amp;L revenue (cigniti)'!S110</f>
        <v>0</v>
      </c>
      <c r="AN141" s="643">
        <f>'P&amp;L revenue (cigniti)'!T110</f>
        <v>0</v>
      </c>
      <c r="AO141" s="643">
        <f>'P&amp;L revenue (cigniti)'!U110</f>
        <v>0</v>
      </c>
      <c r="AP141" s="643"/>
      <c r="AQ141" s="643"/>
      <c r="AR141" s="643"/>
      <c r="AS141" s="643"/>
      <c r="AT141" s="180"/>
    </row>
    <row r="142" spans="1:64">
      <c r="A142" s="237" t="s">
        <v>370</v>
      </c>
      <c r="B142" s="180"/>
      <c r="C142" s="180"/>
      <c r="D142" s="180"/>
      <c r="E142" s="180"/>
      <c r="F142" s="180"/>
      <c r="G142" s="180"/>
      <c r="H142" s="180"/>
      <c r="I142" s="180"/>
      <c r="J142" s="180"/>
      <c r="K142" s="180"/>
      <c r="L142" s="180"/>
      <c r="M142" s="180"/>
      <c r="N142" s="180"/>
      <c r="O142" s="593"/>
      <c r="P142" s="594"/>
      <c r="Q142" s="594"/>
      <c r="R142" s="594"/>
      <c r="S142" s="593"/>
      <c r="T142" s="180"/>
      <c r="U142" s="180"/>
      <c r="V142" s="180"/>
      <c r="W142" s="180"/>
      <c r="X142" s="180"/>
      <c r="Y142" s="180"/>
      <c r="Z142" s="596"/>
      <c r="AA142" s="644"/>
      <c r="AB142" s="644"/>
      <c r="AC142" s="644"/>
      <c r="AD142" s="644"/>
      <c r="AE142" s="644"/>
      <c r="AF142" s="644"/>
      <c r="AG142" s="998">
        <v>600</v>
      </c>
      <c r="AH142" s="644"/>
      <c r="AI142" s="644"/>
      <c r="AJ142" s="644"/>
      <c r="AK142" s="998">
        <v>600</v>
      </c>
      <c r="AL142" s="644"/>
      <c r="AM142" s="644"/>
      <c r="AN142" s="644"/>
      <c r="AO142" s="998">
        <f>AK142*1.12</f>
        <v>672.00000000000011</v>
      </c>
      <c r="AP142" s="644"/>
      <c r="AQ142" s="644"/>
      <c r="AR142" s="644"/>
      <c r="AS142" s="998">
        <f>AO142*1.12</f>
        <v>752.64000000000021</v>
      </c>
      <c r="AT142" s="644">
        <f>((AS142/AG142)^(1/3))-1</f>
        <v>7.8479799910340153E-2</v>
      </c>
      <c r="AU142" s="644"/>
      <c r="AV142" s="644"/>
      <c r="AW142" s="644"/>
      <c r="AX142" s="644"/>
      <c r="AY142" s="644"/>
      <c r="AZ142" s="644"/>
      <c r="BA142" s="644"/>
      <c r="BB142" s="644"/>
      <c r="BC142" s="644"/>
      <c r="BD142" s="644"/>
      <c r="BE142" s="644"/>
    </row>
    <row r="143" spans="1:64">
      <c r="A143" s="181" t="s">
        <v>69</v>
      </c>
      <c r="B143" s="180"/>
      <c r="C143" s="180"/>
      <c r="D143" s="180"/>
      <c r="E143" s="182"/>
      <c r="F143" s="180"/>
      <c r="G143" s="180"/>
      <c r="H143" s="180"/>
      <c r="I143" s="182"/>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80"/>
      <c r="AF143" s="180"/>
      <c r="AG143" s="1036"/>
      <c r="AH143" s="999">
        <f>(AK142/4)*(2/3)</f>
        <v>100</v>
      </c>
      <c r="AI143" s="999">
        <f>AK142/4</f>
        <v>150</v>
      </c>
      <c r="AJ143" s="999">
        <f>AI143</f>
        <v>150</v>
      </c>
      <c r="AK143" s="999">
        <f>AJ143</f>
        <v>150</v>
      </c>
      <c r="AL143" s="999">
        <f>AI143-AH143+(AL144-(AI143-AH143))</f>
        <v>168.00000000000003</v>
      </c>
      <c r="AM143" s="999">
        <f>AM144</f>
        <v>168.00000000000003</v>
      </c>
      <c r="AN143" s="999">
        <f>AN144</f>
        <v>168.00000000000003</v>
      </c>
      <c r="AO143" s="999">
        <f>AO144</f>
        <v>168.00000000000003</v>
      </c>
      <c r="AP143" s="998">
        <f>AS142/4</f>
        <v>188.16000000000005</v>
      </c>
      <c r="AQ143" s="999">
        <f>AP143</f>
        <v>188.16000000000005</v>
      </c>
      <c r="AR143" s="999">
        <f t="shared" ref="AR143:AS143" si="362">AQ143</f>
        <v>188.16000000000005</v>
      </c>
      <c r="AS143" s="999">
        <f t="shared" si="362"/>
        <v>188.16000000000005</v>
      </c>
    </row>
    <row r="144" spans="1:64">
      <c r="A144" s="181"/>
      <c r="B144" s="180"/>
      <c r="C144" s="180"/>
      <c r="D144" s="180"/>
      <c r="E144" s="183"/>
      <c r="F144" s="180"/>
      <c r="G144" s="180"/>
      <c r="H144" s="180"/>
      <c r="I144" s="183"/>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c r="AG144" s="180"/>
      <c r="AH144" s="180"/>
      <c r="AI144" s="180"/>
      <c r="AJ144" s="180"/>
      <c r="AK144" s="180"/>
      <c r="AL144" s="999">
        <f>AO142/4</f>
        <v>168.00000000000003</v>
      </c>
      <c r="AM144" s="999">
        <f>AL144</f>
        <v>168.00000000000003</v>
      </c>
      <c r="AN144" s="999">
        <f>AM144</f>
        <v>168.00000000000003</v>
      </c>
      <c r="AO144" s="999">
        <f>AN144</f>
        <v>168.00000000000003</v>
      </c>
      <c r="AP144" s="180"/>
      <c r="AQ144" s="180"/>
      <c r="AR144" s="180"/>
      <c r="AS144" s="180"/>
    </row>
    <row r="145" spans="1:62">
      <c r="A145" s="181" t="s">
        <v>371</v>
      </c>
      <c r="B145" s="180"/>
      <c r="C145" s="180"/>
      <c r="D145" s="180"/>
      <c r="E145" s="183"/>
      <c r="F145" s="180"/>
      <c r="G145" s="180"/>
      <c r="H145" s="180"/>
      <c r="I145" s="183"/>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80"/>
      <c r="AF145" s="180"/>
      <c r="AG145" s="180"/>
      <c r="AH145" s="180"/>
      <c r="AI145" s="180"/>
      <c r="AJ145" s="180"/>
      <c r="AK145" s="180"/>
      <c r="AL145" s="999"/>
      <c r="AM145" s="999"/>
      <c r="AN145" s="999"/>
      <c r="AO145" s="999">
        <v>500</v>
      </c>
      <c r="AP145" s="180"/>
      <c r="AQ145" s="180"/>
      <c r="AR145" s="180"/>
      <c r="AS145" s="180">
        <v>586</v>
      </c>
    </row>
    <row r="146" spans="1:62">
      <c r="A146" s="181"/>
      <c r="B146" s="180"/>
      <c r="C146" s="180"/>
      <c r="D146" s="180"/>
      <c r="E146" s="183"/>
      <c r="F146" s="180"/>
      <c r="G146" s="180"/>
      <c r="H146" s="180"/>
      <c r="I146" s="183"/>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999">
        <f>$AO$145/4</f>
        <v>125</v>
      </c>
      <c r="AM146" s="999">
        <f t="shared" ref="AM146:AO146" si="363">$AO$145/4</f>
        <v>125</v>
      </c>
      <c r="AN146" s="999">
        <f t="shared" si="363"/>
        <v>125</v>
      </c>
      <c r="AO146" s="999">
        <f t="shared" si="363"/>
        <v>125</v>
      </c>
      <c r="AP146" s="999">
        <f>$AS$145/4</f>
        <v>146.5</v>
      </c>
      <c r="AQ146" s="999">
        <f t="shared" ref="AQ146:AS146" si="364">$AS$145/4</f>
        <v>146.5</v>
      </c>
      <c r="AR146" s="999">
        <f t="shared" si="364"/>
        <v>146.5</v>
      </c>
      <c r="AS146" s="999">
        <f t="shared" si="364"/>
        <v>146.5</v>
      </c>
    </row>
    <row r="147" spans="1:62">
      <c r="E147" s="18"/>
      <c r="I147" s="18"/>
      <c r="Z147" s="4">
        <f>Z56*1000000/'Operating Metrics'!Z255</f>
        <v>11659.338869890897</v>
      </c>
      <c r="AK147" s="17"/>
      <c r="AO147" s="1037">
        <f>AK142*(1+AO148)</f>
        <v>660</v>
      </c>
      <c r="AS147" s="1037">
        <f>AO142*(1+AS148)</f>
        <v>725.76000000000022</v>
      </c>
    </row>
    <row r="148" spans="1:62">
      <c r="B148" s="281"/>
      <c r="E148" s="1115"/>
      <c r="F148" s="281"/>
      <c r="I148" s="1115"/>
      <c r="M148" s="1115"/>
      <c r="N148" s="281"/>
      <c r="Q148" s="1115"/>
      <c r="R148" s="281"/>
      <c r="U148" s="1115"/>
      <c r="V148" s="281"/>
      <c r="Y148" s="1115"/>
      <c r="Z148" s="281"/>
      <c r="AC148" s="1115"/>
      <c r="AD148" s="281"/>
      <c r="AG148" s="1115"/>
      <c r="AH148" s="281"/>
      <c r="AK148" s="1238"/>
      <c r="AL148" s="281"/>
      <c r="AO148" s="1238">
        <v>0.1</v>
      </c>
      <c r="AP148" s="281"/>
      <c r="AS148" s="1238">
        <v>0.08</v>
      </c>
    </row>
    <row r="149" spans="1:62">
      <c r="A149" s="175" t="s">
        <v>372</v>
      </c>
      <c r="B149" s="284"/>
      <c r="C149" s="104"/>
      <c r="D149" s="104"/>
      <c r="E149" s="1239"/>
      <c r="F149" s="284"/>
      <c r="G149" s="104"/>
      <c r="H149" s="104"/>
      <c r="I149" s="1239"/>
      <c r="J149" s="104"/>
      <c r="K149" s="104"/>
      <c r="L149" s="104"/>
      <c r="M149" s="1239"/>
      <c r="N149" s="284"/>
      <c r="O149" s="104"/>
      <c r="P149" s="104"/>
      <c r="Q149" s="1239"/>
      <c r="R149" s="284"/>
      <c r="S149" s="104"/>
      <c r="T149" s="104"/>
      <c r="U149" s="1239"/>
      <c r="V149" s="284"/>
      <c r="W149" s="104"/>
      <c r="X149" s="104"/>
      <c r="Y149" s="1239"/>
      <c r="Z149" s="284"/>
      <c r="AA149" s="104"/>
      <c r="AB149" s="104"/>
      <c r="AC149" s="1239"/>
      <c r="AD149" s="284"/>
      <c r="AE149" s="104"/>
      <c r="AF149" s="104"/>
      <c r="AG149" s="1239"/>
      <c r="AH149" s="284"/>
      <c r="AI149" s="104"/>
      <c r="AJ149" s="104"/>
      <c r="AK149" s="1239"/>
      <c r="AL149" s="284"/>
      <c r="AM149" s="104"/>
      <c r="AN149" s="104"/>
      <c r="AO149" s="1239"/>
      <c r="AP149" s="284"/>
      <c r="AQ149" s="104"/>
      <c r="AR149" s="104"/>
      <c r="AS149" s="1239"/>
    </row>
    <row r="150" spans="1:62">
      <c r="B150" s="281"/>
      <c r="E150" s="1115"/>
      <c r="F150" s="281"/>
      <c r="I150" s="1115"/>
      <c r="J150" s="281"/>
      <c r="M150" s="1115"/>
      <c r="N150" s="281"/>
      <c r="Q150" s="1115"/>
      <c r="R150" s="281"/>
      <c r="U150" s="1115"/>
      <c r="V150" s="281"/>
      <c r="Y150" s="1115"/>
      <c r="Z150" s="281"/>
      <c r="AC150" s="1115"/>
      <c r="AD150" s="281"/>
      <c r="AG150" s="1115"/>
      <c r="AH150" s="281"/>
      <c r="AK150" s="1115"/>
      <c r="AL150" s="281"/>
      <c r="AO150" s="1115"/>
      <c r="AP150" s="281"/>
      <c r="AS150" s="1115"/>
    </row>
    <row r="151" spans="1:62">
      <c r="A151" s="6" t="s">
        <v>373</v>
      </c>
      <c r="B151" s="281"/>
      <c r="F151" s="281"/>
      <c r="J151" s="281"/>
      <c r="N151" s="281"/>
      <c r="R151" s="281"/>
      <c r="S151" s="263">
        <v>11719</v>
      </c>
      <c r="V151" s="566">
        <v>13749</v>
      </c>
      <c r="W151" s="325">
        <v>14194</v>
      </c>
      <c r="Y151" s="1115"/>
      <c r="Z151" s="281"/>
      <c r="AA151" s="325"/>
      <c r="AC151" s="1115"/>
      <c r="AD151" s="281"/>
      <c r="AG151" s="1115"/>
      <c r="AH151" s="281"/>
      <c r="AK151" s="1115"/>
      <c r="AL151" s="281"/>
      <c r="AO151" s="1115"/>
      <c r="AP151" s="281"/>
      <c r="AS151" s="1115"/>
    </row>
    <row r="152" spans="1:62">
      <c r="A152" s="4" t="s">
        <v>374</v>
      </c>
      <c r="B152" s="281"/>
      <c r="F152" s="281"/>
      <c r="J152" s="281"/>
      <c r="N152" s="281"/>
      <c r="R152" s="281"/>
      <c r="S152" s="19">
        <f>S151/S77</f>
        <v>0.59809125242421146</v>
      </c>
      <c r="V152" s="288">
        <f>V151/V77</f>
        <v>0.61904547501125617</v>
      </c>
      <c r="W152" s="19">
        <f>W151/W77</f>
        <v>0.62358316492399612</v>
      </c>
      <c r="Y152" s="1115"/>
      <c r="Z152" s="281"/>
      <c r="AA152" s="19"/>
      <c r="AC152" s="1115"/>
      <c r="AD152" s="281"/>
      <c r="AG152" s="1115"/>
      <c r="AH152" s="281"/>
      <c r="AK152" s="1115"/>
      <c r="AL152" s="281"/>
      <c r="AO152" s="1115"/>
      <c r="AP152" s="281"/>
      <c r="AS152" s="1115"/>
    </row>
    <row r="153" spans="1:62">
      <c r="B153" s="281"/>
      <c r="F153" s="281"/>
      <c r="J153" s="281"/>
      <c r="N153" s="281"/>
      <c r="R153" s="281"/>
      <c r="V153" s="281"/>
      <c r="Y153" s="1115"/>
      <c r="Z153" s="281"/>
      <c r="AC153" s="1115"/>
      <c r="AD153" s="281"/>
      <c r="AG153" s="1115"/>
      <c r="AH153" s="281"/>
      <c r="AK153" s="1115"/>
      <c r="AL153" s="281"/>
      <c r="AO153" s="1115"/>
      <c r="AP153" s="281"/>
      <c r="AS153" s="1115"/>
    </row>
    <row r="154" spans="1:62" ht="15" thickBot="1">
      <c r="A154" s="6" t="s">
        <v>375</v>
      </c>
      <c r="B154" s="1240">
        <v>5301</v>
      </c>
      <c r="C154" s="176">
        <f>'P&amp;L consol'!K15</f>
        <v>5720</v>
      </c>
      <c r="D154" s="176">
        <f>'P&amp;L consol'!L15</f>
        <v>6032</v>
      </c>
      <c r="E154" s="176">
        <f>'P&amp;L consol'!M15</f>
        <v>6110</v>
      </c>
      <c r="F154" s="1240">
        <f>'P&amp;L consol'!N15</f>
        <v>6348</v>
      </c>
      <c r="G154" s="176">
        <f>'P&amp;L consol'!O15</f>
        <v>6796</v>
      </c>
      <c r="H154" s="176">
        <f>'P&amp;L consol'!P15</f>
        <v>7069</v>
      </c>
      <c r="I154" s="176">
        <f>'P&amp;L consol'!Q15</f>
        <v>7289</v>
      </c>
      <c r="J154" s="1240">
        <f>'P&amp;L consol'!R15</f>
        <v>7241</v>
      </c>
      <c r="K154" s="176">
        <f>'P&amp;L consol'!S15</f>
        <v>7776</v>
      </c>
      <c r="L154" s="176">
        <f>'P&amp;L consol'!T15</f>
        <v>8096</v>
      </c>
      <c r="M154" s="176">
        <f>'P&amp;L consol'!U15</f>
        <v>8580</v>
      </c>
      <c r="N154" s="1240">
        <f>'P&amp;L consol'!V15</f>
        <v>10250</v>
      </c>
      <c r="O154" s="176">
        <f>'P&amp;L consol'!W15</f>
        <v>10656</v>
      </c>
      <c r="P154" s="176">
        <f>'P&amp;L consol'!X15</f>
        <v>11210</v>
      </c>
      <c r="Q154" s="176">
        <f>'P&amp;L consol'!Y15</f>
        <v>11620</v>
      </c>
      <c r="R154" s="1240">
        <f>'P&amp;L consol'!Z15</f>
        <v>12739</v>
      </c>
      <c r="S154" s="176">
        <f>'P&amp;L consol'!AA15</f>
        <v>13316</v>
      </c>
      <c r="T154" s="176">
        <f>'P&amp;L consol'!AB15</f>
        <v>13698</v>
      </c>
      <c r="U154" s="176">
        <f>'P&amp;L consol'!AC15</f>
        <v>14306</v>
      </c>
      <c r="V154" s="1240">
        <f>'P&amp;L consol'!AD15</f>
        <v>15401</v>
      </c>
      <c r="W154" s="176">
        <f>'P&amp;L consol'!AE15</f>
        <v>15374</v>
      </c>
      <c r="X154" s="176">
        <f>'P&amp;L consol'!AF15</f>
        <v>15555</v>
      </c>
      <c r="Y154" s="176">
        <f>'P&amp;L consol'!AG15</f>
        <v>15139.151999999998</v>
      </c>
      <c r="Z154" s="1240">
        <f>'P&amp;L consol'!AH15</f>
        <v>15975</v>
      </c>
      <c r="AA154" s="176">
        <f>'P&amp;L consol'!AI15</f>
        <v>20827</v>
      </c>
      <c r="AB154" s="176">
        <f>'P&amp;L consol'!AJ15</f>
        <v>21698.946000000004</v>
      </c>
      <c r="AC154" s="176">
        <f>'P&amp;L consol'!AK15</f>
        <v>22483</v>
      </c>
      <c r="AD154" s="1240">
        <f>'P&amp;L consol'!AL15</f>
        <v>24455</v>
      </c>
      <c r="AE154" s="176">
        <f>'P&amp;L consol'!AM15</f>
        <v>26299</v>
      </c>
      <c r="AF154" s="176">
        <f>'P&amp;L consol'!AN15</f>
        <v>28112</v>
      </c>
      <c r="AG154" s="176">
        <f>'P&amp;L consol'!AO15</f>
        <v>29204</v>
      </c>
      <c r="AH154" s="286">
        <f>AH162+AH163</f>
        <v>37068.319219691657</v>
      </c>
      <c r="AI154" s="106">
        <f t="shared" ref="AI154:AK154" si="365">AI162+AI163</f>
        <v>39431.275913811325</v>
      </c>
      <c r="AJ154" s="106">
        <f t="shared" si="365"/>
        <v>41821.904718902137</v>
      </c>
      <c r="AK154" s="1241">
        <f t="shared" si="365"/>
        <v>43523.216071584378</v>
      </c>
      <c r="AL154" s="286">
        <f t="shared" ref="AL154:AO154" si="366">AL162+AL163</f>
        <v>45645.917306102012</v>
      </c>
      <c r="AM154" s="106">
        <f t="shared" si="366"/>
        <v>47723.984213188844</v>
      </c>
      <c r="AN154" s="106">
        <f t="shared" si="366"/>
        <v>50388.066449074395</v>
      </c>
      <c r="AO154" s="1241">
        <f t="shared" si="366"/>
        <v>51274.653418938433</v>
      </c>
      <c r="AP154" s="286">
        <f t="shared" ref="AP154:AS154" si="367">AP162+AP163</f>
        <v>54214.758105232722</v>
      </c>
      <c r="AQ154" s="106">
        <f t="shared" si="367"/>
        <v>57360.642954161689</v>
      </c>
      <c r="AR154" s="106">
        <f t="shared" si="367"/>
        <v>59611.114967735797</v>
      </c>
      <c r="AS154" s="1241">
        <f t="shared" si="367"/>
        <v>62796.571653265753</v>
      </c>
      <c r="BE154" s="404">
        <f>SUM(V154:Y154)</f>
        <v>61469.152000000002</v>
      </c>
      <c r="BF154" s="404">
        <f>SUM(Z154:AC154)</f>
        <v>80983.945999999996</v>
      </c>
      <c r="BG154" s="404">
        <f>SUM(AD154:AG154)</f>
        <v>108070</v>
      </c>
      <c r="BH154" s="404">
        <f>SUM(AH154:AK154)</f>
        <v>161844.71592398948</v>
      </c>
      <c r="BI154" s="404">
        <f>SUM(AL154:AO154)</f>
        <v>195032.62138730366</v>
      </c>
      <c r="BJ154" s="404">
        <f>SUM(AP154:AS154)</f>
        <v>233983.08768039598</v>
      </c>
    </row>
    <row r="155" spans="1:62">
      <c r="A155" s="4" t="s">
        <v>374</v>
      </c>
      <c r="B155" s="288">
        <v>0.66221111805121802</v>
      </c>
      <c r="C155" s="38">
        <f t="shared" ref="C155:AS155" si="368">C154/C77</f>
        <v>0.65573770491803274</v>
      </c>
      <c r="D155" s="38">
        <f t="shared" si="368"/>
        <v>0.65217861390420584</v>
      </c>
      <c r="E155" s="38">
        <f t="shared" si="368"/>
        <v>0.65564974782702001</v>
      </c>
      <c r="F155" s="288">
        <f t="shared" si="368"/>
        <v>0.66145670522038136</v>
      </c>
      <c r="G155" s="38">
        <f t="shared" si="368"/>
        <v>0.65440539239287432</v>
      </c>
      <c r="H155" s="38">
        <f t="shared" si="368"/>
        <v>0.65856158002608534</v>
      </c>
      <c r="I155" s="38">
        <f t="shared" si="368"/>
        <v>0.65708104209862073</v>
      </c>
      <c r="J155" s="288">
        <f t="shared" si="368"/>
        <v>0.68505203405865656</v>
      </c>
      <c r="K155" s="38">
        <f t="shared" si="368"/>
        <v>0.67400537401404181</v>
      </c>
      <c r="L155" s="38">
        <f t="shared" si="368"/>
        <v>0.67999328069880738</v>
      </c>
      <c r="M155" s="38">
        <f t="shared" si="368"/>
        <v>0.68014268727705118</v>
      </c>
      <c r="N155" s="288">
        <f t="shared" si="368"/>
        <v>0.7012862616310892</v>
      </c>
      <c r="O155" s="38">
        <f t="shared" si="368"/>
        <v>0.67898559959220084</v>
      </c>
      <c r="P155" s="38">
        <f t="shared" si="368"/>
        <v>0.67607502563174715</v>
      </c>
      <c r="Q155" s="38">
        <f t="shared" si="368"/>
        <v>0.6667049170922027</v>
      </c>
      <c r="R155" s="288">
        <f t="shared" si="368"/>
        <v>0.69634852957253746</v>
      </c>
      <c r="S155" s="38">
        <f t="shared" si="368"/>
        <v>0.6795957946310095</v>
      </c>
      <c r="T155" s="38">
        <f t="shared" si="368"/>
        <v>0.66630995232999324</v>
      </c>
      <c r="U155" s="38">
        <f t="shared" si="368"/>
        <v>0.65926267281105988</v>
      </c>
      <c r="V155" s="288">
        <f t="shared" si="368"/>
        <v>0.69342638451148131</v>
      </c>
      <c r="W155" s="38">
        <f t="shared" si="368"/>
        <v>0.67542395220103679</v>
      </c>
      <c r="X155" s="38">
        <f t="shared" si="368"/>
        <v>0.66952180088666979</v>
      </c>
      <c r="Y155" s="38">
        <f t="shared" si="368"/>
        <v>0.65299999999999991</v>
      </c>
      <c r="Z155" s="288">
        <f t="shared" si="368"/>
        <v>0.67773959526536842</v>
      </c>
      <c r="AA155" s="38">
        <f t="shared" si="368"/>
        <v>0.68835933368588054</v>
      </c>
      <c r="AB155" s="38">
        <f t="shared" si="368"/>
        <v>0.66600000000000015</v>
      </c>
      <c r="AC155" s="1242">
        <f t="shared" si="368"/>
        <v>0.65697504529250195</v>
      </c>
      <c r="AD155" s="288">
        <f t="shared" si="368"/>
        <v>0.66298866778723631</v>
      </c>
      <c r="AE155" s="38">
        <f t="shared" si="368"/>
        <v>0.6598339062147176</v>
      </c>
      <c r="AF155" s="38">
        <f t="shared" si="368"/>
        <v>0.66435070306038047</v>
      </c>
      <c r="AG155" s="1242">
        <f t="shared" si="368"/>
        <v>0.6562106776918929</v>
      </c>
      <c r="AH155" s="288">
        <f t="shared" si="368"/>
        <v>0.67447029433775585</v>
      </c>
      <c r="AI155" s="38">
        <f t="shared" si="368"/>
        <v>0.63785675653227458</v>
      </c>
      <c r="AJ155" s="38">
        <f t="shared" si="368"/>
        <v>0.6509994487835925</v>
      </c>
      <c r="AK155" s="1243">
        <f t="shared" si="368"/>
        <v>0.65067138940520253</v>
      </c>
      <c r="AL155" s="288">
        <f t="shared" si="368"/>
        <v>0.63575515295912832</v>
      </c>
      <c r="AM155" s="38">
        <f t="shared" si="368"/>
        <v>0.64577023165330183</v>
      </c>
      <c r="AN155" s="38">
        <f t="shared" si="368"/>
        <v>0.66191497938779464</v>
      </c>
      <c r="AO155" s="1243">
        <f t="shared" si="368"/>
        <v>0.65548069411857079</v>
      </c>
      <c r="AP155" s="288">
        <f t="shared" si="368"/>
        <v>0.64307819714941794</v>
      </c>
      <c r="AQ155" s="38">
        <f t="shared" si="368"/>
        <v>0.66060153215608619</v>
      </c>
      <c r="AR155" s="38">
        <f t="shared" si="368"/>
        <v>0.66214682984654383</v>
      </c>
      <c r="AS155" s="1243">
        <f t="shared" si="368"/>
        <v>0.6748488641219279</v>
      </c>
      <c r="BE155" s="244">
        <f t="shared" ref="BE155:BJ155" si="369">BE154/BE77*100</f>
        <v>67.260996400004387</v>
      </c>
      <c r="BF155" s="244">
        <f t="shared" si="369"/>
        <v>67.134167288402551</v>
      </c>
      <c r="BG155" s="244">
        <f t="shared" si="369"/>
        <v>66.07280419657377</v>
      </c>
      <c r="BH155" s="244">
        <f t="shared" si="369"/>
        <v>65.283694757987362</v>
      </c>
      <c r="BI155" s="244">
        <f t="shared" si="369"/>
        <v>65.00013585608292</v>
      </c>
      <c r="BJ155" s="244">
        <f t="shared" si="369"/>
        <v>66.056643056363399</v>
      </c>
    </row>
    <row r="156" spans="1:62">
      <c r="B156" s="281"/>
      <c r="E156" s="1115"/>
      <c r="F156" s="281"/>
      <c r="I156" s="1115"/>
      <c r="J156" s="281"/>
      <c r="M156" s="1115"/>
      <c r="N156" s="281"/>
      <c r="R156" s="281"/>
      <c r="V156" s="281"/>
      <c r="W156" s="567"/>
      <c r="Z156" s="281"/>
      <c r="AA156" s="567"/>
      <c r="AB156" s="567"/>
      <c r="AC156" s="1115"/>
      <c r="AD156" s="281"/>
      <c r="AG156" s="1115"/>
      <c r="AH156" s="281"/>
      <c r="AK156" s="1115"/>
      <c r="AL156" s="281"/>
      <c r="AO156" s="1115"/>
      <c r="AP156" s="281"/>
      <c r="AS156" s="1115"/>
    </row>
    <row r="157" spans="1:62">
      <c r="A157" s="4" t="s">
        <v>376</v>
      </c>
      <c r="B157" s="1244">
        <v>7553.8522340295895</v>
      </c>
      <c r="C157" s="23">
        <f t="shared" ref="C157:AG157" si="370">(C162*10^6)/C38/C3</f>
        <v>10061.834041943741</v>
      </c>
      <c r="D157" s="23">
        <f t="shared" si="370"/>
        <v>7841.1159882510128</v>
      </c>
      <c r="E157" s="23">
        <f t="shared" si="370"/>
        <v>8399.5662007593128</v>
      </c>
      <c r="F157" s="1244">
        <f t="shared" si="370"/>
        <v>8644.2004421482488</v>
      </c>
      <c r="G157" s="23">
        <f t="shared" si="370"/>
        <v>8881.0669451955255</v>
      </c>
      <c r="H157" s="23">
        <f t="shared" si="370"/>
        <v>9384.1733560945449</v>
      </c>
      <c r="I157" s="23">
        <f t="shared" si="370"/>
        <v>9533.8186716186847</v>
      </c>
      <c r="J157" s="1244">
        <f t="shared" si="370"/>
        <v>9900.676396051329</v>
      </c>
      <c r="K157" s="23">
        <f t="shared" si="370"/>
        <v>9788.9779551445954</v>
      </c>
      <c r="L157" s="23">
        <f t="shared" si="370"/>
        <v>10340.453591155623</v>
      </c>
      <c r="M157" s="23">
        <f t="shared" si="370"/>
        <v>10709.419681685033</v>
      </c>
      <c r="N157" s="1244">
        <f t="shared" si="370"/>
        <v>7556.4347420861022</v>
      </c>
      <c r="O157" s="23">
        <f t="shared" si="370"/>
        <v>7752.3451058404553</v>
      </c>
      <c r="P157" s="23">
        <f t="shared" si="370"/>
        <v>8018.6253536519334</v>
      </c>
      <c r="Q157" s="23">
        <f t="shared" si="370"/>
        <v>8259.0978059923109</v>
      </c>
      <c r="R157" s="1244">
        <f t="shared" si="370"/>
        <v>8934.1247143083256</v>
      </c>
      <c r="S157" s="23">
        <f t="shared" si="370"/>
        <v>9127.9361761763412</v>
      </c>
      <c r="T157" s="23">
        <f t="shared" si="370"/>
        <v>9636.2237470824675</v>
      </c>
      <c r="U157" s="23">
        <f t="shared" si="370"/>
        <v>10339.630403640787</v>
      </c>
      <c r="V157" s="1244">
        <f t="shared" si="370"/>
        <v>10907.397522213565</v>
      </c>
      <c r="W157" s="23">
        <f t="shared" si="370"/>
        <v>10563.590650212831</v>
      </c>
      <c r="X157" s="23">
        <f t="shared" si="370"/>
        <v>10699.839622846252</v>
      </c>
      <c r="Y157" s="23">
        <f t="shared" si="370"/>
        <v>10125.313362062308</v>
      </c>
      <c r="Z157" s="1244">
        <f t="shared" si="370"/>
        <v>10122.835514697263</v>
      </c>
      <c r="AA157" s="23">
        <f t="shared" si="370"/>
        <v>13523.005808273092</v>
      </c>
      <c r="AB157" s="23">
        <f t="shared" si="370"/>
        <v>11165.282794291943</v>
      </c>
      <c r="AC157" s="23">
        <f t="shared" si="370"/>
        <v>11636.748044308837</v>
      </c>
      <c r="AD157" s="1244">
        <f t="shared" si="370"/>
        <v>12735.561093150789</v>
      </c>
      <c r="AE157" s="23">
        <f t="shared" si="370"/>
        <v>13278.448152815041</v>
      </c>
      <c r="AF157" s="23">
        <f t="shared" si="370"/>
        <v>14048.836930541</v>
      </c>
      <c r="AG157" s="23">
        <f t="shared" si="370"/>
        <v>14071.041829296308</v>
      </c>
      <c r="AH157" s="286">
        <f>AG157*(1+AH158)</f>
        <v>13086.068901245566</v>
      </c>
      <c r="AI157" s="106">
        <f t="shared" ref="AI157" si="371">AH157*(1+AI158)</f>
        <v>14132.954413345213</v>
      </c>
      <c r="AJ157" s="106">
        <f t="shared" ref="AJ157" si="372">AI157*(1+AJ158)</f>
        <v>15122.261222279378</v>
      </c>
      <c r="AK157" s="1241">
        <f t="shared" ref="AK157" si="373">AJ157*(1+AK158)</f>
        <v>15802.762977281949</v>
      </c>
      <c r="AL157" s="286">
        <f t="shared" ref="AL157" si="374">AK157*(1+AL158)</f>
        <v>16276.845866600408</v>
      </c>
      <c r="AM157" s="106">
        <f t="shared" ref="AM157" si="375">AL157*(1+AM158)</f>
        <v>16765.151242598422</v>
      </c>
      <c r="AN157" s="106">
        <f t="shared" ref="AN157" si="376">AM157*(1+AN158)</f>
        <v>17938.711829580312</v>
      </c>
      <c r="AO157" s="1241">
        <f t="shared" ref="AO157" si="377">AN157*(1+AO158)</f>
        <v>18118.098947876115</v>
      </c>
      <c r="AP157" s="286">
        <f t="shared" ref="AP157" si="378">AO157*(1+AP158)</f>
        <v>19024.003895269921</v>
      </c>
      <c r="AQ157" s="106">
        <f t="shared" ref="AQ157" si="379">AP157*(1+AQ158)</f>
        <v>19975.204090033418</v>
      </c>
      <c r="AR157" s="106">
        <f t="shared" ref="AR157" si="380">AQ157*(1+AR158)</f>
        <v>20973.96429453509</v>
      </c>
      <c r="AS157" s="1241">
        <f t="shared" ref="AS157" si="381">AR157*(1+AS158)</f>
        <v>22232.402152207196</v>
      </c>
    </row>
    <row r="158" spans="1:62">
      <c r="A158" s="4" t="s">
        <v>377</v>
      </c>
      <c r="B158" s="288" t="e">
        <v>#DIV/0!</v>
      </c>
      <c r="C158" s="38">
        <f>C157/B157-1</f>
        <v>0.33201361771625137</v>
      </c>
      <c r="D158" s="38">
        <f>D157/C157-1</f>
        <v>-0.22070708425873919</v>
      </c>
      <c r="E158" s="38">
        <f>E157/D157-1</f>
        <v>7.1220756502655025E-2</v>
      </c>
      <c r="F158" s="288">
        <f t="shared" ref="F158:K158" si="382">F157/E157-1</f>
        <v>2.9124628051246493E-2</v>
      </c>
      <c r="G158" s="38">
        <f t="shared" si="382"/>
        <v>2.740178280600003E-2</v>
      </c>
      <c r="H158" s="38">
        <f t="shared" si="382"/>
        <v>5.6649320853412677E-2</v>
      </c>
      <c r="I158" s="38">
        <f>I157/H157-1</f>
        <v>1.5946563415407677E-2</v>
      </c>
      <c r="J158" s="288">
        <f t="shared" si="382"/>
        <v>3.8479620503455436E-2</v>
      </c>
      <c r="K158" s="38">
        <f t="shared" si="382"/>
        <v>-1.1281899987285904E-2</v>
      </c>
      <c r="L158" s="38">
        <f t="shared" ref="L158:AA158" si="383">L157/K157-1</f>
        <v>5.6336385528501509E-2</v>
      </c>
      <c r="M158" s="38">
        <f t="shared" si="383"/>
        <v>3.568180904994267E-2</v>
      </c>
      <c r="N158" s="288">
        <f t="shared" si="383"/>
        <v>-0.29441230555107312</v>
      </c>
      <c r="O158" s="38">
        <f t="shared" si="383"/>
        <v>2.5926295990252646E-2</v>
      </c>
      <c r="P158" s="38">
        <f t="shared" si="383"/>
        <v>3.4348348038694576E-2</v>
      </c>
      <c r="Q158" s="38">
        <f t="shared" si="383"/>
        <v>2.9989236525542307E-2</v>
      </c>
      <c r="R158" s="288">
        <f t="shared" si="383"/>
        <v>8.1731313052892496E-2</v>
      </c>
      <c r="S158" s="38">
        <f t="shared" si="383"/>
        <v>2.1693391134065987E-2</v>
      </c>
      <c r="T158" s="38">
        <f t="shared" si="383"/>
        <v>5.5684829636817978E-2</v>
      </c>
      <c r="U158" s="38">
        <f t="shared" si="383"/>
        <v>7.2996090068092156E-2</v>
      </c>
      <c r="V158" s="288">
        <f t="shared" si="383"/>
        <v>5.4911742142432551E-2</v>
      </c>
      <c r="W158" s="38">
        <f t="shared" si="383"/>
        <v>-3.152052277370021E-2</v>
      </c>
      <c r="X158" s="38">
        <f t="shared" si="383"/>
        <v>1.2897979214167687E-2</v>
      </c>
      <c r="Y158" s="38">
        <f t="shared" si="383"/>
        <v>-5.3694847870169649E-2</v>
      </c>
      <c r="Z158" s="288">
        <f t="shared" si="383"/>
        <v>-2.4471809182025073E-4</v>
      </c>
      <c r="AA158" s="38">
        <f t="shared" si="383"/>
        <v>0.3358910938184414</v>
      </c>
      <c r="AB158" s="38">
        <f>AB157/AA157-1</f>
        <v>-0.17434903507463873</v>
      </c>
      <c r="AC158" s="38">
        <f>AC157/AB157-1</f>
        <v>4.2226001678875802E-2</v>
      </c>
      <c r="AD158" s="288">
        <f t="shared" ref="AD158:AG158" si="384">AD157/AC157-1</f>
        <v>9.442612701229236E-2</v>
      </c>
      <c r="AE158" s="38">
        <f t="shared" si="384"/>
        <v>4.2627651478678752E-2</v>
      </c>
      <c r="AF158" s="38">
        <f t="shared" si="384"/>
        <v>5.8017982889260633E-2</v>
      </c>
      <c r="AG158" s="38">
        <f t="shared" si="384"/>
        <v>1.5805506793973301E-3</v>
      </c>
      <c r="AH158" s="295">
        <v>-7.0000000000000007E-2</v>
      </c>
      <c r="AI158" s="105">
        <v>0.08</v>
      </c>
      <c r="AJ158" s="105">
        <v>7.0000000000000007E-2</v>
      </c>
      <c r="AK158" s="1245">
        <v>4.4999999999999998E-2</v>
      </c>
      <c r="AL158" s="295">
        <v>0.03</v>
      </c>
      <c r="AM158" s="105">
        <v>0.03</v>
      </c>
      <c r="AN158" s="105">
        <v>7.0000000000000007E-2</v>
      </c>
      <c r="AO158" s="1245">
        <v>0.01</v>
      </c>
      <c r="AP158" s="295">
        <v>0.05</v>
      </c>
      <c r="AQ158" s="105">
        <v>0.05</v>
      </c>
      <c r="AR158" s="105">
        <v>0.05</v>
      </c>
      <c r="AS158" s="1245">
        <v>0.06</v>
      </c>
    </row>
    <row r="159" spans="1:62">
      <c r="A159" s="4" t="s">
        <v>378</v>
      </c>
      <c r="B159" s="286">
        <v>95190</v>
      </c>
      <c r="C159" s="106">
        <f t="shared" ref="C159:G159" si="385">B159*(1+C160)</f>
        <v>95380.38</v>
      </c>
      <c r="D159" s="106">
        <f t="shared" si="385"/>
        <v>95571.140760000009</v>
      </c>
      <c r="E159" s="1241">
        <f t="shared" si="385"/>
        <v>95762.283041520015</v>
      </c>
      <c r="F159" s="286">
        <f t="shared" si="385"/>
        <v>95953.807607603056</v>
      </c>
      <c r="G159" s="106">
        <f t="shared" si="385"/>
        <v>96145.715222818268</v>
      </c>
      <c r="H159" s="106">
        <f t="shared" ref="H159:AG159" si="386">G159*(1+H160)</f>
        <v>96338.006653263903</v>
      </c>
      <c r="I159" s="1241">
        <f t="shared" si="386"/>
        <v>96530.682666570428</v>
      </c>
      <c r="J159" s="286">
        <f>I159*(1+J160)</f>
        <v>96723.744031903567</v>
      </c>
      <c r="K159" s="106">
        <f t="shared" si="386"/>
        <v>96917.191519967368</v>
      </c>
      <c r="L159" s="106">
        <f t="shared" ref="L159:R159" si="387">K159*(1+L160)</f>
        <v>97111.025903007307</v>
      </c>
      <c r="M159" s="106">
        <f t="shared" si="387"/>
        <v>97305.247954813327</v>
      </c>
      <c r="N159" s="286">
        <f t="shared" si="387"/>
        <v>97499.858450722953</v>
      </c>
      <c r="O159" s="106">
        <f t="shared" si="387"/>
        <v>97694.858167624407</v>
      </c>
      <c r="P159" s="106">
        <f t="shared" si="387"/>
        <v>97890.247883959659</v>
      </c>
      <c r="Q159" s="106">
        <f t="shared" si="387"/>
        <v>98086.028379727577</v>
      </c>
      <c r="R159" s="286">
        <f t="shared" si="387"/>
        <v>98282.200436487037</v>
      </c>
      <c r="S159" s="106">
        <f t="shared" si="386"/>
        <v>98478.76483736001</v>
      </c>
      <c r="T159" s="106">
        <f t="shared" si="386"/>
        <v>98675.72236703473</v>
      </c>
      <c r="U159" s="106">
        <f t="shared" si="386"/>
        <v>98873.073811768802</v>
      </c>
      <c r="V159" s="286">
        <f t="shared" si="386"/>
        <v>99070.819959392335</v>
      </c>
      <c r="W159" s="106">
        <f t="shared" si="386"/>
        <v>99268.961599311122</v>
      </c>
      <c r="X159" s="106">
        <f t="shared" si="386"/>
        <v>99467.499522509737</v>
      </c>
      <c r="Y159" s="106">
        <f t="shared" si="386"/>
        <v>99666.434521554751</v>
      </c>
      <c r="Z159" s="286">
        <f t="shared" si="386"/>
        <v>99865.767390597859</v>
      </c>
      <c r="AA159" s="106">
        <f t="shared" si="386"/>
        <v>100065.49892537906</v>
      </c>
      <c r="AB159" s="106">
        <f t="shared" si="386"/>
        <v>100265.62992322982</v>
      </c>
      <c r="AC159" s="106">
        <f t="shared" si="386"/>
        <v>100466.16118307628</v>
      </c>
      <c r="AD159" s="286">
        <f t="shared" si="386"/>
        <v>100667.09350544243</v>
      </c>
      <c r="AE159" s="106">
        <f t="shared" si="386"/>
        <v>100868.42769245332</v>
      </c>
      <c r="AF159" s="106">
        <f t="shared" si="386"/>
        <v>101070.16454783823</v>
      </c>
      <c r="AG159" s="106">
        <f t="shared" si="386"/>
        <v>101272.30487693391</v>
      </c>
      <c r="AH159" s="286">
        <f>AG159*(1+AH160)</f>
        <v>101778.66640131857</v>
      </c>
      <c r="AI159" s="106">
        <f t="shared" ref="AI159" si="388">AH159*(1+AI160)</f>
        <v>103814.23972934493</v>
      </c>
      <c r="AJ159" s="106">
        <f t="shared" ref="AJ159" si="389">AI159*(1+AJ160)</f>
        <v>107966.80931851873</v>
      </c>
      <c r="AK159" s="1241">
        <f t="shared" ref="AK159" si="390">AJ159*(1+AK160)</f>
        <v>109046.47741170392</v>
      </c>
      <c r="AL159" s="286">
        <f t="shared" ref="AL159" si="391">AK159*(1+AL160)</f>
        <v>111227.406959938</v>
      </c>
      <c r="AM159" s="106">
        <f t="shared" ref="AM159" si="392">AL159*(1+AM160)</f>
        <v>116788.77730793491</v>
      </c>
      <c r="AN159" s="106">
        <f t="shared" ref="AN159" si="393">AM159*(1+AN160)</f>
        <v>119124.55285409362</v>
      </c>
      <c r="AO159" s="1241">
        <f t="shared" ref="AO159" si="394">AN159*(1+AO160)</f>
        <v>121507.0439111755</v>
      </c>
      <c r="AP159" s="286">
        <f t="shared" ref="AP159" si="395">AO159*(1+AP160)</f>
        <v>122722.11435028726</v>
      </c>
      <c r="AQ159" s="106">
        <f t="shared" ref="AQ159" si="396">AP159*(1+AQ160)</f>
        <v>127630.99892429875</v>
      </c>
      <c r="AR159" s="106">
        <f t="shared" ref="AR159" si="397">AQ159*(1+AR160)</f>
        <v>128907.30891354174</v>
      </c>
      <c r="AS159" s="1241">
        <f t="shared" ref="AS159" si="398">AR159*(1+AS160)</f>
        <v>130196.38200267716</v>
      </c>
    </row>
    <row r="160" spans="1:62">
      <c r="A160" s="4" t="s">
        <v>379</v>
      </c>
      <c r="B160" s="1246">
        <v>2E-3</v>
      </c>
      <c r="C160" s="178">
        <v>2E-3</v>
      </c>
      <c r="D160" s="178">
        <v>2E-3</v>
      </c>
      <c r="E160" s="178">
        <v>2E-3</v>
      </c>
      <c r="F160" s="1246">
        <f>E160</f>
        <v>2E-3</v>
      </c>
      <c r="G160" s="178">
        <f>F160</f>
        <v>2E-3</v>
      </c>
      <c r="H160" s="178">
        <v>2E-3</v>
      </c>
      <c r="I160" s="178">
        <v>2E-3</v>
      </c>
      <c r="J160" s="1246">
        <f>I160</f>
        <v>2E-3</v>
      </c>
      <c r="K160" s="178">
        <v>2E-3</v>
      </c>
      <c r="L160" s="178">
        <v>2E-3</v>
      </c>
      <c r="M160" s="178">
        <v>2E-3</v>
      </c>
      <c r="N160" s="1246">
        <f>M160</f>
        <v>2E-3</v>
      </c>
      <c r="O160" s="178">
        <v>2E-3</v>
      </c>
      <c r="P160" s="178">
        <v>2E-3</v>
      </c>
      <c r="Q160" s="178">
        <v>2E-3</v>
      </c>
      <c r="R160" s="1246">
        <f>Q160</f>
        <v>2E-3</v>
      </c>
      <c r="S160" s="178">
        <v>2E-3</v>
      </c>
      <c r="T160" s="178">
        <v>2E-3</v>
      </c>
      <c r="U160" s="178">
        <v>2E-3</v>
      </c>
      <c r="V160" s="1246">
        <f>U160</f>
        <v>2E-3</v>
      </c>
      <c r="W160" s="178">
        <v>2E-3</v>
      </c>
      <c r="X160" s="178">
        <v>2E-3</v>
      </c>
      <c r="Y160" s="178">
        <v>2E-3</v>
      </c>
      <c r="Z160" s="1246">
        <f>Y160</f>
        <v>2E-3</v>
      </c>
      <c r="AA160" s="178">
        <v>2E-3</v>
      </c>
      <c r="AB160" s="178">
        <v>2E-3</v>
      </c>
      <c r="AC160" s="178">
        <v>2E-3</v>
      </c>
      <c r="AD160" s="1246">
        <f>AC160</f>
        <v>2E-3</v>
      </c>
      <c r="AE160" s="178">
        <f>AD160</f>
        <v>2E-3</v>
      </c>
      <c r="AF160" s="178">
        <f>AE160</f>
        <v>2E-3</v>
      </c>
      <c r="AG160" s="178">
        <f>AF160</f>
        <v>2E-3</v>
      </c>
      <c r="AH160" s="295">
        <v>5.0000000000000001E-3</v>
      </c>
      <c r="AI160" s="105">
        <v>0.02</v>
      </c>
      <c r="AJ160" s="105">
        <v>0.04</v>
      </c>
      <c r="AK160" s="1245">
        <v>0.01</v>
      </c>
      <c r="AL160" s="295">
        <v>0.02</v>
      </c>
      <c r="AM160" s="105">
        <v>0.05</v>
      </c>
      <c r="AN160" s="105">
        <v>0.02</v>
      </c>
      <c r="AO160" s="1245">
        <v>0.02</v>
      </c>
      <c r="AP160" s="295">
        <v>0.01</v>
      </c>
      <c r="AQ160" s="105">
        <v>0.04</v>
      </c>
      <c r="AR160" s="105">
        <v>0.01</v>
      </c>
      <c r="AS160" s="1245">
        <v>0.01</v>
      </c>
    </row>
    <row r="161" spans="1:62">
      <c r="B161" s="281"/>
      <c r="E161" s="1115"/>
      <c r="F161" s="281"/>
      <c r="I161" s="1115"/>
      <c r="J161" s="281"/>
      <c r="M161" s="1115"/>
      <c r="N161" s="281"/>
      <c r="R161" s="281"/>
      <c r="V161" s="281"/>
      <c r="Z161" s="281"/>
      <c r="AD161" s="281"/>
      <c r="AH161" s="281"/>
      <c r="AK161" s="1115"/>
      <c r="AL161" s="281"/>
      <c r="AO161" s="1115"/>
      <c r="AP161" s="281"/>
      <c r="AS161" s="1115"/>
    </row>
    <row r="162" spans="1:62">
      <c r="A162" s="4" t="s">
        <v>380</v>
      </c>
      <c r="B162" s="380">
        <v>3392.2501199999997</v>
      </c>
      <c r="C162" s="289">
        <f t="shared" ref="C162:U162" si="399">C154-C163</f>
        <v>5042.1316393400002</v>
      </c>
      <c r="D162" s="289">
        <f t="shared" si="399"/>
        <v>4059.1249412913198</v>
      </c>
      <c r="E162" s="290">
        <f t="shared" si="399"/>
        <v>4093.8208928438376</v>
      </c>
      <c r="F162" s="380">
        <f t="shared" si="399"/>
        <v>4314.8347706024988</v>
      </c>
      <c r="G162" s="289">
        <f t="shared" si="399"/>
        <v>4646.2779533330067</v>
      </c>
      <c r="H162" s="289">
        <f t="shared" si="399"/>
        <v>4897.0596400021659</v>
      </c>
      <c r="I162" s="290">
        <f t="shared" si="399"/>
        <v>5023.5214084982581</v>
      </c>
      <c r="J162" s="380">
        <f t="shared" si="399"/>
        <v>5071.6798688524668</v>
      </c>
      <c r="K162" s="289">
        <f t="shared" si="399"/>
        <v>5520.6400361388387</v>
      </c>
      <c r="L162" s="289">
        <f t="shared" si="399"/>
        <v>5756.0127198411355</v>
      </c>
      <c r="M162" s="289">
        <f t="shared" si="399"/>
        <v>5972.3166600589575</v>
      </c>
      <c r="N162" s="380">
        <f t="shared" si="399"/>
        <v>5576.4417850230457</v>
      </c>
      <c r="O162" s="289">
        <f t="shared" si="399"/>
        <v>5931.1835744391801</v>
      </c>
      <c r="P162" s="289">
        <f t="shared" si="399"/>
        <v>6047.8556680872716</v>
      </c>
      <c r="Q162" s="289">
        <f t="shared" ref="Q162" si="400">Q154-Q163</f>
        <v>6356.6174014388444</v>
      </c>
      <c r="R162" s="380">
        <f t="shared" si="399"/>
        <v>7474.431376571205</v>
      </c>
      <c r="S162" s="289">
        <f t="shared" si="399"/>
        <v>7994.176034984318</v>
      </c>
      <c r="T162" s="289">
        <f t="shared" si="399"/>
        <v>8502.0719576079991</v>
      </c>
      <c r="U162" s="289">
        <f t="shared" si="399"/>
        <v>8868.5544041808243</v>
      </c>
      <c r="V162" s="380">
        <f t="shared" ref="V162:W162" si="401">V154-V163</f>
        <v>9715.801182466279</v>
      </c>
      <c r="W162" s="289">
        <f t="shared" si="401"/>
        <v>9586.0338518867266</v>
      </c>
      <c r="X162" s="289">
        <f t="shared" ref="X162:AA162" si="402">X154-X163</f>
        <v>9761.2320079377805</v>
      </c>
      <c r="Y162" s="289">
        <f t="shared" si="402"/>
        <v>9298.4697042374901</v>
      </c>
      <c r="Z162" s="380">
        <f t="shared" si="402"/>
        <v>9789.1096430032194</v>
      </c>
      <c r="AA162" s="289">
        <f t="shared" si="402"/>
        <v>14147.012543912559</v>
      </c>
      <c r="AB162" s="289">
        <f t="shared" ref="AB162:AD162" si="403">AB154-AB163</f>
        <v>13873.143398550968</v>
      </c>
      <c r="AC162" s="289">
        <f t="shared" si="403"/>
        <v>14666.365958468348</v>
      </c>
      <c r="AD162" s="380">
        <f t="shared" si="403"/>
        <v>16335.710673382566</v>
      </c>
      <c r="AE162" s="289">
        <f t="shared" ref="AE162:AF162" si="404">AE154-AE163</f>
        <v>17984.738284279691</v>
      </c>
      <c r="AF162" s="289">
        <f t="shared" si="404"/>
        <v>19659.446550273788</v>
      </c>
      <c r="AG162" s="289">
        <f t="shared" ref="AG162" si="405">AG154-AG163</f>
        <v>20613.136204287868</v>
      </c>
      <c r="AH162" s="1247">
        <f t="shared" ref="AH162:AS162" si="406">AH157*AH3*AH38/1000000</f>
        <v>26369.973761601013</v>
      </c>
      <c r="AI162" s="20">
        <f t="shared" si="406"/>
        <v>28508.051234191618</v>
      </c>
      <c r="AJ162" s="20">
        <f t="shared" si="406"/>
        <v>30473.111205764446</v>
      </c>
      <c r="AK162" s="1248">
        <f t="shared" si="406"/>
        <v>32003.623216073964</v>
      </c>
      <c r="AL162" s="1247">
        <f t="shared" si="406"/>
        <v>33837.182669918293</v>
      </c>
      <c r="AM162" s="20">
        <f t="shared" si="406"/>
        <v>35200.821131516008</v>
      </c>
      <c r="AN162" s="20">
        <f t="shared" si="406"/>
        <v>37627.213732111406</v>
      </c>
      <c r="AO162" s="1248">
        <f t="shared" si="406"/>
        <v>38193.503298779673</v>
      </c>
      <c r="AP162" s="1247">
        <f t="shared" si="406"/>
        <v>40936.736675765576</v>
      </c>
      <c r="AQ162" s="20">
        <f t="shared" si="406"/>
        <v>43413.409244649396</v>
      </c>
      <c r="AR162" s="20">
        <f t="shared" si="406"/>
        <v>45538.495627174991</v>
      </c>
      <c r="AS162" s="1248">
        <f t="shared" si="406"/>
        <v>48512.15939162951</v>
      </c>
    </row>
    <row r="163" spans="1:62">
      <c r="A163" s="4" t="s">
        <v>381</v>
      </c>
      <c r="B163" s="381">
        <v>1908.7498800000001</v>
      </c>
      <c r="C163" s="291">
        <f t="shared" ref="C163:AS163" si="407">C159*C39/1000000</f>
        <v>677.86836066000012</v>
      </c>
      <c r="D163" s="291">
        <f t="shared" si="407"/>
        <v>1972.8750587086802</v>
      </c>
      <c r="E163" s="1249">
        <f t="shared" si="407"/>
        <v>2016.1791071561624</v>
      </c>
      <c r="F163" s="381">
        <f t="shared" si="407"/>
        <v>2033.1652293975012</v>
      </c>
      <c r="G163" s="291">
        <f t="shared" si="407"/>
        <v>2149.7220466669937</v>
      </c>
      <c r="H163" s="291">
        <f t="shared" si="407"/>
        <v>2171.9403599978345</v>
      </c>
      <c r="I163" s="1249">
        <f t="shared" si="407"/>
        <v>2265.4785915017414</v>
      </c>
      <c r="J163" s="381">
        <f t="shared" si="407"/>
        <v>2169.3201311475336</v>
      </c>
      <c r="K163" s="291">
        <f t="shared" si="407"/>
        <v>2255.3599638611608</v>
      </c>
      <c r="L163" s="291">
        <f t="shared" si="407"/>
        <v>2339.987280158864</v>
      </c>
      <c r="M163" s="291">
        <f t="shared" si="407"/>
        <v>2607.6833399410425</v>
      </c>
      <c r="N163" s="381">
        <f t="shared" si="407"/>
        <v>4673.5582149769543</v>
      </c>
      <c r="O163" s="291">
        <f t="shared" si="407"/>
        <v>4724.8164255608199</v>
      </c>
      <c r="P163" s="291">
        <f t="shared" si="407"/>
        <v>5162.1443319127284</v>
      </c>
      <c r="Q163" s="291">
        <f t="shared" si="407"/>
        <v>5263.3825985611556</v>
      </c>
      <c r="R163" s="381">
        <f t="shared" si="407"/>
        <v>5264.568623428795</v>
      </c>
      <c r="S163" s="291">
        <f t="shared" si="407"/>
        <v>5321.823965015682</v>
      </c>
      <c r="T163" s="291">
        <f t="shared" si="407"/>
        <v>5195.9280423920009</v>
      </c>
      <c r="U163" s="291">
        <f t="shared" si="407"/>
        <v>5437.4455958191766</v>
      </c>
      <c r="V163" s="381">
        <f t="shared" si="407"/>
        <v>5685.198817533721</v>
      </c>
      <c r="W163" s="291">
        <f t="shared" si="407"/>
        <v>5787.9661481132734</v>
      </c>
      <c r="X163" s="291">
        <f t="shared" si="407"/>
        <v>5793.7679920622195</v>
      </c>
      <c r="Y163" s="291">
        <f t="shared" si="407"/>
        <v>5840.6822957625072</v>
      </c>
      <c r="Z163" s="381">
        <f t="shared" si="407"/>
        <v>6185.8903569967815</v>
      </c>
      <c r="AA163" s="291">
        <f t="shared" si="407"/>
        <v>6679.9874560874423</v>
      </c>
      <c r="AB163" s="291">
        <f t="shared" si="407"/>
        <v>7825.8026014490351</v>
      </c>
      <c r="AC163" s="291">
        <f t="shared" si="407"/>
        <v>7816.6340415316527</v>
      </c>
      <c r="AD163" s="381">
        <f t="shared" si="407"/>
        <v>8119.2893266174342</v>
      </c>
      <c r="AE163" s="291">
        <f t="shared" si="407"/>
        <v>8314.2617157203094</v>
      </c>
      <c r="AF163" s="291">
        <f t="shared" si="407"/>
        <v>8452.5534497262124</v>
      </c>
      <c r="AG163" s="291">
        <f t="shared" si="407"/>
        <v>8590.8637957121337</v>
      </c>
      <c r="AH163" s="1247">
        <f t="shared" si="407"/>
        <v>10698.345458090645</v>
      </c>
      <c r="AI163" s="20">
        <f t="shared" si="407"/>
        <v>10923.224679619705</v>
      </c>
      <c r="AJ163" s="20">
        <f t="shared" si="407"/>
        <v>11348.793513137689</v>
      </c>
      <c r="AK163" s="1248">
        <f t="shared" si="407"/>
        <v>11519.592855510411</v>
      </c>
      <c r="AL163" s="1247">
        <f t="shared" si="407"/>
        <v>11808.734636183719</v>
      </c>
      <c r="AM163" s="20">
        <f t="shared" si="407"/>
        <v>12523.163081672838</v>
      </c>
      <c r="AN163" s="20">
        <f t="shared" si="407"/>
        <v>12760.852716962989</v>
      </c>
      <c r="AO163" s="1248">
        <f t="shared" si="407"/>
        <v>13081.150120158758</v>
      </c>
      <c r="AP163" s="1247">
        <f t="shared" si="407"/>
        <v>13278.021429467146</v>
      </c>
      <c r="AQ163" s="20">
        <f t="shared" si="407"/>
        <v>13947.233709512293</v>
      </c>
      <c r="AR163" s="20">
        <f t="shared" si="407"/>
        <v>14072.619340560808</v>
      </c>
      <c r="AS163" s="1248">
        <f t="shared" si="407"/>
        <v>14284.412261636247</v>
      </c>
    </row>
    <row r="164" spans="1:62">
      <c r="B164" s="281"/>
      <c r="E164" s="1115"/>
      <c r="F164" s="281"/>
      <c r="I164" s="1115"/>
      <c r="J164" s="281"/>
      <c r="M164" s="1115"/>
      <c r="N164" s="281"/>
      <c r="R164" s="281"/>
      <c r="V164" s="281"/>
      <c r="Z164" s="281"/>
      <c r="AC164" s="1115"/>
      <c r="AD164" s="281"/>
      <c r="AG164" s="1115"/>
      <c r="AH164" s="281"/>
      <c r="AK164" s="1115"/>
      <c r="AL164" s="281"/>
      <c r="AO164" s="1115"/>
      <c r="AP164" s="281"/>
      <c r="AS164" s="1115"/>
    </row>
    <row r="165" spans="1:62" ht="15" thickBot="1">
      <c r="A165" s="6" t="s">
        <v>382</v>
      </c>
      <c r="B165" s="1240">
        <v>1417</v>
      </c>
      <c r="C165" s="176">
        <f>'P&amp;L consol'!K20</f>
        <v>1450</v>
      </c>
      <c r="D165" s="176">
        <f>'P&amp;L consol'!L20</f>
        <v>1540</v>
      </c>
      <c r="E165" s="176">
        <f>'P&amp;L consol'!M20</f>
        <v>1624</v>
      </c>
      <c r="F165" s="1240">
        <f>'P&amp;L consol'!N20</f>
        <v>1843</v>
      </c>
      <c r="G165" s="176">
        <f>'P&amp;L consol'!O20</f>
        <v>1691</v>
      </c>
      <c r="H165" s="176">
        <f>'P&amp;L consol'!P20</f>
        <v>1725</v>
      </c>
      <c r="I165" s="176">
        <f>'P&amp;L consol'!Q20</f>
        <v>1816</v>
      </c>
      <c r="J165" s="1240">
        <f>'P&amp;L consol'!R20</f>
        <v>1523</v>
      </c>
      <c r="K165" s="176">
        <f>'P&amp;L consol'!S20</f>
        <v>1589</v>
      </c>
      <c r="L165" s="176">
        <f>'P&amp;L consol'!T20</f>
        <v>1665</v>
      </c>
      <c r="M165" s="176">
        <f>'P&amp;L consol'!U20</f>
        <v>1767</v>
      </c>
      <c r="N165" s="1240">
        <f>'P&amp;L consol'!V20</f>
        <v>2007</v>
      </c>
      <c r="O165" s="176">
        <f>'P&amp;L consol'!W20</f>
        <v>2115</v>
      </c>
      <c r="P165" s="176">
        <f>'P&amp;L consol'!X20</f>
        <v>2145</v>
      </c>
      <c r="Q165" s="176">
        <f>'P&amp;L consol'!Y20</f>
        <v>2260</v>
      </c>
      <c r="R165" s="1240">
        <f>'P&amp;L consol'!Z20</f>
        <v>2543</v>
      </c>
      <c r="S165" s="176">
        <f>'P&amp;L consol'!AA20</f>
        <v>2682</v>
      </c>
      <c r="T165" s="176">
        <f>'P&amp;L consol'!AB20</f>
        <v>3063</v>
      </c>
      <c r="U165" s="176">
        <f>'P&amp;L consol'!AC20</f>
        <v>3150</v>
      </c>
      <c r="V165" s="1240">
        <f>'P&amp;L consol'!AD20</f>
        <v>3264</v>
      </c>
      <c r="W165" s="176">
        <f>'P&amp;L consol'!AE20</f>
        <v>3392</v>
      </c>
      <c r="X165" s="176">
        <f>'P&amp;L consol'!AF20</f>
        <v>3508</v>
      </c>
      <c r="Y165" s="176">
        <f>'P&amp;L consol'!AG20</f>
        <v>3590.8480000000018</v>
      </c>
      <c r="Z165" s="1240">
        <f>'P&amp;L consol'!AH20</f>
        <v>3162</v>
      </c>
      <c r="AA165" s="176">
        <f>'P&amp;L consol'!BB20</f>
        <v>0</v>
      </c>
      <c r="AB165" s="176">
        <f>'P&amp;L consol'!AJ20</f>
        <v>5581</v>
      </c>
      <c r="AC165" s="176">
        <f>'P&amp;L consol'!AK20</f>
        <v>5252</v>
      </c>
      <c r="AD165" s="1240">
        <f>'P&amp;L consol'!AL20</f>
        <v>5525</v>
      </c>
      <c r="AE165" s="176">
        <f>'P&amp;L consol'!AM20</f>
        <v>5715</v>
      </c>
      <c r="AF165" s="176">
        <f>'P&amp;L consol'!AN20</f>
        <v>6024</v>
      </c>
      <c r="AG165" s="176">
        <f>'P&amp;L consol'!AO20</f>
        <v>5751</v>
      </c>
      <c r="AH165" s="1244">
        <f t="shared" ref="AH165:AS165" si="408">AH166*AH77</f>
        <v>6595.0989149649122</v>
      </c>
      <c r="AI165" s="23">
        <f t="shared" si="408"/>
        <v>8654.574199300283</v>
      </c>
      <c r="AJ165" s="23">
        <f t="shared" si="408"/>
        <v>8993.9656194588588</v>
      </c>
      <c r="AK165" s="1250">
        <f t="shared" si="408"/>
        <v>9030.1099223603142</v>
      </c>
      <c r="AL165" s="1244">
        <f t="shared" si="408"/>
        <v>10051.713136904944</v>
      </c>
      <c r="AM165" s="23">
        <f t="shared" si="408"/>
        <v>10346.339088348524</v>
      </c>
      <c r="AN165" s="23">
        <f t="shared" si="408"/>
        <v>10657.455296441496</v>
      </c>
      <c r="AO165" s="1250">
        <f t="shared" si="408"/>
        <v>10951.430824830459</v>
      </c>
      <c r="AP165" s="1244">
        <f t="shared" si="408"/>
        <v>11802.711036351688</v>
      </c>
      <c r="AQ165" s="23">
        <f t="shared" si="408"/>
        <v>11722.175050877961</v>
      </c>
      <c r="AR165" s="23">
        <f t="shared" si="408"/>
        <v>12603.784718590499</v>
      </c>
      <c r="AS165" s="1250">
        <f t="shared" si="408"/>
        <v>12096.863088813918</v>
      </c>
      <c r="BE165" s="404">
        <f>SUM(V165:Y165)</f>
        <v>13754.848000000002</v>
      </c>
      <c r="BF165" s="404">
        <f>SUM(Z165:AC165)</f>
        <v>13995</v>
      </c>
      <c r="BG165" s="404">
        <f>SUM(AD165:AG165)</f>
        <v>23015</v>
      </c>
      <c r="BH165" s="404">
        <f>SUM(AH165:AK165)</f>
        <v>33273.748656084368</v>
      </c>
      <c r="BI165" s="404">
        <f>SUM(AL165:AO165)</f>
        <v>42006.938346525421</v>
      </c>
      <c r="BJ165" s="404">
        <f>SUM(AP165:AS165)</f>
        <v>48225.533894634063</v>
      </c>
    </row>
    <row r="166" spans="1:62">
      <c r="A166" s="4" t="s">
        <v>374</v>
      </c>
      <c r="B166" s="288">
        <v>0.17701436602123674</v>
      </c>
      <c r="C166" s="38">
        <f t="shared" ref="C166:AG166" si="409">C165/C77</f>
        <v>0.16622721540754329</v>
      </c>
      <c r="D166" s="38">
        <f t="shared" si="409"/>
        <v>0.1665044869715645</v>
      </c>
      <c r="E166" s="38">
        <f t="shared" si="409"/>
        <v>0.17426762528168258</v>
      </c>
      <c r="F166" s="288">
        <f t="shared" si="409"/>
        <v>0.19203917891007607</v>
      </c>
      <c r="G166" s="38">
        <f t="shared" si="409"/>
        <v>0.16283100625902744</v>
      </c>
      <c r="H166" s="38">
        <f t="shared" si="409"/>
        <v>0.16070430408049188</v>
      </c>
      <c r="I166" s="38">
        <f t="shared" si="409"/>
        <v>0.16370684215270892</v>
      </c>
      <c r="J166" s="288">
        <f t="shared" si="409"/>
        <v>0.14408703878902554</v>
      </c>
      <c r="K166" s="38">
        <f t="shared" si="409"/>
        <v>0.13773077923203605</v>
      </c>
      <c r="L166" s="38">
        <f t="shared" si="409"/>
        <v>0.13984545607256846</v>
      </c>
      <c r="M166" s="38">
        <f t="shared" si="409"/>
        <v>0.14007134363852555</v>
      </c>
      <c r="N166" s="288">
        <f t="shared" si="409"/>
        <v>0.1373152709359606</v>
      </c>
      <c r="O166" s="38">
        <f t="shared" si="409"/>
        <v>0.13476487829743852</v>
      </c>
      <c r="P166" s="38">
        <f t="shared" si="409"/>
        <v>0.12936493576985705</v>
      </c>
      <c r="Q166" s="38">
        <f t="shared" si="409"/>
        <v>0.12966894256698605</v>
      </c>
      <c r="R166" s="288">
        <f t="shared" si="409"/>
        <v>0.1390073248059473</v>
      </c>
      <c r="S166" s="38">
        <f t="shared" si="409"/>
        <v>0.13687863631723998</v>
      </c>
      <c r="T166" s="38">
        <f t="shared" si="409"/>
        <v>0.14899309271329897</v>
      </c>
      <c r="U166" s="38">
        <f t="shared" si="409"/>
        <v>0.14516129032258066</v>
      </c>
      <c r="V166" s="288">
        <f t="shared" si="409"/>
        <v>0.14696082845565062</v>
      </c>
      <c r="W166" s="38">
        <f t="shared" si="409"/>
        <v>0.14902029698620509</v>
      </c>
      <c r="X166" s="38">
        <f t="shared" si="409"/>
        <v>0.15099212327293074</v>
      </c>
      <c r="Y166" s="38">
        <f t="shared" si="409"/>
        <v>0.15488474810213948</v>
      </c>
      <c r="Z166" s="288">
        <f t="shared" si="409"/>
        <v>0.13414789359806542</v>
      </c>
      <c r="AA166" s="38">
        <f t="shared" si="409"/>
        <v>0</v>
      </c>
      <c r="AB166" s="38">
        <f t="shared" si="409"/>
        <v>0.17129615420030078</v>
      </c>
      <c r="AC166" s="38">
        <f t="shared" si="409"/>
        <v>0.15346852901642219</v>
      </c>
      <c r="AD166" s="288">
        <f t="shared" si="409"/>
        <v>0.14978582660087839</v>
      </c>
      <c r="AE166" s="38">
        <f t="shared" si="409"/>
        <v>0.1433876107082821</v>
      </c>
      <c r="AF166" s="38">
        <f t="shared" si="409"/>
        <v>0.1423608649415101</v>
      </c>
      <c r="AG166" s="38">
        <f t="shared" si="409"/>
        <v>0.12922433938522379</v>
      </c>
      <c r="AH166" s="1251">
        <v>0.12</v>
      </c>
      <c r="AI166" s="105">
        <v>0.14000000000000001</v>
      </c>
      <c r="AJ166" s="105">
        <v>0.14000000000000001</v>
      </c>
      <c r="AK166" s="1245">
        <v>0.13500000000000001</v>
      </c>
      <c r="AL166" s="1251">
        <v>0.14000000000000001</v>
      </c>
      <c r="AM166" s="105">
        <v>0.14000000000000001</v>
      </c>
      <c r="AN166" s="105">
        <v>0.14000000000000001</v>
      </c>
      <c r="AO166" s="1245">
        <v>0.14000000000000001</v>
      </c>
      <c r="AP166" s="1251">
        <v>0.14000000000000001</v>
      </c>
      <c r="AQ166" s="105">
        <v>0.13500000000000001</v>
      </c>
      <c r="AR166" s="105">
        <v>0.14000000000000001</v>
      </c>
      <c r="AS166" s="1245">
        <v>0.13</v>
      </c>
      <c r="BE166" s="244">
        <f t="shared" ref="BE166:BJ166" si="410">BE165/BE77*100</f>
        <v>15.0508792086575</v>
      </c>
      <c r="BF166" s="244">
        <f t="shared" si="410"/>
        <v>11.601591643869684</v>
      </c>
      <c r="BG166" s="244">
        <f t="shared" si="410"/>
        <v>14.071116763062324</v>
      </c>
      <c r="BH166" s="244">
        <f t="shared" si="410"/>
        <v>13.421712524355724</v>
      </c>
      <c r="BI166" s="244">
        <f t="shared" si="410"/>
        <v>14.000000000000002</v>
      </c>
      <c r="BJ166" s="244">
        <f t="shared" si="410"/>
        <v>13.614731347727659</v>
      </c>
    </row>
    <row r="167" spans="1:62">
      <c r="Y167" s="19">
        <f t="shared" ref="Y167:Z167" si="411">Y165/X165-1</f>
        <v>2.3616875712657359E-2</v>
      </c>
      <c r="Z167" s="19">
        <f t="shared" si="411"/>
        <v>-0.11942805710517446</v>
      </c>
      <c r="AC167" s="19">
        <f t="shared" ref="AC167:AK167" si="412">AC165/AB165-1</f>
        <v>-5.8950008958967959E-2</v>
      </c>
      <c r="AD167" s="19">
        <f t="shared" si="412"/>
        <v>5.1980198019802026E-2</v>
      </c>
      <c r="AE167" s="38">
        <f t="shared" si="412"/>
        <v>3.4389140271493313E-2</v>
      </c>
      <c r="AF167" s="38">
        <f t="shared" si="412"/>
        <v>5.4068241469816369E-2</v>
      </c>
      <c r="AG167" s="19">
        <f t="shared" si="412"/>
        <v>-4.5318725099601553E-2</v>
      </c>
      <c r="AH167" s="19">
        <f t="shared" si="412"/>
        <v>0.14677428533557846</v>
      </c>
      <c r="AI167" s="19">
        <f t="shared" si="412"/>
        <v>0.3122736005766682</v>
      </c>
      <c r="AJ167" s="19">
        <f t="shared" si="412"/>
        <v>3.9215264938859296E-2</v>
      </c>
      <c r="AK167" s="19">
        <f t="shared" si="412"/>
        <v>4.0187281596069102E-3</v>
      </c>
      <c r="AL167" s="19">
        <f t="shared" ref="AL167" si="413">AL165/AK165-1</f>
        <v>0.11313297660031152</v>
      </c>
      <c r="AM167" s="19">
        <f t="shared" ref="AM167" si="414">AM165/AL165-1</f>
        <v>2.9311018672216083E-2</v>
      </c>
      <c r="AN167" s="19">
        <f t="shared" ref="AN167" si="415">AN165/AM165-1</f>
        <v>3.0070173172976E-2</v>
      </c>
      <c r="AO167" s="19">
        <f t="shared" ref="AO167" si="416">AO165/AN165-1</f>
        <v>2.7584026412676543E-2</v>
      </c>
      <c r="AP167" s="19">
        <f t="shared" ref="AP167" si="417">AP165/AO165-1</f>
        <v>7.7732327869989293E-2</v>
      </c>
      <c r="AQ167" s="19">
        <f t="shared" ref="AQ167" si="418">AQ165/AP165-1</f>
        <v>-6.823515819855408E-3</v>
      </c>
      <c r="AR167" s="19">
        <f t="shared" ref="AR167" si="419">AR165/AQ165-1</f>
        <v>7.5208710319208949E-2</v>
      </c>
      <c r="AS167" s="19">
        <f t="shared" ref="AS167" si="420">AS165/AR165-1</f>
        <v>-4.021979437881662E-2</v>
      </c>
    </row>
    <row r="168" spans="1:62">
      <c r="Y168" s="19"/>
      <c r="Z168" s="19"/>
      <c r="AC168" s="19"/>
      <c r="AD168" s="19"/>
      <c r="AE168" s="38"/>
      <c r="AF168" s="38"/>
      <c r="AG168" s="19"/>
      <c r="AH168" s="19"/>
      <c r="AI168" s="19"/>
      <c r="AJ168" s="19"/>
      <c r="AK168" s="19"/>
      <c r="AL168" s="19"/>
      <c r="AM168" s="19"/>
      <c r="AN168" s="19"/>
      <c r="AO168" s="19"/>
      <c r="AP168" s="19"/>
      <c r="AQ168" s="19"/>
      <c r="AR168" s="19"/>
      <c r="AS168" s="19"/>
    </row>
    <row r="169" spans="1:62" ht="15" thickBot="1">
      <c r="A169" s="6" t="s">
        <v>383</v>
      </c>
      <c r="B169" s="1240"/>
      <c r="C169" s="176"/>
      <c r="D169" s="176"/>
      <c r="E169" s="176"/>
      <c r="F169" s="1240"/>
      <c r="G169" s="176"/>
      <c r="H169" s="176"/>
      <c r="I169" s="176"/>
      <c r="J169" s="1240"/>
      <c r="K169" s="176"/>
      <c r="L169" s="176"/>
      <c r="M169" s="176"/>
      <c r="N169" s="1240"/>
      <c r="O169" s="176"/>
      <c r="P169" s="176"/>
      <c r="Q169" s="176"/>
      <c r="R169" s="1240"/>
      <c r="S169" s="176"/>
      <c r="T169" s="176"/>
      <c r="U169" s="176"/>
      <c r="V169" s="1240"/>
      <c r="W169" s="176"/>
      <c r="X169" s="176"/>
      <c r="Y169" s="176"/>
      <c r="Z169" s="1240">
        <f>'P&amp;L consol'!AH22</f>
        <v>199</v>
      </c>
      <c r="AA169" s="176">
        <f>'P&amp;L consol'!AI22</f>
        <v>220</v>
      </c>
      <c r="AB169" s="176">
        <f>'P&amp;L consol'!AJ22</f>
        <v>695</v>
      </c>
      <c r="AC169" s="176">
        <f>'P&amp;L consol'!AK22</f>
        <v>616</v>
      </c>
      <c r="AD169" s="1240">
        <f>'P&amp;L consol'!AL22</f>
        <v>593</v>
      </c>
      <c r="AE169" s="176">
        <f>'P&amp;L consol'!AM22</f>
        <v>561</v>
      </c>
      <c r="AF169" s="176">
        <f>'P&amp;L consol'!AN22</f>
        <v>444</v>
      </c>
      <c r="AG169" s="176">
        <f>'P&amp;L consol'!AO22</f>
        <v>381</v>
      </c>
      <c r="AH169" s="1240">
        <f>'P&amp;L consol'!AP22</f>
        <v>384.71410337295322</v>
      </c>
      <c r="AI169" s="176">
        <f>'P&amp;L consol'!AQ22</f>
        <v>432.72870996501416</v>
      </c>
      <c r="AJ169" s="176">
        <f>'P&amp;L consol'!AR22</f>
        <v>449.69828097294294</v>
      </c>
      <c r="AK169" s="176">
        <f>'P&amp;L consol'!AS22</f>
        <v>468.22792190016446</v>
      </c>
      <c r="AL169" s="1240">
        <f>'P&amp;L consol'!AT22</f>
        <v>502.58565684524717</v>
      </c>
      <c r="AM169" s="176">
        <f>'P&amp;L consol'!AU22</f>
        <v>517.31695441742625</v>
      </c>
      <c r="AN169" s="176">
        <f>'P&amp;L consol'!AV22</f>
        <v>532.87276482207483</v>
      </c>
      <c r="AO169" s="176">
        <f>'P&amp;L consol'!AW22</f>
        <v>547.57154124152294</v>
      </c>
      <c r="AP169" s="1240">
        <f>'P&amp;L consol'!AX22</f>
        <v>590.13555181758431</v>
      </c>
      <c r="AQ169" s="176">
        <f>'P&amp;L consol'!AY22</f>
        <v>607.81648411959793</v>
      </c>
      <c r="AR169" s="176">
        <f>'P&amp;L consol'!AZ22</f>
        <v>630.1892359295249</v>
      </c>
      <c r="AS169" s="176">
        <f>'P&amp;L consol'!BA22</f>
        <v>651.36955093613403</v>
      </c>
      <c r="BE169" s="404"/>
      <c r="BF169" s="404">
        <f>SUM(Z169:AC169)</f>
        <v>1730</v>
      </c>
      <c r="BG169" s="404">
        <f>SUM(AD169:AG169)</f>
        <v>1979</v>
      </c>
      <c r="BH169" s="404">
        <f>SUM(AH169:AK169)</f>
        <v>1735.3690162110747</v>
      </c>
      <c r="BI169" s="404">
        <f>SUM(AI169:AL169)</f>
        <v>1853.2405696833689</v>
      </c>
      <c r="BJ169" s="404">
        <f>SUM(AJ169:AM169)</f>
        <v>1937.8288141357807</v>
      </c>
    </row>
    <row r="171" spans="1:62" ht="15" thickBot="1">
      <c r="A171" s="93" t="s">
        <v>72</v>
      </c>
      <c r="B171" s="184"/>
      <c r="C171" s="184"/>
      <c r="D171" s="184"/>
      <c r="E171" s="184"/>
      <c r="F171" s="184"/>
      <c r="G171" s="184"/>
      <c r="H171" s="184"/>
      <c r="I171" s="184"/>
      <c r="J171" s="184"/>
      <c r="K171" s="184"/>
      <c r="L171" s="184"/>
      <c r="M171" s="184"/>
      <c r="N171" s="185"/>
      <c r="O171" s="185"/>
      <c r="P171" s="185"/>
      <c r="Q171" s="184"/>
      <c r="R171" s="382"/>
      <c r="S171" s="382"/>
      <c r="T171" s="382"/>
      <c r="U171" s="184"/>
      <c r="V171" s="382"/>
      <c r="W171" s="382"/>
      <c r="X171" s="382"/>
      <c r="Y171" s="382"/>
      <c r="Z171" s="645">
        <f>Z75-Z154-Z165-Z169</f>
        <v>4235</v>
      </c>
      <c r="AA171" s="645">
        <f>AA75-AA154-AA165-AA169</f>
        <v>-21047</v>
      </c>
      <c r="AB171" s="645">
        <f>AB77-AB154-AB165-AB169</f>
        <v>4606.0539999999964</v>
      </c>
      <c r="AC171" s="645">
        <f>AC77-AC154-AC165-AC169</f>
        <v>5871</v>
      </c>
      <c r="AD171" s="645">
        <f>AD75-AD154-AD165-AD169</f>
        <v>6313</v>
      </c>
      <c r="AE171" s="645">
        <f>AE75-AE154-AE165-AE169</f>
        <v>7282</v>
      </c>
      <c r="AF171" s="645">
        <f>AF75-AF154-AF165-AF169</f>
        <v>7735</v>
      </c>
      <c r="AG171" s="645">
        <f>AG75-AG154-AG165-AG169</f>
        <v>9168</v>
      </c>
      <c r="AH171" s="645">
        <f t="shared" ref="AH171:AS171" si="421">AH77-AH154-AH165-AH169</f>
        <v>10911.025386678079</v>
      </c>
      <c r="AI171" s="645">
        <f t="shared" si="421"/>
        <v>13299.808314782542</v>
      </c>
      <c r="AJ171" s="645">
        <f t="shared" si="421"/>
        <v>12977.042948229337</v>
      </c>
      <c r="AK171" s="645">
        <f t="shared" si="421"/>
        <v>13868.149212750062</v>
      </c>
      <c r="AL171" s="645">
        <f t="shared" si="421"/>
        <v>15597.734878040252</v>
      </c>
      <c r="AM171" s="645">
        <f t="shared" si="421"/>
        <v>15314.781803677519</v>
      </c>
      <c r="AN171" s="645">
        <f t="shared" si="421"/>
        <v>14546.286178529859</v>
      </c>
      <c r="AO171" s="645">
        <f t="shared" si="421"/>
        <v>15450.850106635713</v>
      </c>
      <c r="AP171" s="645">
        <f t="shared" si="421"/>
        <v>17697.474137681482</v>
      </c>
      <c r="AQ171" s="645">
        <f t="shared" si="421"/>
        <v>17140.291813640462</v>
      </c>
      <c r="AR171" s="645">
        <f t="shared" si="421"/>
        <v>17181.944781962025</v>
      </c>
      <c r="AS171" s="645">
        <f t="shared" si="421"/>
        <v>17507.988697860485</v>
      </c>
      <c r="BF171" s="404">
        <f>SUM(Z171:AC171)</f>
        <v>-6334.9460000000036</v>
      </c>
      <c r="BG171" s="404">
        <f>SUM(AD171:AG171)</f>
        <v>30498</v>
      </c>
      <c r="BH171" s="404">
        <f>SUM(AH171:AK171)</f>
        <v>51056.025862440023</v>
      </c>
      <c r="BI171" s="404">
        <f>SUM(AI171:AL171)</f>
        <v>55742.735353802193</v>
      </c>
      <c r="BJ171" s="404">
        <f>SUM(AJ171:AM171)</f>
        <v>57757.708842697175</v>
      </c>
    </row>
    <row r="172" spans="1:62">
      <c r="M172" s="20"/>
      <c r="Q172" s="20"/>
      <c r="U172" s="20"/>
      <c r="Y172" s="20"/>
      <c r="AC172" s="20"/>
      <c r="AG172" s="20"/>
      <c r="AK172" s="20"/>
      <c r="AO172" s="20"/>
      <c r="AS172" s="20"/>
      <c r="BF172" s="244">
        <f>BF171/BF75*100</f>
        <v>-26.876017139705588</v>
      </c>
      <c r="BG172" s="244">
        <f>BG171/BG75*100</f>
        <v>18.646140301537031</v>
      </c>
      <c r="BH172" s="244">
        <f>BH171/BH75*100</f>
        <v>25.984712513263762</v>
      </c>
      <c r="BI172" s="244">
        <f>BI171/BI75*100</f>
        <v>23.632464547560588</v>
      </c>
      <c r="BJ172" s="244">
        <f>BJ171/BJ75*100</f>
        <v>20.539013482656021</v>
      </c>
    </row>
    <row r="173" spans="1:62">
      <c r="M173" s="20"/>
      <c r="Q173" s="20"/>
      <c r="U173" s="20"/>
      <c r="Y173" s="20"/>
      <c r="AC173" s="20"/>
      <c r="AG173" s="20"/>
      <c r="AK173" s="20"/>
      <c r="AO173" s="20"/>
      <c r="AS173" s="20"/>
    </row>
    <row r="174" spans="1:62">
      <c r="A174" s="93" t="s">
        <v>384</v>
      </c>
      <c r="B174" s="184"/>
      <c r="C174" s="184"/>
      <c r="D174" s="184">
        <f>'P&amp;L consol'!L30*100</f>
        <v>18.131689912422967</v>
      </c>
      <c r="E174" s="184">
        <f>'P&amp;L consol'!M30*100</f>
        <v>17.008262689129737</v>
      </c>
      <c r="F174" s="184">
        <f>'P&amp;L consol'!N30*100</f>
        <v>14.650411586954256</v>
      </c>
      <c r="G174" s="184">
        <f>'P&amp;L consol'!O30*100</f>
        <v>18.276360134809821</v>
      </c>
      <c r="H174" s="184">
        <f>'P&amp;L consol'!P30*100</f>
        <v>18.073411589342278</v>
      </c>
      <c r="I174" s="184">
        <f>'P&amp;L consol'!Q30*100</f>
        <v>17.767961777697646</v>
      </c>
      <c r="J174" s="184">
        <f>'P&amp;L consol'!R30*100</f>
        <v>15.950804162724694</v>
      </c>
      <c r="K174" s="184">
        <f>'P&amp;L consol'!S30*100</f>
        <v>17.751581867036492</v>
      </c>
      <c r="L174" s="184">
        <f>'P&amp;L consol'!T30*100</f>
        <v>16.873845120107507</v>
      </c>
      <c r="M174" s="184">
        <f>'P&amp;L consol'!U30*100</f>
        <v>16.821244550138722</v>
      </c>
      <c r="N174" s="185">
        <f>'P&amp;L consol'!V30*100</f>
        <v>14.402025177887248</v>
      </c>
      <c r="O174" s="185">
        <f>'P&amp;L consol'!W30*100</f>
        <v>17.439785905441571</v>
      </c>
      <c r="P174" s="185">
        <f>'P&amp;L consol'!X30*100</f>
        <v>18.21361799650202</v>
      </c>
      <c r="Q174" s="184">
        <f>'P&amp;L consol'!Y30*100</f>
        <v>18.893797693499341</v>
      </c>
      <c r="R174" s="382">
        <f>'P&amp;L consol'!Z30*100</f>
        <v>15.950584891221165</v>
      </c>
      <c r="S174" s="382">
        <f>'P&amp;L consol'!AA30*100</f>
        <v>17.576809227314484</v>
      </c>
      <c r="T174" s="382">
        <f>'P&amp;L consol'!AB30*100</f>
        <v>17.584395369199338</v>
      </c>
      <c r="U174" s="184">
        <f>'P&amp;L consol'!AC30*100</f>
        <v>18.783410138248851</v>
      </c>
      <c r="V174" s="382">
        <f>'P&amp;L consol'!AD30*100</f>
        <v>14.930211616389014</v>
      </c>
      <c r="W174" s="382">
        <f>'P&amp;L consol'!AE30*100</f>
        <v>15.25788595026799</v>
      </c>
      <c r="X174" s="382">
        <f>'P&amp;L consol'!AF30*100</f>
        <v>17.268540438169843</v>
      </c>
      <c r="Y174" s="382">
        <f>'P&amp;L consol'!AG30*100</f>
        <v>18.253968253968253</v>
      </c>
      <c r="Z174" s="382">
        <f>'P&amp;L consol'!AH30*100</f>
        <v>17.966993339272836</v>
      </c>
      <c r="AA174" s="382">
        <f>'P&amp;L consol'!AI30*100</f>
        <v>15.32258064516129</v>
      </c>
      <c r="AB174" s="382">
        <f>'P&amp;L consol'!AJ30*100</f>
        <v>15.521316104478069</v>
      </c>
      <c r="AC174" s="382">
        <f>'P&amp;L consol'!AK30*100</f>
        <v>15.922505990298639</v>
      </c>
      <c r="AD174" s="382">
        <f>'P&amp;L consol'!AL30*100</f>
        <v>15.756655641706882</v>
      </c>
      <c r="AE174" s="382">
        <f>'P&amp;L consol'!AM30*100</f>
        <v>18.270316381062297</v>
      </c>
      <c r="AF174" s="382">
        <f>'P&amp;L consol'!AN30*100</f>
        <v>18.27956989247312</v>
      </c>
      <c r="AG174" s="382">
        <f>'P&amp;L consol'!AO30*100</f>
        <v>20.600395470070108</v>
      </c>
      <c r="AH174" s="185">
        <f t="shared" ref="AH174:AS174" si="422">AH171/AH77*100</f>
        <v>19.85297056622441</v>
      </c>
      <c r="AI174" s="185">
        <f t="shared" si="422"/>
        <v>21.514324346772547</v>
      </c>
      <c r="AJ174" s="185">
        <f t="shared" si="422"/>
        <v>20.200055121640748</v>
      </c>
      <c r="AK174" s="184">
        <f t="shared" si="422"/>
        <v>20.732861059479749</v>
      </c>
      <c r="AL174" s="185">
        <f t="shared" si="422"/>
        <v>21.724484704087171</v>
      </c>
      <c r="AM174" s="185">
        <f t="shared" si="422"/>
        <v>20.722976834669815</v>
      </c>
      <c r="AN174" s="185">
        <f t="shared" si="422"/>
        <v>19.108502061220538</v>
      </c>
      <c r="AO174" s="184">
        <f t="shared" si="422"/>
        <v>19.751930588142923</v>
      </c>
      <c r="AP174" s="185">
        <f t="shared" si="422"/>
        <v>20.992180285058204</v>
      </c>
      <c r="AQ174" s="185">
        <f t="shared" si="422"/>
        <v>19.739846784391386</v>
      </c>
      <c r="AR174" s="185">
        <f t="shared" si="422"/>
        <v>19.08531701534562</v>
      </c>
      <c r="AS174" s="184">
        <f t="shared" si="422"/>
        <v>18.815113587807215</v>
      </c>
      <c r="BF174" s="340">
        <f>AVERAGE(Z174:AC174)</f>
        <v>16.183349019802709</v>
      </c>
      <c r="BG174" s="340">
        <f>AVERAGE(AD174:AG174)</f>
        <v>18.226734346328101</v>
      </c>
      <c r="BH174" s="340">
        <f>AVERAGE(AH174:AK174)</f>
        <v>20.575052773529361</v>
      </c>
      <c r="BI174" s="340">
        <f>AVERAGE(AI174:AL174)</f>
        <v>21.042931307995055</v>
      </c>
      <c r="BJ174" s="340">
        <f>AVERAGE(AJ174:AM174)</f>
        <v>20.845094429969372</v>
      </c>
    </row>
    <row r="175" spans="1:62">
      <c r="M175" s="12">
        <f>'P&amp;L consol'!BH30*100</f>
        <v>16.865402762288753</v>
      </c>
      <c r="Q175" s="12">
        <f>'P&amp;L consol'!BI30*100</f>
        <v>17.341417910447763</v>
      </c>
      <c r="U175" s="12">
        <f>'P&amp;L consol'!BJ30*100</f>
        <v>17.534249993761385</v>
      </c>
      <c r="Y175" s="244">
        <f>'P&amp;L consol'!BK30*100</f>
        <v>16.836683723873058</v>
      </c>
      <c r="AC175" s="244">
        <f>'P&amp;L consol'!BL30*100</f>
        <v>14.261221041471678</v>
      </c>
      <c r="AG175" s="244">
        <f>'P&amp;L consol'!BM30*100</f>
        <v>18.572552079840516</v>
      </c>
      <c r="AK175" s="244">
        <f>'P&amp;L consol'!BN30*100</f>
        <v>20.594592717656912</v>
      </c>
      <c r="AO175" s="244">
        <f>'P&amp;L consol'!BO30*100</f>
        <v>20.299864143917084</v>
      </c>
      <c r="AS175" s="244">
        <f>'P&amp;L consol'!BP30*100</f>
        <v>19.628625595908954</v>
      </c>
    </row>
    <row r="176" spans="1:62">
      <c r="A176" s="93" t="s">
        <v>385</v>
      </c>
      <c r="B176" s="184"/>
      <c r="C176" s="184"/>
      <c r="D176" s="184">
        <f>'P&amp;L consol'!L40*100</f>
        <v>14.790788193318196</v>
      </c>
      <c r="E176" s="184">
        <f>'P&amp;L consol'!M40*100</f>
        <v>13.810494688271275</v>
      </c>
      <c r="F176" s="184">
        <f>'P&amp;L consol'!N40*100</f>
        <v>10.472022507033447</v>
      </c>
      <c r="G176" s="184">
        <f>'P&amp;L consol'!O40*100</f>
        <v>13.972075108329321</v>
      </c>
      <c r="H176" s="184">
        <f>'P&amp;L consol'!P40*100</f>
        <v>13.890441587479039</v>
      </c>
      <c r="I176" s="184">
        <f>'P&amp;L consol'!Q40*100</f>
        <v>13.864599296853871</v>
      </c>
      <c r="J176" s="184">
        <f>'P&amp;L consol'!R40*100</f>
        <v>11.551561021759698</v>
      </c>
      <c r="K176" s="184">
        <f>'P&amp;L consol'!S40*100</f>
        <v>13.764410158620091</v>
      </c>
      <c r="L176" s="184">
        <f>'P&amp;L consol'!T40*100</f>
        <v>12.993448681337142</v>
      </c>
      <c r="M176" s="184">
        <f>'P&amp;L consol'!U40*100</f>
        <v>13.261989694807768</v>
      </c>
      <c r="N176" s="185">
        <f>'P&amp;L consol'!V40*100</f>
        <v>10.816912972085387</v>
      </c>
      <c r="O176" s="185">
        <f>'P&amp;L consol'!W40*100</f>
        <v>13.629412514336689</v>
      </c>
      <c r="P176" s="185">
        <f>'P&amp;L consol'!X40*100</f>
        <v>14.800072371992041</v>
      </c>
      <c r="Q176" s="184">
        <f>'P&amp;L consol'!Y40*100</f>
        <v>15.543060416547133</v>
      </c>
      <c r="R176" s="382">
        <f>'P&amp;L consol'!Z40*100</f>
        <v>12.506832841368754</v>
      </c>
      <c r="S176" s="382">
        <f>'P&amp;L consol'!AA40*100</f>
        <v>14.443196897009289</v>
      </c>
      <c r="T176" s="382">
        <f>'P&amp;L consol'!AB40*100</f>
        <v>14.549080649868666</v>
      </c>
      <c r="U176" s="184">
        <f>'P&amp;L consol'!AC40*100</f>
        <v>15.479262672811059</v>
      </c>
      <c r="V176" s="382">
        <f>'P&amp;L consol'!AD40*100</f>
        <v>11.521837010355696</v>
      </c>
      <c r="W176" s="382">
        <f>'P&amp;L consol'!AE40*100</f>
        <v>11.866268341973464</v>
      </c>
      <c r="X176" s="382">
        <f>'P&amp;L consol'!AF40*100</f>
        <v>13.777816037532819</v>
      </c>
      <c r="Y176" s="382">
        <f>'P&amp;L consol'!AG40*100</f>
        <v>14.837819185645273</v>
      </c>
      <c r="Z176" s="382">
        <f>'P&amp;L consol'!AH40*100</f>
        <v>14.92511985066395</v>
      </c>
      <c r="AA176" s="382">
        <f>'P&amp;L consol'!AI40*100</f>
        <v>11.554732945531466</v>
      </c>
      <c r="AB176" s="382">
        <f>'P&amp;L consol'!AJ40*100</f>
        <v>11.945612473527516</v>
      </c>
      <c r="AC176" s="382">
        <f>'P&amp;L consol'!AK40*100</f>
        <v>12.258196481795336</v>
      </c>
      <c r="AD176" s="382">
        <f>'P&amp;L consol'!AL40*100</f>
        <v>11.440654991053515</v>
      </c>
      <c r="AE176" s="382">
        <f>'P&amp;L consol'!AM40*100</f>
        <v>13.957397696765938</v>
      </c>
      <c r="AF176" s="382">
        <f>'P&amp;L consol'!AN40*100</f>
        <v>14.24317617866005</v>
      </c>
      <c r="AG176" s="382">
        <f>'P&amp;L consol'!AO40*100</f>
        <v>16.555815207621787</v>
      </c>
      <c r="AH176" s="244">
        <f>'P&amp;L consol'!AP40*100</f>
        <v>14.352970566224407</v>
      </c>
      <c r="AI176" s="244">
        <f>'P&amp;L consol'!AQ40*100</f>
        <v>16.414324346772553</v>
      </c>
      <c r="AJ176" s="244">
        <f>'P&amp;L consol'!AR40*100</f>
        <v>15.100055121640739</v>
      </c>
      <c r="AK176" s="244">
        <f>'P&amp;L consol'!AS40*100</f>
        <v>15.632861059479747</v>
      </c>
      <c r="AL176" s="244">
        <f>'P&amp;L consol'!AT40*100</f>
        <v>16.624484704087173</v>
      </c>
      <c r="AM176" s="244">
        <f>'P&amp;L consol'!AU40*100</f>
        <v>15.622976834669815</v>
      </c>
      <c r="AN176" s="244">
        <f>'P&amp;L consol'!AV40*100</f>
        <v>15.108502061220536</v>
      </c>
      <c r="AO176" s="244">
        <f>'P&amp;L consol'!AW40*100</f>
        <v>14.651930588142923</v>
      </c>
      <c r="AP176" s="244">
        <f>'P&amp;L consol'!AX40*100</f>
        <v>15.892180285058199</v>
      </c>
      <c r="AQ176" s="244">
        <f>'P&amp;L consol'!AY40*100</f>
        <v>14.639846784391386</v>
      </c>
      <c r="AR176" s="244">
        <f>'P&amp;L consol'!AZ40*100</f>
        <v>15.085317015345604</v>
      </c>
      <c r="AS176" s="244">
        <f>'P&amp;L consol'!BA40*100</f>
        <v>14.815113587807224</v>
      </c>
      <c r="BF176" s="340">
        <f>AVERAGE(Z176:AC176)</f>
        <v>12.670915437879568</v>
      </c>
      <c r="BG176" s="340">
        <f>AVERAGE(AD176:AG176)</f>
        <v>14.049261018525321</v>
      </c>
      <c r="BH176" s="340">
        <f>AVERAGE(AH176:AK176)</f>
        <v>15.375052773529362</v>
      </c>
      <c r="BI176" s="340">
        <f>AVERAGE(AL176:AO176)</f>
        <v>15.501973547030111</v>
      </c>
      <c r="BJ176" s="340">
        <f>AVERAGE(AM176:AP176)</f>
        <v>15.318897442272867</v>
      </c>
    </row>
    <row r="177" spans="13:62">
      <c r="M177" s="12"/>
      <c r="Q177" s="12"/>
      <c r="U177" s="12">
        <f>'P&amp;L consol'!BJ40*100</f>
        <v>14.308886282534376</v>
      </c>
      <c r="Y177" s="244">
        <f>'P&amp;L consol'!BK40*100</f>
        <v>13.537723806458057</v>
      </c>
      <c r="AC177" s="244">
        <f>'P&amp;L consol'!BL40*100</f>
        <v>10.719521588960765</v>
      </c>
      <c r="AG177" s="244">
        <f>'P&amp;L consol'!BM40*100</f>
        <v>14.415309674626739</v>
      </c>
      <c r="AK177" s="244">
        <f>'P&amp;L consol'!BN40*100</f>
        <v>15.405916683965145</v>
      </c>
      <c r="AO177" s="244">
        <f>'P&amp;L consol'!BO40*100</f>
        <v>15.478941869824601</v>
      </c>
      <c r="AS177" s="244">
        <f>'P&amp;L consol'!BP40*100</f>
        <v>15.09717107374586</v>
      </c>
      <c r="BF177" s="994">
        <v>12.602055340569242</v>
      </c>
      <c r="BG177" s="994">
        <v>13.41933062707745</v>
      </c>
      <c r="BH177" s="994">
        <v>13.681829210116373</v>
      </c>
      <c r="BI177" s="994">
        <v>13.76005713177396</v>
      </c>
      <c r="BJ177" s="994">
        <v>13.76005713177396</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8EFD-D804-4F0E-8679-3FE54546C84F}">
  <dimension ref="A1:C8"/>
  <sheetViews>
    <sheetView workbookViewId="0">
      <selection activeCell="B11" sqref="B11"/>
    </sheetView>
  </sheetViews>
  <sheetFormatPr defaultRowHeight="14.45"/>
  <sheetData>
    <row r="1" spans="1:3">
      <c r="A1" t="s">
        <v>35</v>
      </c>
      <c r="B1" t="s">
        <v>386</v>
      </c>
    </row>
    <row r="2" spans="1:3">
      <c r="A2">
        <v>625</v>
      </c>
      <c r="B2">
        <v>1000</v>
      </c>
      <c r="C2" s="309">
        <f>((B2/A2)^(1/4))-1</f>
        <v>0.12468265038069815</v>
      </c>
    </row>
    <row r="3" spans="1:3">
      <c r="A3">
        <v>321</v>
      </c>
      <c r="B3">
        <v>550</v>
      </c>
      <c r="C3" s="309">
        <f t="shared" ref="C3:C8" si="0">((B3/A3)^(1/4))-1</f>
        <v>0.14410112928373464</v>
      </c>
    </row>
    <row r="4" spans="1:3">
      <c r="A4">
        <v>511</v>
      </c>
      <c r="B4">
        <v>850</v>
      </c>
      <c r="C4" s="309">
        <f t="shared" si="0"/>
        <v>0.13566307774926334</v>
      </c>
    </row>
    <row r="5" spans="1:3">
      <c r="A5">
        <v>402</v>
      </c>
      <c r="B5">
        <v>750</v>
      </c>
      <c r="C5" s="309">
        <f t="shared" si="0"/>
        <v>0.16871549650476636</v>
      </c>
    </row>
    <row r="6" spans="1:3">
      <c r="A6">
        <v>131</v>
      </c>
      <c r="B6">
        <v>250</v>
      </c>
      <c r="C6" s="309">
        <f t="shared" si="0"/>
        <v>0.17534990959664598</v>
      </c>
    </row>
    <row r="7" spans="1:3">
      <c r="A7">
        <v>481</v>
      </c>
      <c r="B7">
        <v>900</v>
      </c>
      <c r="C7" s="309">
        <f t="shared" si="0"/>
        <v>0.16956498654955454</v>
      </c>
    </row>
    <row r="8" spans="1:3">
      <c r="A8">
        <v>2470</v>
      </c>
      <c r="B8">
        <v>4300</v>
      </c>
      <c r="C8" s="309">
        <f t="shared" si="0"/>
        <v>0.14866364404307864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186"/>
  <sheetViews>
    <sheetView showGridLines="0" zoomScale="76" zoomScaleNormal="90" workbookViewId="0">
      <pane xSplit="1" ySplit="2" topLeftCell="B111" activePane="bottomRight" state="frozen"/>
      <selection pane="bottomRight" activeCell="E126" sqref="E126"/>
      <selection pane="bottomLeft" activeCell="Q6" sqref="Q6"/>
      <selection pane="topRight" activeCell="Q6" sqref="Q6"/>
    </sheetView>
  </sheetViews>
  <sheetFormatPr defaultRowHeight="14.45" outlineLevelCol="1"/>
  <cols>
    <col min="1" max="1" width="38" style="4" customWidth="1"/>
    <col min="2" max="3" width="9.140625" style="4"/>
    <col min="4" max="5" width="8.85546875" style="4"/>
    <col min="6" max="7" width="9.140625" style="4"/>
    <col min="8" max="8" width="10.140625" style="4" bestFit="1" customWidth="1"/>
    <col min="9" max="9" width="11.42578125" style="4" bestFit="1" customWidth="1"/>
    <col min="10" max="10" width="10.140625" style="4" bestFit="1" customWidth="1"/>
    <col min="11" max="12" width="11.42578125" style="4" bestFit="1" customWidth="1"/>
    <col min="13" max="16" width="9.140625" style="4"/>
    <col min="17" max="17" width="10" bestFit="1" customWidth="1"/>
    <col min="18" max="21" width="9.140625" style="4" hidden="1" customWidth="1" outlineLevel="1"/>
    <col min="22" max="22" width="9.140625" hidden="1" customWidth="1" collapsed="1"/>
    <col min="23" max="26" width="9.140625" style="4" hidden="1" customWidth="1" outlineLevel="1"/>
    <col min="27" max="27" width="9.140625" hidden="1" customWidth="1" collapsed="1"/>
    <col min="28" max="31" width="9.140625" style="4" hidden="1" customWidth="1" outlineLevel="1"/>
    <col min="32" max="32" width="9.140625" hidden="1" customWidth="1" collapsed="1"/>
    <col min="33" max="35" width="9.140625" style="4" hidden="1" customWidth="1" outlineLevel="1"/>
    <col min="36" max="36" width="9.140625" style="4" customWidth="1" collapsed="1"/>
    <col min="37" max="37" width="9.140625" style="4" hidden="1" customWidth="1" outlineLevel="1"/>
    <col min="38" max="38" width="9.140625" collapsed="1"/>
    <col min="40" max="40" width="9.140625" style="4" customWidth="1" outlineLevel="1"/>
    <col min="41" max="41" width="9.140625" style="4" outlineLevel="1"/>
  </cols>
  <sheetData>
    <row r="1" spans="1:41">
      <c r="A1" s="1"/>
      <c r="B1" s="2" t="s">
        <v>101</v>
      </c>
      <c r="C1" s="2" t="s">
        <v>101</v>
      </c>
      <c r="D1" s="2" t="s">
        <v>101</v>
      </c>
      <c r="E1" s="2" t="s">
        <v>101</v>
      </c>
      <c r="F1" s="2" t="s">
        <v>101</v>
      </c>
      <c r="G1" s="2" t="s">
        <v>101</v>
      </c>
      <c r="H1" s="2" t="s">
        <v>101</v>
      </c>
      <c r="I1" s="2" t="s">
        <v>101</v>
      </c>
      <c r="J1" s="217" t="s">
        <v>100</v>
      </c>
      <c r="K1" s="217" t="s">
        <v>100</v>
      </c>
      <c r="L1" s="217" t="s">
        <v>100</v>
      </c>
      <c r="R1" s="2" t="s">
        <v>101</v>
      </c>
      <c r="S1" s="2" t="s">
        <v>101</v>
      </c>
      <c r="T1" s="2" t="s">
        <v>101</v>
      </c>
      <c r="U1" s="2" t="s">
        <v>101</v>
      </c>
      <c r="W1" s="2" t="s">
        <v>101</v>
      </c>
      <c r="X1" s="2" t="s">
        <v>101</v>
      </c>
      <c r="Y1" s="2" t="s">
        <v>101</v>
      </c>
      <c r="Z1" s="2"/>
      <c r="AB1" s="2" t="s">
        <v>101</v>
      </c>
      <c r="AC1" s="2"/>
      <c r="AD1" s="2"/>
      <c r="AE1" s="2"/>
      <c r="AG1" s="2" t="s">
        <v>101</v>
      </c>
      <c r="AH1" s="2"/>
      <c r="AI1" s="2"/>
      <c r="AJ1" s="2"/>
      <c r="AK1" s="2"/>
      <c r="AN1" s="2"/>
      <c r="AO1" s="2"/>
    </row>
    <row r="2" spans="1:41">
      <c r="A2" s="3" t="s">
        <v>387</v>
      </c>
      <c r="B2" s="2" t="s">
        <v>16</v>
      </c>
      <c r="C2" s="2" t="s">
        <v>17</v>
      </c>
      <c r="D2" s="2" t="s">
        <v>18</v>
      </c>
      <c r="E2" s="2" t="s">
        <v>19</v>
      </c>
      <c r="F2" s="2" t="s">
        <v>20</v>
      </c>
      <c r="G2" s="2" t="s">
        <v>21</v>
      </c>
      <c r="H2" s="2" t="s">
        <v>22</v>
      </c>
      <c r="I2" s="2" t="s">
        <v>35</v>
      </c>
      <c r="J2" s="217" t="s">
        <v>155</v>
      </c>
      <c r="K2" s="217" t="s">
        <v>156</v>
      </c>
      <c r="L2" s="217" t="s">
        <v>157</v>
      </c>
      <c r="R2" s="2" t="s">
        <v>118</v>
      </c>
      <c r="S2" s="2" t="s">
        <v>119</v>
      </c>
      <c r="T2" s="2" t="s">
        <v>120</v>
      </c>
      <c r="U2" s="2" t="s">
        <v>121</v>
      </c>
      <c r="W2" s="2" t="s">
        <v>122</v>
      </c>
      <c r="X2" s="2" t="s">
        <v>123</v>
      </c>
      <c r="Y2" s="2" t="s">
        <v>124</v>
      </c>
      <c r="Z2" s="2" t="s">
        <v>125</v>
      </c>
      <c r="AB2" s="2" t="s">
        <v>126</v>
      </c>
      <c r="AC2" s="2" t="s">
        <v>127</v>
      </c>
      <c r="AD2" s="2" t="s">
        <v>128</v>
      </c>
      <c r="AE2" s="2" t="s">
        <v>129</v>
      </c>
      <c r="AG2" s="2" t="s">
        <v>130</v>
      </c>
      <c r="AH2" s="2" t="s">
        <v>131</v>
      </c>
      <c r="AI2" s="2" t="s">
        <v>132</v>
      </c>
      <c r="AJ2" s="2" t="s">
        <v>133</v>
      </c>
      <c r="AK2" s="2"/>
      <c r="AN2" s="2" t="s">
        <v>135</v>
      </c>
      <c r="AO2" s="2" t="s">
        <v>136</v>
      </c>
    </row>
    <row r="4" spans="1:41">
      <c r="A4" s="4" t="s">
        <v>388</v>
      </c>
      <c r="B4" s="13"/>
      <c r="C4" s="13"/>
      <c r="D4" s="13"/>
      <c r="E4" s="13"/>
      <c r="F4" s="13"/>
      <c r="G4" s="13"/>
      <c r="H4" s="13"/>
      <c r="I4" s="13"/>
      <c r="J4" s="13"/>
      <c r="K4" s="13"/>
      <c r="L4" s="13"/>
      <c r="M4" s="347"/>
      <c r="N4" s="6"/>
      <c r="O4" s="6"/>
      <c r="P4" s="6"/>
      <c r="R4" s="13"/>
      <c r="S4" s="13"/>
      <c r="T4" s="13"/>
      <c r="U4" s="13"/>
      <c r="W4" s="13"/>
      <c r="X4" s="13"/>
      <c r="Y4" s="13"/>
      <c r="Z4" s="13"/>
      <c r="AB4" s="13"/>
      <c r="AC4" s="13"/>
      <c r="AD4" s="13"/>
      <c r="AE4" s="13"/>
      <c r="AG4" s="13"/>
      <c r="AH4" s="13"/>
      <c r="AI4" s="13"/>
      <c r="AJ4" s="13"/>
      <c r="AK4" s="13"/>
      <c r="AN4" s="13"/>
      <c r="AO4" s="13"/>
    </row>
    <row r="5" spans="1:41">
      <c r="A5" s="4" t="s">
        <v>389</v>
      </c>
      <c r="B5" s="14">
        <v>618</v>
      </c>
      <c r="C5" s="14">
        <v>625</v>
      </c>
      <c r="D5" s="14">
        <v>606</v>
      </c>
      <c r="E5" s="14">
        <v>609</v>
      </c>
      <c r="F5" s="14">
        <v>611</v>
      </c>
      <c r="G5" s="14">
        <v>618</v>
      </c>
      <c r="H5" s="14">
        <v>669</v>
      </c>
      <c r="I5" s="14">
        <v>672</v>
      </c>
      <c r="J5" s="13">
        <f>I5+(13+93.796508)*2</f>
        <v>885.59301600000003</v>
      </c>
      <c r="K5" s="13">
        <f t="shared" ref="K5:L5" si="0">J5</f>
        <v>885.59301600000003</v>
      </c>
      <c r="L5" s="13">
        <f t="shared" si="0"/>
        <v>885.59301600000003</v>
      </c>
      <c r="M5" s="599"/>
      <c r="R5" s="14"/>
      <c r="S5" s="14"/>
      <c r="T5" s="14">
        <v>606</v>
      </c>
      <c r="U5" s="14"/>
      <c r="W5" s="14"/>
      <c r="X5" s="14">
        <v>606</v>
      </c>
      <c r="Y5" s="14">
        <v>609</v>
      </c>
      <c r="Z5" s="14"/>
      <c r="AB5" s="14">
        <v>609</v>
      </c>
      <c r="AC5" s="14">
        <v>610</v>
      </c>
      <c r="AD5" s="14">
        <v>609</v>
      </c>
      <c r="AE5" s="14"/>
      <c r="AG5" s="14"/>
      <c r="AH5" s="14">
        <v>615</v>
      </c>
      <c r="AI5" s="14">
        <v>618</v>
      </c>
      <c r="AJ5" s="14"/>
      <c r="AK5">
        <v>618</v>
      </c>
      <c r="AN5" s="14">
        <v>667</v>
      </c>
      <c r="AO5" s="14">
        <v>669</v>
      </c>
    </row>
    <row r="6" spans="1:41">
      <c r="A6" s="4" t="s">
        <v>390</v>
      </c>
      <c r="B6" s="14">
        <v>20105</v>
      </c>
      <c r="C6" s="14">
        <f>22885+455</f>
        <v>23340</v>
      </c>
      <c r="D6" s="14">
        <f>23041+1014</f>
        <v>24055</v>
      </c>
      <c r="E6" s="14">
        <v>26722</v>
      </c>
      <c r="F6" s="14">
        <v>30214</v>
      </c>
      <c r="G6" s="14">
        <v>35648</v>
      </c>
      <c r="H6" s="14">
        <v>63123</v>
      </c>
      <c r="I6" s="14">
        <v>94704</v>
      </c>
      <c r="J6" s="13">
        <f>I6+'P&amp;L consol'!BN66-'P&amp;L consol'!BN93-(13+93.796508)*2+'Encora Financials'!C24</f>
        <v>283552.56280097237</v>
      </c>
      <c r="K6" s="13">
        <f>J6+'P&amp;L consol'!BO66-'P&amp;L consol'!BO93</f>
        <v>306849.08359488618</v>
      </c>
      <c r="L6" s="13">
        <f>K6+'P&amp;L consol'!BP66-'P&amp;L consol'!BP93</f>
        <v>333986.47470813739</v>
      </c>
      <c r="M6" s="599"/>
      <c r="Q6" s="321"/>
      <c r="R6" s="14"/>
      <c r="S6" s="14"/>
      <c r="T6" s="14">
        <v>22606</v>
      </c>
      <c r="U6" s="14"/>
      <c r="W6" s="14"/>
      <c r="X6" s="14">
        <v>24162</v>
      </c>
      <c r="Y6" s="14">
        <v>25765</v>
      </c>
      <c r="Z6" s="14"/>
      <c r="AB6" s="14">
        <v>26723</v>
      </c>
      <c r="AC6" s="14">
        <v>27669</v>
      </c>
      <c r="AD6" s="14">
        <v>26723</v>
      </c>
      <c r="AE6" s="14"/>
      <c r="AG6" s="14"/>
      <c r="AH6" s="14">
        <v>32658</v>
      </c>
      <c r="AI6" s="14">
        <v>34326</v>
      </c>
      <c r="AJ6" s="14"/>
      <c r="AK6" s="205">
        <v>35648</v>
      </c>
      <c r="AN6" s="14">
        <v>59118</v>
      </c>
      <c r="AO6" s="14">
        <v>60778</v>
      </c>
    </row>
    <row r="7" spans="1:41">
      <c r="A7" s="61" t="s">
        <v>391</v>
      </c>
      <c r="B7" s="63">
        <v>20723</v>
      </c>
      <c r="C7" s="63">
        <f t="shared" ref="C7:J7" si="1">SUM(C5:C6)</f>
        <v>23965</v>
      </c>
      <c r="D7" s="63">
        <f t="shared" si="1"/>
        <v>24661</v>
      </c>
      <c r="E7" s="63">
        <f t="shared" si="1"/>
        <v>27331</v>
      </c>
      <c r="F7" s="63">
        <f t="shared" si="1"/>
        <v>30825</v>
      </c>
      <c r="G7" s="63">
        <f t="shared" si="1"/>
        <v>36266</v>
      </c>
      <c r="H7" s="63">
        <f t="shared" ref="H7:I7" si="2">SUM(H5:H6)</f>
        <v>63792</v>
      </c>
      <c r="I7" s="63">
        <f t="shared" si="2"/>
        <v>95376</v>
      </c>
      <c r="J7" s="63">
        <f t="shared" si="1"/>
        <v>284438.15581697237</v>
      </c>
      <c r="K7" s="63">
        <f t="shared" ref="K7:L7" si="3">SUM(K5:K6)</f>
        <v>307734.67661088618</v>
      </c>
      <c r="L7" s="63">
        <f t="shared" si="3"/>
        <v>334872.06772413739</v>
      </c>
      <c r="M7" s="347"/>
      <c r="N7" s="17"/>
      <c r="O7" s="17"/>
      <c r="P7" s="17"/>
      <c r="Q7" s="205"/>
      <c r="R7" s="63">
        <f>SUM(R5:R6)</f>
        <v>0</v>
      </c>
      <c r="S7" s="63">
        <f>SUM(S5:S6)</f>
        <v>0</v>
      </c>
      <c r="T7" s="63">
        <f>SUM(T5:T6)</f>
        <v>23212</v>
      </c>
      <c r="U7" s="63">
        <f>SUM(U5:U6)</f>
        <v>0</v>
      </c>
      <c r="W7" s="63">
        <f>SUM(W5:W6)</f>
        <v>0</v>
      </c>
      <c r="X7" s="63">
        <f>SUM(X5:X6)</f>
        <v>24768</v>
      </c>
      <c r="Y7" s="63">
        <f>SUM(Y5:Y6)</f>
        <v>26374</v>
      </c>
      <c r="Z7" s="63"/>
      <c r="AB7" s="63">
        <f>SUM(AB5:AB6)</f>
        <v>27332</v>
      </c>
      <c r="AC7" s="63">
        <f>SUM(AC5:AC6)</f>
        <v>28279</v>
      </c>
      <c r="AD7" s="63">
        <f>SUM(AD5:AD6)</f>
        <v>27332</v>
      </c>
      <c r="AE7" s="63"/>
      <c r="AG7" s="63"/>
      <c r="AH7" s="63">
        <f>SUM(AH5:AH6)</f>
        <v>33273</v>
      </c>
      <c r="AI7" s="63">
        <f>SUM(AI5:AI6)</f>
        <v>34944</v>
      </c>
      <c r="AJ7" s="63"/>
      <c r="AK7" s="63">
        <f>SUM(AK5:AK6)</f>
        <v>36266</v>
      </c>
      <c r="AN7" s="63">
        <f>SUM(AN5:AN6)</f>
        <v>59785</v>
      </c>
      <c r="AO7" s="63">
        <f>SUM(AO5:AO6)</f>
        <v>61447</v>
      </c>
    </row>
    <row r="8" spans="1:41">
      <c r="A8" s="6"/>
      <c r="B8" s="7"/>
      <c r="C8" s="7"/>
      <c r="D8" s="7"/>
      <c r="E8" s="7"/>
      <c r="F8" s="7"/>
      <c r="G8" s="7"/>
      <c r="H8" s="7"/>
      <c r="I8" s="7"/>
      <c r="J8" s="7"/>
      <c r="K8" s="7"/>
      <c r="L8" s="7"/>
      <c r="M8" s="347"/>
      <c r="Q8" s="516"/>
      <c r="R8" s="7"/>
      <c r="S8" s="7"/>
      <c r="T8" s="7"/>
      <c r="U8" s="7"/>
      <c r="W8" s="7"/>
      <c r="X8" s="7"/>
      <c r="Y8" s="7"/>
      <c r="Z8" s="7"/>
      <c r="AB8" s="7"/>
      <c r="AC8" s="7"/>
      <c r="AD8" s="7"/>
      <c r="AE8" s="7"/>
      <c r="AG8" s="7"/>
      <c r="AH8" s="7"/>
      <c r="AI8" s="7"/>
      <c r="AJ8" s="7"/>
      <c r="AK8" s="7"/>
      <c r="AN8" s="7"/>
      <c r="AO8" s="7"/>
    </row>
    <row r="9" spans="1:41">
      <c r="A9" s="4" t="s">
        <v>392</v>
      </c>
      <c r="B9" s="14">
        <v>75</v>
      </c>
      <c r="C9" s="14">
        <v>0</v>
      </c>
      <c r="D9" s="14">
        <v>0</v>
      </c>
      <c r="E9" s="14">
        <v>983</v>
      </c>
      <c r="F9" s="14">
        <v>874</v>
      </c>
      <c r="G9" s="14">
        <v>1003</v>
      </c>
      <c r="H9" s="14">
        <v>19498</v>
      </c>
      <c r="I9" s="14">
        <v>1430</v>
      </c>
      <c r="J9" s="13">
        <f t="shared" ref="J9:L9" si="4">I9</f>
        <v>1430</v>
      </c>
      <c r="K9" s="13">
        <f t="shared" si="4"/>
        <v>1430</v>
      </c>
      <c r="L9" s="13">
        <f t="shared" si="4"/>
        <v>1430</v>
      </c>
      <c r="M9" s="347"/>
      <c r="R9" s="14"/>
      <c r="S9" s="14">
        <v>0</v>
      </c>
      <c r="T9" s="14"/>
      <c r="U9" s="14"/>
      <c r="W9" s="14"/>
      <c r="X9" s="14">
        <v>904</v>
      </c>
      <c r="Y9" s="14">
        <v>877</v>
      </c>
      <c r="Z9" s="14"/>
      <c r="AB9" s="14">
        <v>924</v>
      </c>
      <c r="AC9" s="14">
        <v>898</v>
      </c>
      <c r="AD9" s="14">
        <v>924</v>
      </c>
      <c r="AE9" s="14"/>
      <c r="AG9" s="14"/>
      <c r="AH9" s="14">
        <v>1002</v>
      </c>
      <c r="AI9" s="14">
        <v>937</v>
      </c>
      <c r="AJ9" s="14"/>
      <c r="AK9" s="14">
        <v>1003</v>
      </c>
      <c r="AN9" s="14">
        <v>20057</v>
      </c>
      <c r="AO9" s="14">
        <v>19060</v>
      </c>
    </row>
    <row r="10" spans="1:41">
      <c r="A10" s="6"/>
      <c r="B10" s="7"/>
      <c r="C10" s="7"/>
      <c r="D10" s="7"/>
      <c r="E10" s="7"/>
      <c r="F10" s="7"/>
      <c r="G10" s="7"/>
      <c r="H10" s="7"/>
      <c r="I10" s="7"/>
      <c r="J10" s="7"/>
      <c r="K10" s="7"/>
      <c r="L10" s="7"/>
      <c r="M10" s="347"/>
      <c r="R10" s="7"/>
      <c r="S10" s="7"/>
      <c r="T10" s="7"/>
      <c r="U10" s="7"/>
      <c r="W10" s="7"/>
      <c r="X10" s="7"/>
      <c r="Y10" s="7"/>
      <c r="Z10" s="7"/>
      <c r="AB10" s="7"/>
      <c r="AC10" s="7"/>
      <c r="AD10" s="7"/>
      <c r="AE10" s="7"/>
      <c r="AG10" s="7"/>
      <c r="AH10" s="7"/>
      <c r="AI10" s="7"/>
      <c r="AJ10" s="7"/>
      <c r="AK10" s="7"/>
      <c r="AN10" s="42"/>
      <c r="AO10" s="42"/>
    </row>
    <row r="11" spans="1:41">
      <c r="A11" s="4" t="s">
        <v>393</v>
      </c>
      <c r="B11" s="13"/>
      <c r="C11" s="13"/>
      <c r="D11" s="13"/>
      <c r="E11" s="13"/>
      <c r="F11" s="13"/>
      <c r="G11" s="13"/>
      <c r="H11" s="13"/>
      <c r="I11" s="13"/>
      <c r="J11" s="13"/>
      <c r="K11" s="13"/>
      <c r="L11" s="13"/>
      <c r="M11" s="347"/>
      <c r="R11" s="13"/>
      <c r="S11" s="13"/>
      <c r="T11" s="13"/>
      <c r="U11" s="13"/>
      <c r="W11" s="13"/>
      <c r="X11" s="13"/>
      <c r="Y11" s="13"/>
      <c r="Z11" s="13"/>
      <c r="AB11" s="13"/>
      <c r="AC11" s="13"/>
      <c r="AD11" s="13"/>
      <c r="AE11" s="13"/>
      <c r="AG11" s="13"/>
      <c r="AH11" s="13"/>
      <c r="AI11" s="13"/>
      <c r="AJ11" s="13"/>
      <c r="AK11" s="13"/>
      <c r="AN11" s="14"/>
      <c r="AO11" s="14"/>
    </row>
    <row r="12" spans="1:41">
      <c r="A12" s="4" t="s">
        <v>394</v>
      </c>
      <c r="B12" s="299">
        <v>38</v>
      </c>
      <c r="C12" s="14">
        <v>48</v>
      </c>
      <c r="D12" s="14">
        <v>3</v>
      </c>
      <c r="E12" s="14">
        <v>3365</v>
      </c>
      <c r="F12" s="333">
        <v>3382</v>
      </c>
      <c r="G12" s="333">
        <v>3399</v>
      </c>
      <c r="H12" s="333">
        <v>67</v>
      </c>
      <c r="I12" s="333">
        <v>1167</v>
      </c>
      <c r="J12" s="299">
        <f>I12+51609</f>
        <v>52776</v>
      </c>
      <c r="K12" s="299">
        <f>J12*0.99</f>
        <v>52248.24</v>
      </c>
      <c r="L12" s="299">
        <f>K12*0.99</f>
        <v>51725.757599999997</v>
      </c>
      <c r="M12" s="599"/>
      <c r="R12" s="13"/>
      <c r="S12" s="13"/>
      <c r="T12" s="13">
        <v>15</v>
      </c>
      <c r="U12" s="13"/>
      <c r="W12" s="13"/>
      <c r="X12" s="13">
        <v>4292</v>
      </c>
      <c r="Y12" s="14">
        <v>4620</v>
      </c>
      <c r="Z12" s="13"/>
      <c r="AB12" s="13">
        <v>6024</v>
      </c>
      <c r="AC12" s="13">
        <v>5840</v>
      </c>
      <c r="AD12" s="333">
        <v>6024</v>
      </c>
      <c r="AE12" s="13"/>
      <c r="AG12" s="13"/>
      <c r="AH12" s="13">
        <v>3390</v>
      </c>
      <c r="AI12" s="333">
        <v>3395</v>
      </c>
      <c r="AJ12" s="13"/>
      <c r="AK12" s="14">
        <v>3399</v>
      </c>
      <c r="AN12" s="14"/>
      <c r="AO12" s="14">
        <f>13+6858</f>
        <v>6871</v>
      </c>
    </row>
    <row r="13" spans="1:41">
      <c r="A13" s="4" t="s">
        <v>395</v>
      </c>
      <c r="B13" s="13">
        <v>62</v>
      </c>
      <c r="C13" s="14">
        <v>206</v>
      </c>
      <c r="D13" s="14">
        <v>325</v>
      </c>
      <c r="E13" s="14">
        <v>364</v>
      </c>
      <c r="F13" s="14">
        <v>332</v>
      </c>
      <c r="G13" s="14">
        <v>627</v>
      </c>
      <c r="H13" s="14">
        <v>1844</v>
      </c>
      <c r="I13" s="14">
        <v>2040</v>
      </c>
      <c r="J13" s="98">
        <f t="shared" ref="J13:L16" si="5">I13</f>
        <v>2040</v>
      </c>
      <c r="K13" s="98">
        <f t="shared" si="5"/>
        <v>2040</v>
      </c>
      <c r="L13" s="98">
        <f t="shared" si="5"/>
        <v>2040</v>
      </c>
      <c r="M13" s="347"/>
      <c r="N13" s="6"/>
      <c r="R13" s="13"/>
      <c r="S13" s="13"/>
      <c r="T13" s="13"/>
      <c r="U13" s="13"/>
      <c r="W13" s="13"/>
      <c r="X13" s="13"/>
      <c r="Y13" s="14"/>
      <c r="Z13" s="13"/>
      <c r="AB13" s="13"/>
      <c r="AC13" s="13"/>
      <c r="AD13" s="14"/>
      <c r="AE13" s="13"/>
      <c r="AG13" s="13"/>
      <c r="AH13" s="13">
        <v>406</v>
      </c>
      <c r="AI13" s="14"/>
      <c r="AJ13" s="13"/>
      <c r="AK13" s="14">
        <v>627</v>
      </c>
      <c r="AN13" s="14">
        <v>781</v>
      </c>
      <c r="AO13" s="14"/>
    </row>
    <row r="14" spans="1:41">
      <c r="A14" s="4" t="s">
        <v>396</v>
      </c>
      <c r="B14" s="14">
        <v>538</v>
      </c>
      <c r="C14" s="14">
        <v>1247</v>
      </c>
      <c r="D14" s="14">
        <v>0</v>
      </c>
      <c r="E14" s="14">
        <v>2908</v>
      </c>
      <c r="F14" s="14">
        <v>324</v>
      </c>
      <c r="G14" s="14">
        <v>253</v>
      </c>
      <c r="H14" s="14">
        <v>3653</v>
      </c>
      <c r="I14" s="14">
        <v>4534</v>
      </c>
      <c r="J14" s="98">
        <f t="shared" si="5"/>
        <v>4534</v>
      </c>
      <c r="K14" s="98">
        <f t="shared" si="5"/>
        <v>4534</v>
      </c>
      <c r="L14" s="98">
        <f t="shared" si="5"/>
        <v>4534</v>
      </c>
      <c r="M14" s="347"/>
      <c r="O14" s="6"/>
      <c r="P14" s="6"/>
      <c r="R14" s="14"/>
      <c r="S14" s="14"/>
      <c r="T14" s="14"/>
      <c r="U14" s="14"/>
      <c r="W14" s="14"/>
      <c r="X14" s="14"/>
      <c r="Y14" s="14"/>
      <c r="Z14" s="14"/>
      <c r="AB14" s="14"/>
      <c r="AC14" s="14"/>
      <c r="AD14" s="14"/>
      <c r="AE14" s="14"/>
      <c r="AG14" s="14"/>
      <c r="AH14" s="14">
        <v>217</v>
      </c>
      <c r="AI14" s="14"/>
      <c r="AJ14" s="14"/>
      <c r="AK14" s="14">
        <v>253</v>
      </c>
      <c r="AN14" s="14">
        <v>204</v>
      </c>
      <c r="AO14" s="14"/>
    </row>
    <row r="15" spans="1:41">
      <c r="A15" s="4" t="s">
        <v>397</v>
      </c>
      <c r="B15" s="14">
        <v>725</v>
      </c>
      <c r="C15" s="14">
        <v>593</v>
      </c>
      <c r="D15" s="14">
        <v>696</v>
      </c>
      <c r="E15" s="14">
        <v>1047</v>
      </c>
      <c r="F15" s="14">
        <v>1276</v>
      </c>
      <c r="G15" s="14">
        <v>0</v>
      </c>
      <c r="H15" s="14">
        <v>0</v>
      </c>
      <c r="I15" s="14">
        <v>0</v>
      </c>
      <c r="J15" s="98">
        <f t="shared" si="5"/>
        <v>0</v>
      </c>
      <c r="K15" s="98">
        <f t="shared" si="5"/>
        <v>0</v>
      </c>
      <c r="L15" s="98">
        <f t="shared" si="5"/>
        <v>0</v>
      </c>
      <c r="M15" s="347"/>
      <c r="N15" s="6"/>
      <c r="O15" s="6"/>
      <c r="P15" s="6"/>
      <c r="R15" s="14"/>
      <c r="S15" s="14"/>
      <c r="T15" s="14"/>
      <c r="U15" s="14"/>
      <c r="W15" s="14"/>
      <c r="X15" s="14"/>
      <c r="Y15" s="14"/>
      <c r="Z15" s="14"/>
      <c r="AB15" s="14"/>
      <c r="AC15" s="14"/>
      <c r="AD15" s="14"/>
      <c r="AE15" s="14"/>
      <c r="AG15" s="14"/>
      <c r="AH15" s="14">
        <v>1460</v>
      </c>
      <c r="AI15" s="14"/>
      <c r="AJ15" s="14"/>
      <c r="AK15" s="14"/>
      <c r="AN15" s="14"/>
      <c r="AO15" s="14"/>
    </row>
    <row r="16" spans="1:41">
      <c r="A16" s="4" t="s">
        <v>398</v>
      </c>
      <c r="B16" s="14">
        <v>395</v>
      </c>
      <c r="C16" s="14">
        <v>397</v>
      </c>
      <c r="D16" s="14">
        <v>194</v>
      </c>
      <c r="E16" s="14">
        <v>766</v>
      </c>
      <c r="F16" s="14">
        <v>583</v>
      </c>
      <c r="G16" s="14">
        <v>466</v>
      </c>
      <c r="H16" s="14">
        <v>2184</v>
      </c>
      <c r="I16" s="14">
        <v>353</v>
      </c>
      <c r="J16" s="98">
        <f t="shared" si="5"/>
        <v>353</v>
      </c>
      <c r="K16" s="98">
        <f t="shared" si="5"/>
        <v>353</v>
      </c>
      <c r="L16" s="98">
        <f t="shared" si="5"/>
        <v>353</v>
      </c>
      <c r="M16" s="347"/>
      <c r="N16" s="6"/>
      <c r="O16" s="6"/>
      <c r="P16" s="6"/>
      <c r="R16" s="14"/>
      <c r="S16" s="14"/>
      <c r="T16" s="14">
        <v>357</v>
      </c>
      <c r="U16" s="14"/>
      <c r="W16" s="14"/>
      <c r="X16" s="14">
        <v>740</v>
      </c>
      <c r="Y16" s="14">
        <v>735</v>
      </c>
      <c r="Z16" s="14"/>
      <c r="AB16" s="14">
        <v>762</v>
      </c>
      <c r="AC16" s="14">
        <v>551</v>
      </c>
      <c r="AD16" s="14">
        <v>762</v>
      </c>
      <c r="AE16" s="14"/>
      <c r="AG16" s="14"/>
      <c r="AH16" s="14">
        <v>506</v>
      </c>
      <c r="AI16" s="14">
        <v>469</v>
      </c>
      <c r="AJ16" s="14"/>
      <c r="AK16" s="14">
        <v>466</v>
      </c>
      <c r="AN16" s="14">
        <v>2397</v>
      </c>
      <c r="AO16" s="14"/>
    </row>
    <row r="17" spans="1:41">
      <c r="A17" s="4" t="s">
        <v>399</v>
      </c>
      <c r="B17" s="14">
        <v>12</v>
      </c>
      <c r="C17" s="14"/>
      <c r="D17" s="14">
        <v>181</v>
      </c>
      <c r="E17" s="14">
        <v>51</v>
      </c>
      <c r="F17" s="14">
        <v>59</v>
      </c>
      <c r="G17" s="14">
        <v>127</v>
      </c>
      <c r="H17" s="14">
        <v>1591</v>
      </c>
      <c r="I17" s="14">
        <v>1844</v>
      </c>
      <c r="J17" s="444">
        <f>I17*1</f>
        <v>1844</v>
      </c>
      <c r="K17" s="444">
        <f t="shared" ref="K17:L17" si="6">J17*1</f>
        <v>1844</v>
      </c>
      <c r="L17" s="444">
        <f t="shared" si="6"/>
        <v>1844</v>
      </c>
      <c r="M17" s="347"/>
      <c r="N17" s="6"/>
      <c r="O17" s="6"/>
      <c r="P17" s="6"/>
      <c r="R17" s="14"/>
      <c r="S17" s="14"/>
      <c r="T17" s="14">
        <v>8181</v>
      </c>
      <c r="U17" s="14"/>
      <c r="W17" s="14"/>
      <c r="X17" s="14">
        <v>11657</v>
      </c>
      <c r="Y17" s="14">
        <v>12555</v>
      </c>
      <c r="Z17" s="14"/>
      <c r="AB17" s="14"/>
      <c r="AC17" s="14"/>
      <c r="AD17" s="14"/>
      <c r="AE17" s="14"/>
      <c r="AG17" s="14"/>
      <c r="AH17" s="14">
        <v>69</v>
      </c>
      <c r="AI17" s="14"/>
      <c r="AJ17" s="14"/>
      <c r="AK17" s="14">
        <v>127</v>
      </c>
      <c r="AN17" s="14">
        <v>79</v>
      </c>
      <c r="AO17" s="14"/>
    </row>
    <row r="18" spans="1:41">
      <c r="A18" s="4" t="s">
        <v>400</v>
      </c>
      <c r="B18" s="14"/>
      <c r="C18" s="14"/>
      <c r="D18" s="333">
        <v>548</v>
      </c>
      <c r="E18" s="333">
        <v>937</v>
      </c>
      <c r="F18" s="333">
        <v>1786</v>
      </c>
      <c r="G18" s="333">
        <v>2317</v>
      </c>
      <c r="H18" s="333">
        <v>2735</v>
      </c>
      <c r="I18" s="333">
        <v>2187</v>
      </c>
      <c r="J18" s="470">
        <f t="shared" ref="J18:L18" si="7">I18</f>
        <v>2187</v>
      </c>
      <c r="K18" s="470">
        <f t="shared" si="7"/>
        <v>2187</v>
      </c>
      <c r="L18" s="470">
        <f t="shared" si="7"/>
        <v>2187</v>
      </c>
      <c r="M18" s="347"/>
      <c r="N18" s="6"/>
      <c r="O18" s="6"/>
      <c r="P18" s="6"/>
      <c r="R18" s="14"/>
      <c r="S18" s="14"/>
      <c r="T18" s="14"/>
      <c r="U18" s="14"/>
      <c r="W18" s="14"/>
      <c r="X18" s="14"/>
      <c r="Y18" s="14"/>
      <c r="Z18" s="14"/>
      <c r="AB18" s="14"/>
      <c r="AC18" s="14"/>
      <c r="AD18" s="14"/>
      <c r="AE18" s="14"/>
      <c r="AG18" s="14"/>
      <c r="AH18" s="14">
        <v>2185</v>
      </c>
      <c r="AI18" s="14"/>
      <c r="AJ18" s="14"/>
      <c r="AK18" s="14">
        <v>2317</v>
      </c>
      <c r="AN18" s="14">
        <v>2573</v>
      </c>
      <c r="AO18" s="14"/>
    </row>
    <row r="19" spans="1:41">
      <c r="A19" s="4" t="s">
        <v>401</v>
      </c>
      <c r="B19" s="14"/>
      <c r="C19" s="14"/>
      <c r="D19" s="14"/>
      <c r="E19" s="14"/>
      <c r="F19" s="14"/>
      <c r="G19" s="14"/>
      <c r="H19" s="14"/>
      <c r="I19" s="14"/>
      <c r="J19" s="98"/>
      <c r="K19" s="98"/>
      <c r="L19" s="98"/>
      <c r="M19" s="347"/>
      <c r="N19" s="6"/>
      <c r="O19" s="6"/>
      <c r="P19" s="6"/>
      <c r="R19" s="14"/>
      <c r="S19" s="14"/>
      <c r="T19" s="14">
        <v>688</v>
      </c>
      <c r="U19" s="14"/>
      <c r="W19" s="14"/>
      <c r="X19" s="14">
        <v>2920</v>
      </c>
      <c r="Y19" s="14">
        <v>2342</v>
      </c>
      <c r="Z19" s="14"/>
      <c r="AB19" s="14"/>
      <c r="AC19" s="14"/>
      <c r="AD19" s="14"/>
      <c r="AE19" s="14"/>
      <c r="AG19" s="14"/>
      <c r="AH19" s="14"/>
      <c r="AI19" s="14"/>
      <c r="AJ19" s="14"/>
      <c r="AK19" s="14"/>
      <c r="AN19" s="14"/>
      <c r="AO19" s="14"/>
    </row>
    <row r="20" spans="1:41">
      <c r="A20" s="4" t="s">
        <v>402</v>
      </c>
      <c r="B20" s="14"/>
      <c r="C20" s="14"/>
      <c r="D20" s="14"/>
      <c r="E20" s="14"/>
      <c r="F20" s="14">
        <f t="shared" ref="E20:I21" si="8">E20</f>
        <v>0</v>
      </c>
      <c r="G20" s="14">
        <v>1304</v>
      </c>
      <c r="H20" s="14">
        <v>1743</v>
      </c>
      <c r="I20" s="14">
        <v>3189</v>
      </c>
      <c r="J20" s="98">
        <f t="shared" ref="J20:L21" si="9">I20</f>
        <v>3189</v>
      </c>
      <c r="K20" s="98">
        <f t="shared" si="9"/>
        <v>3189</v>
      </c>
      <c r="L20" s="98">
        <f t="shared" si="9"/>
        <v>3189</v>
      </c>
      <c r="M20" s="347"/>
      <c r="N20" s="6"/>
      <c r="O20" s="6"/>
      <c r="P20" s="6"/>
      <c r="R20" s="14"/>
      <c r="S20" s="14"/>
      <c r="T20" s="14"/>
      <c r="U20" s="14"/>
      <c r="W20" s="14"/>
      <c r="X20" s="14"/>
      <c r="Y20" s="14"/>
      <c r="Z20" s="14"/>
      <c r="AB20" s="14"/>
      <c r="AC20" s="14"/>
      <c r="AD20" s="14"/>
      <c r="AE20" s="14"/>
      <c r="AG20" s="14"/>
      <c r="AH20" s="14"/>
      <c r="AI20" s="14"/>
      <c r="AJ20" s="14"/>
      <c r="AK20" s="14">
        <v>1304</v>
      </c>
      <c r="AN20" s="14">
        <v>1334</v>
      </c>
      <c r="AO20" s="14"/>
    </row>
    <row r="21" spans="1:41">
      <c r="A21" s="4" t="s">
        <v>403</v>
      </c>
      <c r="B21" s="14">
        <v>333</v>
      </c>
      <c r="C21" s="14"/>
      <c r="D21" s="14"/>
      <c r="E21" s="14">
        <f t="shared" si="8"/>
        <v>0</v>
      </c>
      <c r="F21" s="14">
        <f t="shared" si="8"/>
        <v>0</v>
      </c>
      <c r="G21" s="14">
        <f t="shared" si="8"/>
        <v>0</v>
      </c>
      <c r="H21" s="14">
        <f t="shared" si="8"/>
        <v>0</v>
      </c>
      <c r="I21" s="14">
        <f t="shared" si="8"/>
        <v>0</v>
      </c>
      <c r="J21" s="13">
        <f t="shared" si="9"/>
        <v>0</v>
      </c>
      <c r="K21" s="13">
        <f t="shared" si="9"/>
        <v>0</v>
      </c>
      <c r="L21" s="13">
        <f t="shared" si="9"/>
        <v>0</v>
      </c>
      <c r="M21" s="347"/>
      <c r="N21" s="6"/>
      <c r="O21" s="6"/>
      <c r="P21" s="6"/>
      <c r="R21" s="14"/>
      <c r="S21" s="14"/>
      <c r="T21" s="14"/>
      <c r="U21" s="14"/>
      <c r="W21" s="14"/>
      <c r="X21" s="14"/>
      <c r="Y21" s="14"/>
      <c r="Z21" s="14"/>
      <c r="AB21" s="14"/>
      <c r="AC21" s="14"/>
      <c r="AD21" s="14"/>
      <c r="AE21" s="14"/>
      <c r="AG21" s="14"/>
      <c r="AH21" s="14"/>
      <c r="AI21" s="14"/>
      <c r="AJ21" s="14"/>
      <c r="AK21" s="14"/>
      <c r="AN21" s="14"/>
      <c r="AO21" s="14"/>
    </row>
    <row r="22" spans="1:41">
      <c r="A22" s="61" t="s">
        <v>404</v>
      </c>
      <c r="B22" s="63">
        <v>2103</v>
      </c>
      <c r="C22" s="63">
        <f t="shared" ref="C22:G22" si="10">SUM(C12:C21)</f>
        <v>2491</v>
      </c>
      <c r="D22" s="63">
        <f t="shared" si="10"/>
        <v>1947</v>
      </c>
      <c r="E22" s="63">
        <f t="shared" si="10"/>
        <v>9438</v>
      </c>
      <c r="F22" s="63">
        <f>SUM(F12:F21)</f>
        <v>7742</v>
      </c>
      <c r="G22" s="63">
        <f t="shared" si="10"/>
        <v>8493</v>
      </c>
      <c r="H22" s="63">
        <f t="shared" ref="H22:I22" si="11">SUM(H12:H21)</f>
        <v>13817</v>
      </c>
      <c r="I22" s="63">
        <f t="shared" si="11"/>
        <v>15314</v>
      </c>
      <c r="J22" s="63">
        <f t="shared" ref="J22" si="12">SUM(J12:J21)</f>
        <v>66923</v>
      </c>
      <c r="K22" s="63">
        <f t="shared" ref="K22:L22" si="13">SUM(K12:K21)</f>
        <v>66395.239999999991</v>
      </c>
      <c r="L22" s="63">
        <f t="shared" si="13"/>
        <v>65872.757599999997</v>
      </c>
      <c r="M22" s="347"/>
      <c r="R22" s="63">
        <f>SUM(R18:R21)</f>
        <v>0</v>
      </c>
      <c r="S22" s="63">
        <f>SUM(S18:S21)</f>
        <v>0</v>
      </c>
      <c r="T22" s="63">
        <f>SUM(T12:T21)</f>
        <v>9241</v>
      </c>
      <c r="U22" s="63">
        <f>SUM(U18:U21)</f>
        <v>0</v>
      </c>
      <c r="W22" s="63">
        <f>SUM(W18:W21)</f>
        <v>0</v>
      </c>
      <c r="X22" s="63">
        <f>SUM(X12:X21)</f>
        <v>19609</v>
      </c>
      <c r="Y22" s="63">
        <f>SUM(Y12:Y21)</f>
        <v>20252</v>
      </c>
      <c r="Z22" s="63"/>
      <c r="AB22" s="63">
        <f t="shared" ref="AB22:AE22" si="14">SUM(AB12:AB21)</f>
        <v>6786</v>
      </c>
      <c r="AC22" s="63">
        <f t="shared" si="14"/>
        <v>6391</v>
      </c>
      <c r="AD22" s="63">
        <f t="shared" si="14"/>
        <v>6786</v>
      </c>
      <c r="AE22" s="63">
        <f t="shared" si="14"/>
        <v>0</v>
      </c>
      <c r="AG22" s="63"/>
      <c r="AH22" s="63">
        <f t="shared" ref="AH22" si="15">SUM(AH12:AH21)</f>
        <v>8233</v>
      </c>
      <c r="AI22" s="63"/>
      <c r="AJ22" s="63">
        <f t="shared" ref="AJ22:AK22" si="16">SUM(AJ12:AJ21)</f>
        <v>0</v>
      </c>
      <c r="AK22" s="63">
        <f t="shared" si="16"/>
        <v>8493</v>
      </c>
      <c r="AN22" s="63">
        <f t="shared" ref="AN22:AO22" si="17">SUM(AN12:AN21)</f>
        <v>7368</v>
      </c>
      <c r="AO22" s="63">
        <f t="shared" si="17"/>
        <v>6871</v>
      </c>
    </row>
    <row r="23" spans="1:41">
      <c r="A23" s="6"/>
      <c r="B23" s="7"/>
      <c r="C23" s="7"/>
      <c r="D23" s="7"/>
      <c r="E23" s="7"/>
      <c r="F23" s="7"/>
      <c r="G23" s="7"/>
      <c r="H23" s="7"/>
      <c r="I23" s="7"/>
      <c r="J23" s="7"/>
      <c r="K23" s="7"/>
      <c r="L23" s="7"/>
      <c r="M23" s="347"/>
      <c r="R23" s="7"/>
      <c r="S23" s="7"/>
      <c r="T23" s="7"/>
      <c r="U23" s="7"/>
      <c r="W23" s="7"/>
      <c r="X23" s="7"/>
      <c r="Y23" s="7"/>
      <c r="Z23" s="7"/>
      <c r="AB23" s="7"/>
      <c r="AC23" s="7"/>
      <c r="AD23" s="7"/>
      <c r="AE23" s="7"/>
      <c r="AG23" s="7"/>
      <c r="AH23" s="7"/>
      <c r="AI23" s="7"/>
      <c r="AJ23" s="7"/>
      <c r="AK23" s="7"/>
      <c r="AN23" s="7"/>
      <c r="AO23" s="7"/>
    </row>
    <row r="24" spans="1:41">
      <c r="A24" s="4" t="s">
        <v>405</v>
      </c>
      <c r="M24" s="347"/>
    </row>
    <row r="25" spans="1:41">
      <c r="A25" s="4" t="s">
        <v>395</v>
      </c>
      <c r="B25" s="14">
        <v>1647</v>
      </c>
      <c r="C25" s="14">
        <v>2634</v>
      </c>
      <c r="D25" s="14">
        <v>3398</v>
      </c>
      <c r="E25" s="14">
        <v>6160</v>
      </c>
      <c r="F25" s="14">
        <v>6481</v>
      </c>
      <c r="G25" s="14">
        <v>8062</v>
      </c>
      <c r="H25" s="14">
        <v>9883</v>
      </c>
      <c r="I25" s="14">
        <v>17754</v>
      </c>
      <c r="J25" s="98">
        <f t="shared" ref="J25" si="18">J138</f>
        <v>26247.177812837985</v>
      </c>
      <c r="K25" s="98">
        <f t="shared" ref="K25:L25" si="19">K138</f>
        <v>31885.320886820715</v>
      </c>
      <c r="L25" s="98">
        <f t="shared" si="19"/>
        <v>37958.417653044387</v>
      </c>
      <c r="M25" s="347"/>
      <c r="N25" s="17"/>
      <c r="O25" s="17"/>
      <c r="P25" s="17"/>
      <c r="Q25" s="17"/>
      <c r="R25" s="14"/>
      <c r="S25" s="14"/>
      <c r="T25" s="14"/>
      <c r="U25" s="14"/>
      <c r="W25" s="14"/>
      <c r="X25" s="14"/>
      <c r="Y25" s="14"/>
      <c r="Z25" s="14"/>
      <c r="AB25" s="14"/>
      <c r="AC25" s="14"/>
      <c r="AD25" s="14"/>
      <c r="AE25" s="14"/>
      <c r="AG25" s="14"/>
      <c r="AH25" s="14">
        <v>6746</v>
      </c>
      <c r="AI25" s="14"/>
      <c r="AJ25" s="14"/>
      <c r="AK25" s="14">
        <v>8062</v>
      </c>
      <c r="AN25" s="14">
        <v>8876</v>
      </c>
      <c r="AO25" s="14"/>
    </row>
    <row r="26" spans="1:41">
      <c r="A26" s="4" t="s">
        <v>396</v>
      </c>
      <c r="B26" s="14">
        <v>1587</v>
      </c>
      <c r="C26" s="14">
        <v>2406</v>
      </c>
      <c r="D26" s="14">
        <v>1195</v>
      </c>
      <c r="E26" s="14">
        <v>2398</v>
      </c>
      <c r="F26" s="14">
        <v>7377</v>
      </c>
      <c r="G26" s="14">
        <v>2375</v>
      </c>
      <c r="H26" s="14">
        <v>4554</v>
      </c>
      <c r="I26" s="14">
        <v>7188</v>
      </c>
      <c r="J26" s="98">
        <f t="shared" ref="J26:L32" si="20">I26</f>
        <v>7188</v>
      </c>
      <c r="K26" s="98">
        <f t="shared" si="20"/>
        <v>7188</v>
      </c>
      <c r="L26" s="98">
        <f t="shared" si="20"/>
        <v>7188</v>
      </c>
      <c r="M26" s="347"/>
      <c r="R26" s="14"/>
      <c r="S26" s="14"/>
      <c r="T26" s="14"/>
      <c r="U26" s="14"/>
      <c r="W26" s="14"/>
      <c r="X26" s="14"/>
      <c r="Y26" s="14"/>
      <c r="Z26" s="14"/>
      <c r="AB26" s="14">
        <v>13646</v>
      </c>
      <c r="AC26" s="14">
        <v>14504</v>
      </c>
      <c r="AD26" s="14">
        <v>13646</v>
      </c>
      <c r="AE26" s="14"/>
      <c r="AG26" s="14"/>
      <c r="AH26" s="14">
        <v>1911</v>
      </c>
      <c r="AI26" s="14">
        <v>-17230</v>
      </c>
      <c r="AJ26" s="14"/>
      <c r="AK26" s="14">
        <v>2375</v>
      </c>
      <c r="AN26" s="14">
        <v>12584</v>
      </c>
      <c r="AO26" s="14">
        <v>-26026</v>
      </c>
    </row>
    <row r="27" spans="1:41">
      <c r="A27" s="4" t="s">
        <v>397</v>
      </c>
      <c r="B27" s="51">
        <v>334</v>
      </c>
      <c r="C27" s="51">
        <v>329</v>
      </c>
      <c r="D27" s="51">
        <v>225</v>
      </c>
      <c r="E27" s="51">
        <v>316</v>
      </c>
      <c r="F27" s="51">
        <v>360</v>
      </c>
      <c r="G27" s="51"/>
      <c r="H27" s="51"/>
      <c r="I27" s="51"/>
      <c r="J27" s="98">
        <f t="shared" si="20"/>
        <v>0</v>
      </c>
      <c r="K27" s="98">
        <f t="shared" si="20"/>
        <v>0</v>
      </c>
      <c r="L27" s="98">
        <f t="shared" si="20"/>
        <v>0</v>
      </c>
      <c r="M27" s="347"/>
      <c r="R27" s="51"/>
      <c r="S27" s="51"/>
      <c r="T27" s="51"/>
      <c r="U27" s="51"/>
      <c r="W27" s="51"/>
      <c r="X27" s="51"/>
      <c r="Y27" s="51"/>
      <c r="Z27" s="51"/>
      <c r="AB27" s="51"/>
      <c r="AC27" s="51"/>
      <c r="AD27" s="51"/>
      <c r="AE27" s="51"/>
      <c r="AG27" s="51"/>
      <c r="AH27" s="51"/>
      <c r="AI27" s="51"/>
      <c r="AJ27" s="51"/>
      <c r="AK27" s="51"/>
      <c r="AN27" s="51"/>
      <c r="AO27" s="51"/>
    </row>
    <row r="28" spans="1:41">
      <c r="A28" s="4" t="s">
        <v>406</v>
      </c>
      <c r="B28" s="14">
        <v>2265</v>
      </c>
      <c r="C28" s="14">
        <v>2573</v>
      </c>
      <c r="D28" s="14">
        <v>3607</v>
      </c>
      <c r="E28" s="14">
        <v>2324</v>
      </c>
      <c r="F28" s="14">
        <v>2721</v>
      </c>
      <c r="G28" s="14">
        <v>2917</v>
      </c>
      <c r="H28" s="14">
        <v>4330</v>
      </c>
      <c r="I28" s="14">
        <f>6077+0</f>
        <v>6077</v>
      </c>
      <c r="J28" s="98">
        <f t="shared" si="20"/>
        <v>6077</v>
      </c>
      <c r="K28" s="98">
        <f t="shared" si="20"/>
        <v>6077</v>
      </c>
      <c r="L28" s="98">
        <f t="shared" si="20"/>
        <v>6077</v>
      </c>
      <c r="M28" s="347"/>
      <c r="R28" s="14"/>
      <c r="S28" s="14"/>
      <c r="T28" s="14"/>
      <c r="U28" s="14"/>
      <c r="W28" s="14"/>
      <c r="X28" s="14"/>
      <c r="Y28" s="14"/>
      <c r="Z28" s="14"/>
      <c r="AB28" s="14">
        <v>3321</v>
      </c>
      <c r="AC28" s="14">
        <v>3425</v>
      </c>
      <c r="AD28" s="14">
        <v>3321</v>
      </c>
      <c r="AE28" s="14"/>
      <c r="AG28" s="14"/>
      <c r="AH28" s="14">
        <v>2767</v>
      </c>
      <c r="AI28" s="14"/>
      <c r="AJ28" s="14"/>
      <c r="AK28" s="14">
        <v>2917</v>
      </c>
      <c r="AN28" s="14">
        <v>3444</v>
      </c>
      <c r="AO28" s="14"/>
    </row>
    <row r="29" spans="1:41">
      <c r="A29" s="4" t="s">
        <v>407</v>
      </c>
      <c r="B29" s="14"/>
      <c r="C29" s="14"/>
      <c r="D29" s="333"/>
      <c r="E29" s="333">
        <v>180</v>
      </c>
      <c r="F29" s="333">
        <v>0</v>
      </c>
      <c r="G29" s="333">
        <v>967</v>
      </c>
      <c r="H29" s="333">
        <v>6938</v>
      </c>
      <c r="I29" s="333">
        <v>2830</v>
      </c>
      <c r="J29" s="98">
        <f t="shared" si="20"/>
        <v>2830</v>
      </c>
      <c r="K29" s="98">
        <f t="shared" si="20"/>
        <v>2830</v>
      </c>
      <c r="L29" s="98">
        <f t="shared" si="20"/>
        <v>2830</v>
      </c>
      <c r="M29" s="347"/>
      <c r="N29" s="6"/>
      <c r="O29" s="6"/>
      <c r="P29" s="6"/>
      <c r="R29" s="14"/>
      <c r="S29" s="14"/>
      <c r="T29" s="14"/>
      <c r="U29" s="14"/>
      <c r="W29" s="14"/>
      <c r="X29" s="14"/>
      <c r="Y29" s="14"/>
      <c r="Z29" s="14"/>
      <c r="AB29" s="14"/>
      <c r="AC29" s="14"/>
      <c r="AD29" s="14"/>
      <c r="AE29" s="14"/>
      <c r="AG29" s="14"/>
      <c r="AH29" s="14">
        <v>6035</v>
      </c>
      <c r="AI29" s="14">
        <v>6334</v>
      </c>
      <c r="AJ29" s="14"/>
      <c r="AK29" s="14">
        <v>967</v>
      </c>
      <c r="AN29" s="14">
        <v>7184</v>
      </c>
      <c r="AO29" s="14"/>
    </row>
    <row r="30" spans="1:41">
      <c r="A30" s="4" t="s">
        <v>400</v>
      </c>
      <c r="B30" s="14"/>
      <c r="C30" s="14"/>
      <c r="D30" s="333"/>
      <c r="E30" s="333">
        <v>414</v>
      </c>
      <c r="F30" s="333">
        <v>454</v>
      </c>
      <c r="G30" s="333">
        <v>577</v>
      </c>
      <c r="H30" s="333">
        <v>964</v>
      </c>
      <c r="I30" s="333">
        <v>1094</v>
      </c>
      <c r="J30" s="98">
        <f t="shared" si="20"/>
        <v>1094</v>
      </c>
      <c r="K30" s="98">
        <f t="shared" si="20"/>
        <v>1094</v>
      </c>
      <c r="L30" s="98">
        <f t="shared" si="20"/>
        <v>1094</v>
      </c>
      <c r="M30" s="347"/>
      <c r="N30" s="6"/>
      <c r="O30" s="6"/>
      <c r="P30" s="6"/>
      <c r="R30" s="14"/>
      <c r="S30" s="14"/>
      <c r="T30" s="14"/>
      <c r="U30" s="14"/>
      <c r="W30" s="14"/>
      <c r="X30" s="14"/>
      <c r="Y30" s="14"/>
      <c r="Z30" s="14"/>
      <c r="AB30" s="14"/>
      <c r="AC30" s="14"/>
      <c r="AD30" s="14"/>
      <c r="AE30" s="14"/>
      <c r="AG30" s="14"/>
      <c r="AH30" s="14">
        <v>483</v>
      </c>
      <c r="AI30" s="14"/>
      <c r="AJ30" s="14"/>
      <c r="AK30" s="14">
        <v>577</v>
      </c>
      <c r="AN30" s="14">
        <v>880</v>
      </c>
      <c r="AO30" s="14"/>
    </row>
    <row r="31" spans="1:41">
      <c r="A31" s="4" t="s">
        <v>402</v>
      </c>
      <c r="B31" s="14"/>
      <c r="C31" s="14"/>
      <c r="D31" s="14"/>
      <c r="E31" s="14">
        <f t="shared" ref="E31:G32" si="21">D31</f>
        <v>0</v>
      </c>
      <c r="F31" s="14">
        <f t="shared" si="21"/>
        <v>0</v>
      </c>
      <c r="G31" s="14">
        <v>417</v>
      </c>
      <c r="H31" s="14">
        <v>706</v>
      </c>
      <c r="I31" s="14">
        <v>987</v>
      </c>
      <c r="J31" s="98">
        <f t="shared" si="20"/>
        <v>987</v>
      </c>
      <c r="K31" s="98">
        <f t="shared" si="20"/>
        <v>987</v>
      </c>
      <c r="L31" s="98">
        <f t="shared" si="20"/>
        <v>987</v>
      </c>
      <c r="M31" s="347"/>
      <c r="R31" s="14"/>
      <c r="S31" s="14"/>
      <c r="T31" s="14"/>
      <c r="U31" s="14"/>
      <c r="W31" s="14"/>
      <c r="X31" s="14"/>
      <c r="Y31" s="14"/>
      <c r="Z31" s="14"/>
      <c r="AB31" s="14"/>
      <c r="AC31" s="14"/>
      <c r="AD31" s="14"/>
      <c r="AE31" s="14"/>
      <c r="AG31" s="14"/>
      <c r="AH31" s="14">
        <v>396</v>
      </c>
      <c r="AI31" s="14"/>
      <c r="AJ31" s="14"/>
      <c r="AK31" s="14">
        <v>417</v>
      </c>
      <c r="AN31" s="14">
        <v>1088</v>
      </c>
      <c r="AO31" s="14"/>
    </row>
    <row r="32" spans="1:41">
      <c r="A32" s="4" t="s">
        <v>408</v>
      </c>
      <c r="B32" s="14"/>
      <c r="C32" s="14"/>
      <c r="D32" s="14"/>
      <c r="E32" s="14">
        <f t="shared" si="21"/>
        <v>0</v>
      </c>
      <c r="F32" s="14">
        <f t="shared" si="21"/>
        <v>0</v>
      </c>
      <c r="G32" s="14">
        <f t="shared" si="21"/>
        <v>0</v>
      </c>
      <c r="H32" s="14"/>
      <c r="I32" s="14">
        <v>764</v>
      </c>
      <c r="J32" s="98">
        <f t="shared" si="20"/>
        <v>764</v>
      </c>
      <c r="K32" s="98">
        <f t="shared" si="20"/>
        <v>764</v>
      </c>
      <c r="L32" s="98">
        <f t="shared" si="20"/>
        <v>764</v>
      </c>
      <c r="M32" s="347"/>
      <c r="N32" s="6"/>
      <c r="O32" s="6"/>
      <c r="P32" s="6"/>
      <c r="R32" s="14"/>
      <c r="S32" s="14"/>
      <c r="T32" s="14"/>
      <c r="U32" s="14"/>
      <c r="W32" s="14"/>
      <c r="X32" s="14"/>
      <c r="Y32" s="14"/>
      <c r="Z32" s="14"/>
      <c r="AB32" s="14"/>
      <c r="AC32" s="14"/>
      <c r="AD32" s="14"/>
      <c r="AE32" s="14"/>
      <c r="AG32" s="14"/>
      <c r="AH32" s="14"/>
      <c r="AI32" s="14"/>
      <c r="AJ32" s="14"/>
      <c r="AK32"/>
      <c r="AN32" s="14"/>
      <c r="AO32" s="14"/>
    </row>
    <row r="33" spans="1:41">
      <c r="A33" s="6" t="s">
        <v>409</v>
      </c>
      <c r="B33" s="7">
        <v>5833</v>
      </c>
      <c r="C33" s="7">
        <f t="shared" ref="C33" si="22">SUM(C25:C32)</f>
        <v>7942</v>
      </c>
      <c r="D33" s="7">
        <f t="shared" ref="D33:I33" si="23">SUM(D25:D32)</f>
        <v>8425</v>
      </c>
      <c r="E33" s="7">
        <f t="shared" si="23"/>
        <v>11792</v>
      </c>
      <c r="F33" s="7">
        <f t="shared" si="23"/>
        <v>17393</v>
      </c>
      <c r="G33" s="7">
        <f t="shared" si="23"/>
        <v>15315</v>
      </c>
      <c r="H33" s="7">
        <f t="shared" si="23"/>
        <v>27375</v>
      </c>
      <c r="I33" s="7">
        <f t="shared" si="23"/>
        <v>36694</v>
      </c>
      <c r="J33" s="445">
        <f t="shared" ref="J33" si="24">SUM(J25:J32)</f>
        <v>45187.177812837981</v>
      </c>
      <c r="K33" s="445">
        <f t="shared" ref="K33:L33" si="25">SUM(K25:K32)</f>
        <v>50825.320886820715</v>
      </c>
      <c r="L33" s="445">
        <f t="shared" si="25"/>
        <v>56898.417653044387</v>
      </c>
      <c r="M33" s="347"/>
      <c r="N33" s="6"/>
      <c r="O33" s="6"/>
      <c r="P33" s="6"/>
      <c r="R33" s="7">
        <f>SUM(R29:R32)</f>
        <v>0</v>
      </c>
      <c r="S33" s="7">
        <f>SUM(S29:S32)</f>
        <v>0</v>
      </c>
      <c r="T33" s="7">
        <f>SUM(T29:T32)</f>
        <v>0</v>
      </c>
      <c r="U33" s="7">
        <f>SUM(U29:U32)</f>
        <v>0</v>
      </c>
      <c r="W33" s="7">
        <f>SUM(W29:W32)</f>
        <v>0</v>
      </c>
      <c r="X33" s="7">
        <f>SUM(X29:X32)</f>
        <v>0</v>
      </c>
      <c r="Y33" s="7">
        <f>SUM(Y29:Y32)</f>
        <v>0</v>
      </c>
      <c r="Z33" s="7"/>
      <c r="AB33" s="7">
        <f>SUM(AB24:AB32)</f>
        <v>16967</v>
      </c>
      <c r="AC33" s="7">
        <f>SUM(AC24:AC32)</f>
        <v>17929</v>
      </c>
      <c r="AD33" s="7">
        <f>SUM(AD24:AD32)</f>
        <v>16967</v>
      </c>
      <c r="AE33" s="7"/>
      <c r="AG33" s="7"/>
      <c r="AH33" s="7">
        <f>SUM(AH24:AH32)</f>
        <v>18338</v>
      </c>
      <c r="AI33" s="7"/>
      <c r="AJ33" s="7"/>
      <c r="AK33" s="7">
        <f>SUM(AK24:AK32)</f>
        <v>15315</v>
      </c>
      <c r="AN33" s="7">
        <f>SUM(AN24:AN32)</f>
        <v>34056</v>
      </c>
      <c r="AO33" s="7">
        <f>SUM(AO24:AO32)</f>
        <v>-26026</v>
      </c>
    </row>
    <row r="34" spans="1:41">
      <c r="A34" s="6" t="s">
        <v>410</v>
      </c>
      <c r="B34" s="7"/>
      <c r="C34" s="7"/>
      <c r="D34" s="7"/>
      <c r="E34" s="7"/>
      <c r="F34" s="7"/>
      <c r="G34" s="7"/>
      <c r="H34" s="7">
        <v>425</v>
      </c>
      <c r="I34" s="7"/>
      <c r="J34" s="7"/>
      <c r="K34" s="7"/>
      <c r="L34" s="7"/>
      <c r="M34" s="347"/>
      <c r="R34" s="7"/>
      <c r="S34" s="7"/>
      <c r="T34" s="7"/>
      <c r="U34" s="7"/>
      <c r="W34" s="7"/>
      <c r="X34" s="7"/>
      <c r="Y34" s="7"/>
      <c r="Z34" s="7"/>
      <c r="AB34" s="7"/>
      <c r="AC34" s="7"/>
      <c r="AD34" s="7"/>
      <c r="AE34" s="7"/>
      <c r="AG34" s="7"/>
      <c r="AH34" s="7"/>
      <c r="AI34" s="7"/>
      <c r="AJ34" s="7"/>
      <c r="AK34" s="7"/>
      <c r="AN34" s="7"/>
      <c r="AO34" s="7"/>
    </row>
    <row r="35" spans="1:41" ht="15" thickBot="1">
      <c r="A35" s="218" t="s">
        <v>411</v>
      </c>
      <c r="B35" s="219">
        <v>28734</v>
      </c>
      <c r="C35" s="219">
        <f t="shared" ref="C35:E35" si="26">C7+C22+C33+C9</f>
        <v>34398</v>
      </c>
      <c r="D35" s="219">
        <f t="shared" si="26"/>
        <v>35033</v>
      </c>
      <c r="E35" s="219">
        <f t="shared" si="26"/>
        <v>49544</v>
      </c>
      <c r="F35" s="219">
        <f>F7+F22+F33+F9</f>
        <v>56834</v>
      </c>
      <c r="G35" s="219">
        <f>G7+G22+G33+G9</f>
        <v>61077</v>
      </c>
      <c r="H35" s="219">
        <f>H7+H22+H33+H9+H34</f>
        <v>124907</v>
      </c>
      <c r="I35" s="219">
        <f>I7+I22+I33+I9</f>
        <v>148814</v>
      </c>
      <c r="J35" s="219">
        <f t="shared" ref="J35" si="27">J7+J22+J33+J9</f>
        <v>397978.33362981037</v>
      </c>
      <c r="K35" s="219">
        <f t="shared" ref="K35:L35" si="28">K7+K22+K33+K9</f>
        <v>426385.2374977069</v>
      </c>
      <c r="L35" s="219">
        <f t="shared" si="28"/>
        <v>459073.2429771818</v>
      </c>
      <c r="M35" s="347"/>
      <c r="R35" s="219">
        <f>R7+R22+R33+R9</f>
        <v>0</v>
      </c>
      <c r="S35" s="219">
        <f>S7+S22+S33+S9</f>
        <v>0</v>
      </c>
      <c r="T35" s="219">
        <f>T7+T22+T33+T9</f>
        <v>32453</v>
      </c>
      <c r="U35" s="219">
        <f>U7+U22+U33+U9</f>
        <v>0</v>
      </c>
      <c r="W35" s="219">
        <f>W7+W22+W33+W9</f>
        <v>0</v>
      </c>
      <c r="X35" s="219">
        <f>X7+X22+X33+X9</f>
        <v>45281</v>
      </c>
      <c r="Y35" s="219">
        <f>Y7+Y22+Y33+Y9</f>
        <v>47503</v>
      </c>
      <c r="Z35" s="219"/>
      <c r="AB35" s="219">
        <f>AB7+AB22+AB33+AB9</f>
        <v>52009</v>
      </c>
      <c r="AC35" s="219">
        <f>AC7+AC22+AC33+AC9</f>
        <v>53497</v>
      </c>
      <c r="AD35" s="219">
        <f>AD7+AD22+AD33+AD9</f>
        <v>52009</v>
      </c>
      <c r="AE35" s="219"/>
      <c r="AG35" s="219"/>
      <c r="AH35" s="219">
        <f>AH7+AH22+AH33+AH9</f>
        <v>60846</v>
      </c>
      <c r="AI35" s="219"/>
      <c r="AJ35" s="219"/>
      <c r="AK35" s="219">
        <f>AK7+AK22+AK33+AK9</f>
        <v>61077</v>
      </c>
      <c r="AN35" s="219">
        <f>AN7+AN22+AN33+AN9</f>
        <v>121266</v>
      </c>
      <c r="AO35" s="219">
        <f>AO7+AO22+AO33+AO9</f>
        <v>61352</v>
      </c>
    </row>
    <row r="36" spans="1:41" ht="15" thickTop="1">
      <c r="M36" s="347"/>
      <c r="AD36" s="17">
        <f>AD33+AD22</f>
        <v>23753</v>
      </c>
      <c r="AI36" s="17"/>
      <c r="AK36" s="17"/>
    </row>
    <row r="37" spans="1:41">
      <c r="A37" s="4" t="s">
        <v>412</v>
      </c>
      <c r="M37" s="347"/>
    </row>
    <row r="38" spans="1:41">
      <c r="A38" s="4" t="s">
        <v>413</v>
      </c>
      <c r="M38" s="347"/>
      <c r="N38" s="6"/>
      <c r="O38" s="6"/>
      <c r="P38" s="6"/>
    </row>
    <row r="39" spans="1:41">
      <c r="A39" s="4" t="s">
        <v>414</v>
      </c>
      <c r="M39" s="347"/>
      <c r="T39" s="20"/>
      <c r="X39" s="20"/>
      <c r="Y39" s="20"/>
      <c r="AC39" s="20"/>
      <c r="AD39" s="20"/>
      <c r="AH39" s="20"/>
      <c r="AI39" s="20">
        <v>7347</v>
      </c>
      <c r="AK39" s="263">
        <v>4470</v>
      </c>
      <c r="AN39" s="263">
        <v>5082</v>
      </c>
      <c r="AO39" s="263">
        <v>8789</v>
      </c>
    </row>
    <row r="40" spans="1:41">
      <c r="A40" s="283" t="s">
        <v>415</v>
      </c>
      <c r="B40" s="349">
        <v>4191</v>
      </c>
      <c r="C40" s="14">
        <v>4013</v>
      </c>
      <c r="D40" s="14">
        <v>3598</v>
      </c>
      <c r="E40" s="14">
        <v>4452</v>
      </c>
      <c r="F40" s="14">
        <v>4455</v>
      </c>
      <c r="G40" s="14">
        <v>4470</v>
      </c>
      <c r="H40" s="14">
        <v>7682</v>
      </c>
      <c r="I40" s="14">
        <v>9425</v>
      </c>
      <c r="J40" s="98">
        <f>J100</f>
        <v>10347.690693769351</v>
      </c>
      <c r="K40" s="98">
        <f>K100</f>
        <v>11887.150332516972</v>
      </c>
      <c r="L40" s="98">
        <f>L100</f>
        <v>14047.193080374236</v>
      </c>
      <c r="M40" s="347"/>
      <c r="N40" s="17"/>
      <c r="O40" s="17"/>
      <c r="P40" s="17"/>
      <c r="R40" s="14"/>
      <c r="S40" s="14"/>
      <c r="T40" s="14">
        <v>4531</v>
      </c>
      <c r="U40" s="14"/>
      <c r="V40" s="14"/>
      <c r="W40" s="14"/>
      <c r="X40" s="14">
        <v>5696</v>
      </c>
      <c r="Y40" s="14">
        <v>5478</v>
      </c>
      <c r="Z40" s="14"/>
      <c r="AA40" s="14"/>
      <c r="AB40" s="14">
        <v>6288</v>
      </c>
      <c r="AC40" s="20">
        <v>6230</v>
      </c>
      <c r="AD40" s="20">
        <v>6288</v>
      </c>
      <c r="AE40" s="14"/>
      <c r="AG40" s="14"/>
      <c r="AH40" s="20">
        <v>4505</v>
      </c>
      <c r="AI40" s="20"/>
      <c r="AJ40" s="14"/>
      <c r="AK40" s="263"/>
      <c r="AN40" s="263"/>
      <c r="AO40" s="263"/>
    </row>
    <row r="41" spans="1:41">
      <c r="A41" s="283" t="s">
        <v>416</v>
      </c>
      <c r="B41" s="14">
        <v>0</v>
      </c>
      <c r="C41" s="14">
        <v>792</v>
      </c>
      <c r="D41" s="14">
        <v>918</v>
      </c>
      <c r="E41" s="14">
        <v>1476</v>
      </c>
      <c r="F41" s="14">
        <v>2365</v>
      </c>
      <c r="G41" s="14">
        <v>2927</v>
      </c>
      <c r="H41" s="14">
        <v>3554</v>
      </c>
      <c r="I41" s="14">
        <v>3056</v>
      </c>
      <c r="J41" s="98">
        <f>J110</f>
        <v>4229.7229578500492</v>
      </c>
      <c r="K41" s="98">
        <f>K110</f>
        <v>6051.4770283172766</v>
      </c>
      <c r="L41" s="98">
        <f>L110</f>
        <v>8524.7652341552403</v>
      </c>
      <c r="M41" s="347"/>
      <c r="R41" s="14"/>
      <c r="S41" s="14"/>
      <c r="T41" s="14"/>
      <c r="U41" s="14"/>
      <c r="W41" s="14"/>
      <c r="X41" s="14"/>
      <c r="Y41" s="14"/>
      <c r="Z41" s="14"/>
      <c r="AB41" s="14"/>
      <c r="AC41" s="14"/>
      <c r="AD41" s="14"/>
      <c r="AE41" s="14"/>
      <c r="AG41" s="14"/>
      <c r="AH41" s="14">
        <v>2780</v>
      </c>
      <c r="AI41" s="14"/>
      <c r="AJ41" s="14"/>
      <c r="AK41" s="14">
        <v>2927</v>
      </c>
      <c r="AN41" s="14">
        <v>3351</v>
      </c>
      <c r="AO41" s="14"/>
    </row>
    <row r="42" spans="1:41">
      <c r="A42" s="4" t="s">
        <v>417</v>
      </c>
      <c r="B42" s="349">
        <v>14</v>
      </c>
      <c r="C42" s="14">
        <v>3</v>
      </c>
      <c r="D42" s="14">
        <v>2</v>
      </c>
      <c r="E42" s="14">
        <v>86</v>
      </c>
      <c r="F42" s="14">
        <v>46</v>
      </c>
      <c r="G42" s="14">
        <v>232</v>
      </c>
      <c r="H42" s="14">
        <v>24</v>
      </c>
      <c r="I42" s="14">
        <v>33</v>
      </c>
      <c r="J42" s="98">
        <f>I42</f>
        <v>33</v>
      </c>
      <c r="K42" s="98">
        <f>J42</f>
        <v>33</v>
      </c>
      <c r="L42" s="98">
        <f>K42</f>
        <v>33</v>
      </c>
      <c r="M42" s="347"/>
      <c r="R42" s="14"/>
      <c r="S42" s="14"/>
      <c r="T42" s="14">
        <v>10</v>
      </c>
      <c r="U42" s="14"/>
      <c r="W42" s="14"/>
      <c r="X42" s="14">
        <v>43</v>
      </c>
      <c r="Y42" s="14">
        <v>78</v>
      </c>
      <c r="Z42" s="14"/>
      <c r="AB42" s="14">
        <v>52</v>
      </c>
      <c r="AC42" s="14">
        <v>88</v>
      </c>
      <c r="AD42" s="14">
        <v>52</v>
      </c>
      <c r="AE42" s="14"/>
      <c r="AG42" s="14"/>
      <c r="AH42" s="14">
        <v>62</v>
      </c>
      <c r="AI42" s="14">
        <v>68</v>
      </c>
      <c r="AJ42" s="14"/>
      <c r="AK42" s="14">
        <v>232</v>
      </c>
      <c r="AN42" s="14">
        <v>191</v>
      </c>
      <c r="AO42" s="14"/>
    </row>
    <row r="43" spans="1:41">
      <c r="A43" s="4" t="s">
        <v>418</v>
      </c>
      <c r="B43" s="349">
        <v>2448</v>
      </c>
      <c r="C43" s="14">
        <v>4091</v>
      </c>
      <c r="D43" s="14">
        <v>4226</v>
      </c>
      <c r="E43" s="14">
        <v>10708</v>
      </c>
      <c r="F43" s="14">
        <v>11665</v>
      </c>
      <c r="G43" s="14">
        <v>11738</v>
      </c>
      <c r="H43" s="14">
        <v>38430</v>
      </c>
      <c r="I43" s="14">
        <v>41671</v>
      </c>
      <c r="J43" s="98">
        <f>I43+('Encora Financials'!C24)</f>
        <v>211997</v>
      </c>
      <c r="K43" s="98">
        <f>J43*1.01</f>
        <v>214116.97</v>
      </c>
      <c r="L43" s="98">
        <f>K43*1.01</f>
        <v>216258.1397</v>
      </c>
      <c r="M43" s="599"/>
      <c r="O43" s="17"/>
      <c r="R43" s="14"/>
      <c r="S43" s="14"/>
      <c r="T43" s="14"/>
      <c r="U43" s="14"/>
      <c r="W43" s="14"/>
      <c r="X43" s="14"/>
      <c r="Y43" s="14"/>
      <c r="Z43" s="14"/>
      <c r="AB43" s="14"/>
      <c r="AC43" s="14"/>
      <c r="AD43" s="14"/>
      <c r="AE43" s="14"/>
      <c r="AG43" s="14"/>
      <c r="AH43" s="14">
        <v>11651</v>
      </c>
      <c r="AI43" s="14">
        <v>16387</v>
      </c>
      <c r="AJ43" s="14"/>
      <c r="AK43" s="14">
        <v>11738</v>
      </c>
      <c r="AN43" s="14">
        <v>37839</v>
      </c>
      <c r="AO43" s="14"/>
    </row>
    <row r="44" spans="1:41">
      <c r="A44" s="283" t="s">
        <v>419</v>
      </c>
      <c r="B44" s="349">
        <v>1548</v>
      </c>
      <c r="C44" s="14">
        <v>1897</v>
      </c>
      <c r="D44" s="14">
        <v>1464</v>
      </c>
      <c r="E44" s="14">
        <v>4031</v>
      </c>
      <c r="F44" s="14">
        <v>4634</v>
      </c>
      <c r="G44" s="14">
        <v>4395</v>
      </c>
      <c r="H44" s="14">
        <v>11296</v>
      </c>
      <c r="I44" s="14">
        <v>13443</v>
      </c>
      <c r="J44" s="98">
        <f>J126</f>
        <v>12483.346885486797</v>
      </c>
      <c r="K44" s="98">
        <f>K126</f>
        <v>11656.977123329518</v>
      </c>
      <c r="L44" s="98">
        <f>L126</f>
        <v>8972.516840002485</v>
      </c>
      <c r="M44" s="347"/>
      <c r="R44" s="14"/>
      <c r="S44" s="14"/>
      <c r="T44" s="14">
        <v>5889</v>
      </c>
      <c r="U44" s="14"/>
      <c r="W44" s="14"/>
      <c r="X44" s="14">
        <v>14964</v>
      </c>
      <c r="Y44" s="14">
        <v>14781</v>
      </c>
      <c r="Z44" s="14"/>
      <c r="AB44" s="14">
        <v>15033</v>
      </c>
      <c r="AC44" s="14">
        <v>14805</v>
      </c>
      <c r="AD44" s="14">
        <v>15033</v>
      </c>
      <c r="AE44" s="14"/>
      <c r="AG44" s="14"/>
      <c r="AH44" s="14">
        <v>4369</v>
      </c>
      <c r="AI44" s="14"/>
      <c r="AJ44" s="14"/>
      <c r="AK44" s="14">
        <v>4395</v>
      </c>
      <c r="AL44" s="205">
        <f>AK43+AK44</f>
        <v>16133</v>
      </c>
      <c r="AN44" s="14">
        <v>12446</v>
      </c>
      <c r="AO44" s="14">
        <v>51366</v>
      </c>
    </row>
    <row r="45" spans="1:41">
      <c r="A45" s="4" t="s">
        <v>420</v>
      </c>
      <c r="B45" s="14"/>
      <c r="C45" s="14"/>
      <c r="D45" s="14"/>
      <c r="E45" s="14">
        <v>82</v>
      </c>
      <c r="F45" s="14">
        <v>0</v>
      </c>
      <c r="G45" s="14">
        <f t="shared" ref="G45:L45" si="29">F45</f>
        <v>0</v>
      </c>
      <c r="H45" s="14">
        <f t="shared" si="29"/>
        <v>0</v>
      </c>
      <c r="I45" s="14">
        <f t="shared" si="29"/>
        <v>0</v>
      </c>
      <c r="J45" s="98">
        <f t="shared" si="29"/>
        <v>0</v>
      </c>
      <c r="K45" s="98">
        <f t="shared" si="29"/>
        <v>0</v>
      </c>
      <c r="L45" s="98">
        <f t="shared" si="29"/>
        <v>0</v>
      </c>
      <c r="M45" s="347"/>
      <c r="R45" s="14"/>
      <c r="S45" s="14"/>
      <c r="T45" s="14"/>
      <c r="U45" s="14"/>
      <c r="W45" s="14"/>
      <c r="X45" s="14"/>
      <c r="Y45" s="14"/>
      <c r="Z45" s="14"/>
      <c r="AB45" s="14"/>
      <c r="AC45" s="14"/>
      <c r="AD45" s="14"/>
      <c r="AE45" s="14"/>
      <c r="AG45" s="14"/>
      <c r="AH45" s="14">
        <v>203</v>
      </c>
      <c r="AI45" s="14"/>
      <c r="AJ45" s="14"/>
      <c r="AK45" s="14"/>
      <c r="AN45" s="14">
        <v>474</v>
      </c>
      <c r="AO45" s="14"/>
    </row>
    <row r="46" spans="1:41">
      <c r="A46" s="6" t="s">
        <v>421</v>
      </c>
      <c r="B46" s="14"/>
      <c r="C46" s="14"/>
      <c r="D46" s="14">
        <f>D53+D51+D50+D48+D49</f>
        <v>3888</v>
      </c>
      <c r="E46" s="14"/>
      <c r="F46" s="14"/>
      <c r="G46" s="14"/>
      <c r="H46" s="14"/>
      <c r="I46" s="14"/>
      <c r="J46" s="98"/>
      <c r="K46" s="98"/>
      <c r="L46" s="98"/>
      <c r="M46" s="347"/>
      <c r="R46" s="14"/>
      <c r="S46" s="14"/>
      <c r="T46" s="14"/>
      <c r="U46" s="14"/>
      <c r="W46" s="14"/>
      <c r="X46" s="14"/>
      <c r="Y46" s="14"/>
      <c r="Z46" s="14"/>
      <c r="AB46" s="14"/>
      <c r="AC46" s="14"/>
      <c r="AD46" s="14"/>
      <c r="AE46" s="14"/>
      <c r="AG46" s="14"/>
      <c r="AH46" s="14"/>
      <c r="AI46" s="14"/>
      <c r="AJ46" s="14"/>
      <c r="AK46" s="14"/>
      <c r="AN46" s="14"/>
      <c r="AO46" s="14"/>
    </row>
    <row r="47" spans="1:41">
      <c r="A47" s="87" t="s">
        <v>231</v>
      </c>
      <c r="B47" s="14"/>
      <c r="C47" s="14">
        <v>0</v>
      </c>
      <c r="D47" s="14">
        <v>0</v>
      </c>
      <c r="E47" s="14">
        <f t="shared" ref="E47:L47" si="30">D47*1.2</f>
        <v>0</v>
      </c>
      <c r="F47" s="14">
        <v>0</v>
      </c>
      <c r="G47" s="14">
        <v>0</v>
      </c>
      <c r="H47" s="14">
        <v>0</v>
      </c>
      <c r="I47" s="14">
        <v>0</v>
      </c>
      <c r="J47" s="98">
        <f t="shared" si="30"/>
        <v>0</v>
      </c>
      <c r="K47" s="98">
        <f t="shared" si="30"/>
        <v>0</v>
      </c>
      <c r="L47" s="98">
        <f t="shared" si="30"/>
        <v>0</v>
      </c>
      <c r="M47" s="347"/>
      <c r="N47" s="17"/>
      <c r="R47" s="14"/>
      <c r="S47" s="14"/>
      <c r="T47" s="14"/>
      <c r="U47" s="14"/>
      <c r="W47" s="14"/>
      <c r="X47" s="14"/>
      <c r="Y47" s="14"/>
      <c r="Z47" s="14"/>
      <c r="AB47" s="14"/>
      <c r="AC47" s="14"/>
      <c r="AD47" s="14"/>
      <c r="AE47" s="14"/>
      <c r="AG47" s="14"/>
      <c r="AH47" s="14"/>
      <c r="AI47" s="14"/>
      <c r="AJ47" s="14"/>
      <c r="AK47" s="14"/>
      <c r="AN47" s="14">
        <v>28</v>
      </c>
      <c r="AO47" s="14"/>
    </row>
    <row r="48" spans="1:41">
      <c r="A48" s="87" t="s">
        <v>422</v>
      </c>
      <c r="B48" s="349">
        <v>45</v>
      </c>
      <c r="C48" s="14"/>
      <c r="D48" s="14">
        <v>1584</v>
      </c>
      <c r="E48" s="14">
        <v>1691</v>
      </c>
      <c r="F48" s="14">
        <v>1772</v>
      </c>
      <c r="G48" s="14">
        <v>1464</v>
      </c>
      <c r="H48" s="14">
        <v>3911</v>
      </c>
      <c r="I48" s="14">
        <v>8477</v>
      </c>
      <c r="J48" s="98">
        <f>I48</f>
        <v>8477</v>
      </c>
      <c r="K48" s="98">
        <f>J48</f>
        <v>8477</v>
      </c>
      <c r="L48" s="98">
        <f>K48</f>
        <v>8477</v>
      </c>
      <c r="M48" s="347"/>
      <c r="N48" s="314"/>
      <c r="R48" s="14"/>
      <c r="S48" s="14"/>
      <c r="T48" s="14"/>
      <c r="U48" s="14"/>
      <c r="W48" s="14"/>
      <c r="X48" s="14"/>
      <c r="Y48" s="14"/>
      <c r="Z48" s="14"/>
      <c r="AB48" s="14"/>
      <c r="AC48" s="14"/>
      <c r="AD48" s="14"/>
      <c r="AE48" s="14"/>
      <c r="AG48" s="14"/>
      <c r="AH48" s="14">
        <v>1785</v>
      </c>
      <c r="AI48" s="14"/>
      <c r="AJ48" s="14"/>
      <c r="AK48" s="14">
        <v>1464</v>
      </c>
      <c r="AN48" s="14">
        <v>1759</v>
      </c>
      <c r="AO48" s="14"/>
    </row>
    <row r="49" spans="1:41">
      <c r="A49" s="87" t="s">
        <v>423</v>
      </c>
      <c r="B49" s="349">
        <v>243</v>
      </c>
      <c r="C49" s="14">
        <v>650</v>
      </c>
      <c r="D49" s="14">
        <v>245</v>
      </c>
      <c r="E49" s="14">
        <v>421</v>
      </c>
      <c r="F49" s="14">
        <v>479</v>
      </c>
      <c r="G49" s="14">
        <v>590</v>
      </c>
      <c r="H49" s="14">
        <v>893</v>
      </c>
      <c r="I49" s="14">
        <v>980</v>
      </c>
      <c r="J49" s="13">
        <f t="shared" ref="J49:L50" si="31">I49*0.95</f>
        <v>931</v>
      </c>
      <c r="K49" s="13">
        <f t="shared" si="31"/>
        <v>884.44999999999993</v>
      </c>
      <c r="L49" s="13">
        <f t="shared" si="31"/>
        <v>840.22749999999985</v>
      </c>
      <c r="M49" s="347"/>
      <c r="R49" s="14"/>
      <c r="S49" s="14"/>
      <c r="T49" s="14"/>
      <c r="U49" s="14"/>
      <c r="W49" s="14"/>
      <c r="X49" s="14"/>
      <c r="Y49" s="14"/>
      <c r="Z49" s="14"/>
      <c r="AB49" s="14"/>
      <c r="AC49" s="14"/>
      <c r="AD49" s="14"/>
      <c r="AE49" s="14"/>
      <c r="AG49" s="14"/>
      <c r="AH49" s="14">
        <v>437</v>
      </c>
      <c r="AI49" s="14">
        <v>5272</v>
      </c>
      <c r="AJ49" s="14"/>
      <c r="AK49" s="14">
        <v>590</v>
      </c>
      <c r="AN49" s="14">
        <v>1005</v>
      </c>
      <c r="AO49" s="14"/>
    </row>
    <row r="50" spans="1:41">
      <c r="A50" s="4" t="s">
        <v>424</v>
      </c>
      <c r="B50" s="349">
        <v>1032</v>
      </c>
      <c r="C50" s="14">
        <v>1302</v>
      </c>
      <c r="D50" s="14">
        <v>1447</v>
      </c>
      <c r="E50" s="14">
        <v>2736</v>
      </c>
      <c r="F50" s="14">
        <v>3757</v>
      </c>
      <c r="G50" s="14">
        <v>5583</v>
      </c>
      <c r="H50" s="14">
        <v>5470</v>
      </c>
      <c r="I50" s="14">
        <v>6870</v>
      </c>
      <c r="J50" s="13">
        <f t="shared" si="31"/>
        <v>6526.5</v>
      </c>
      <c r="K50" s="13">
        <f t="shared" si="31"/>
        <v>6200.1749999999993</v>
      </c>
      <c r="L50" s="13">
        <f t="shared" si="31"/>
        <v>5890.1662499999993</v>
      </c>
      <c r="M50" s="347"/>
      <c r="R50" s="14"/>
      <c r="S50" s="14"/>
      <c r="T50" s="14"/>
      <c r="U50" s="14"/>
      <c r="W50" s="14"/>
      <c r="X50" s="14">
        <v>1931</v>
      </c>
      <c r="Y50" s="14">
        <v>2436</v>
      </c>
      <c r="Z50" s="14"/>
      <c r="AB50" s="14">
        <v>2906</v>
      </c>
      <c r="AC50" s="14">
        <v>2988</v>
      </c>
      <c r="AD50" s="14">
        <v>2906</v>
      </c>
      <c r="AE50" s="14"/>
      <c r="AG50" s="14"/>
      <c r="AH50" s="14">
        <v>4386</v>
      </c>
      <c r="AI50" s="14"/>
      <c r="AJ50" s="14"/>
      <c r="AK50" s="14">
        <v>5583</v>
      </c>
      <c r="AN50" s="14">
        <v>6091</v>
      </c>
      <c r="AO50" s="14"/>
    </row>
    <row r="51" spans="1:41">
      <c r="A51" s="4" t="s">
        <v>425</v>
      </c>
      <c r="B51" s="349">
        <v>77</v>
      </c>
      <c r="C51" s="14">
        <v>140</v>
      </c>
      <c r="D51" s="14">
        <v>254</v>
      </c>
      <c r="E51" s="14">
        <v>1045</v>
      </c>
      <c r="F51" s="14">
        <v>1364</v>
      </c>
      <c r="G51" s="14">
        <v>3368</v>
      </c>
      <c r="H51" s="14">
        <v>5913</v>
      </c>
      <c r="I51" s="14">
        <v>5801</v>
      </c>
      <c r="J51" s="13">
        <f t="shared" ref="J51:L51" si="32">I51</f>
        <v>5801</v>
      </c>
      <c r="K51" s="13">
        <f t="shared" si="32"/>
        <v>5801</v>
      </c>
      <c r="L51" s="13">
        <f t="shared" si="32"/>
        <v>5801</v>
      </c>
      <c r="M51" s="347"/>
      <c r="R51" s="14"/>
      <c r="S51" s="14"/>
      <c r="T51" s="14"/>
      <c r="U51" s="14"/>
      <c r="W51" s="14"/>
      <c r="X51" s="14"/>
      <c r="Y51" s="14"/>
      <c r="Z51" s="14"/>
      <c r="AB51" s="14"/>
      <c r="AC51" s="14"/>
      <c r="AD51" s="14"/>
      <c r="AE51" s="14"/>
      <c r="AG51" s="14"/>
      <c r="AH51" s="14">
        <v>2388</v>
      </c>
      <c r="AI51" s="14"/>
      <c r="AJ51" s="14"/>
      <c r="AK51" s="14">
        <v>3368</v>
      </c>
      <c r="AN51" s="14">
        <v>3873</v>
      </c>
      <c r="AO51" s="14"/>
    </row>
    <row r="52" spans="1:41">
      <c r="A52" s="283" t="s">
        <v>426</v>
      </c>
      <c r="B52" s="349">
        <v>1144</v>
      </c>
      <c r="C52" s="14"/>
      <c r="D52" s="14"/>
      <c r="E52" s="14"/>
      <c r="F52" s="14">
        <f t="shared" ref="F52:L53" si="33">E52</f>
        <v>0</v>
      </c>
      <c r="G52" s="14">
        <f t="shared" si="33"/>
        <v>0</v>
      </c>
      <c r="H52" s="14">
        <f t="shared" si="33"/>
        <v>0</v>
      </c>
      <c r="I52" s="14">
        <f t="shared" si="33"/>
        <v>0</v>
      </c>
      <c r="J52" s="13">
        <f t="shared" si="33"/>
        <v>0</v>
      </c>
      <c r="K52" s="13">
        <f t="shared" si="33"/>
        <v>0</v>
      </c>
      <c r="L52" s="13">
        <f t="shared" si="33"/>
        <v>0</v>
      </c>
      <c r="M52" s="347"/>
      <c r="R52" s="14"/>
      <c r="S52" s="14"/>
      <c r="T52" s="14"/>
      <c r="U52" s="14"/>
      <c r="W52" s="14"/>
      <c r="X52" s="14"/>
      <c r="Y52" s="14"/>
      <c r="Z52" s="14"/>
      <c r="AB52" s="14"/>
      <c r="AC52" s="14"/>
      <c r="AD52" s="14"/>
      <c r="AE52" s="14"/>
      <c r="AG52" s="14"/>
      <c r="AH52" s="14"/>
      <c r="AI52" s="14"/>
      <c r="AJ52" s="14"/>
      <c r="AK52" s="14"/>
      <c r="AN52" s="14"/>
      <c r="AO52" s="14"/>
    </row>
    <row r="53" spans="1:41">
      <c r="A53" s="4" t="s">
        <v>427</v>
      </c>
      <c r="B53" s="14"/>
      <c r="C53" s="14"/>
      <c r="D53" s="14">
        <v>358</v>
      </c>
      <c r="E53" s="14">
        <v>607</v>
      </c>
      <c r="F53" s="14">
        <v>233</v>
      </c>
      <c r="G53" s="14">
        <v>285</v>
      </c>
      <c r="H53" s="14">
        <v>119</v>
      </c>
      <c r="I53" s="14"/>
      <c r="J53" s="13">
        <f t="shared" si="33"/>
        <v>0</v>
      </c>
      <c r="K53" s="13">
        <f t="shared" si="33"/>
        <v>0</v>
      </c>
      <c r="L53" s="13">
        <f t="shared" si="33"/>
        <v>0</v>
      </c>
      <c r="M53" s="347"/>
      <c r="R53" s="14"/>
      <c r="S53" s="14"/>
      <c r="T53" s="14">
        <v>1626</v>
      </c>
      <c r="U53" s="14"/>
      <c r="W53" s="14"/>
      <c r="X53" s="14"/>
      <c r="Y53" s="14"/>
      <c r="Z53" s="14"/>
      <c r="AB53" s="14"/>
      <c r="AC53" s="14"/>
      <c r="AD53" s="14"/>
      <c r="AE53" s="14"/>
      <c r="AG53" s="14"/>
      <c r="AH53" s="14">
        <v>286</v>
      </c>
      <c r="AI53" s="14"/>
      <c r="AJ53" s="14"/>
      <c r="AK53" s="14">
        <v>285</v>
      </c>
      <c r="AN53" s="14">
        <v>145</v>
      </c>
      <c r="AO53" s="14"/>
    </row>
    <row r="54" spans="1:41">
      <c r="A54" s="61" t="s">
        <v>428</v>
      </c>
      <c r="B54" s="63">
        <v>10742</v>
      </c>
      <c r="C54" s="63">
        <f t="shared" ref="C54:G54" si="34">SUM(C40:C53)</f>
        <v>12888</v>
      </c>
      <c r="D54" s="63">
        <f t="shared" si="34"/>
        <v>17984</v>
      </c>
      <c r="E54" s="63">
        <f t="shared" si="34"/>
        <v>27335</v>
      </c>
      <c r="F54" s="63">
        <f t="shared" si="34"/>
        <v>30770</v>
      </c>
      <c r="G54" s="63">
        <f t="shared" si="34"/>
        <v>35052</v>
      </c>
      <c r="H54" s="63">
        <f t="shared" ref="H54:I54" si="35">SUM(H40:H53)</f>
        <v>77292</v>
      </c>
      <c r="I54" s="63">
        <f t="shared" si="35"/>
        <v>89756</v>
      </c>
      <c r="J54" s="63">
        <f t="shared" ref="J54" si="36">SUM(J40:J53)</f>
        <v>260826.26053710619</v>
      </c>
      <c r="K54" s="63">
        <f t="shared" ref="K54:L54" si="37">SUM(K40:K53)</f>
        <v>265108.19948416378</v>
      </c>
      <c r="L54" s="63">
        <f t="shared" si="37"/>
        <v>268844.00860453193</v>
      </c>
      <c r="M54" s="347"/>
      <c r="R54" s="63">
        <f>SUM(R40:R53)</f>
        <v>0</v>
      </c>
      <c r="S54" s="63">
        <f>SUM(S40:S53)</f>
        <v>0</v>
      </c>
      <c r="T54" s="63">
        <f>SUM(T39:T53)</f>
        <v>12056</v>
      </c>
      <c r="U54" s="63">
        <f>SUM(U40:U53)</f>
        <v>0</v>
      </c>
      <c r="W54" s="63">
        <f>SUM(W39:W53)</f>
        <v>0</v>
      </c>
      <c r="X54" s="63">
        <f>SUM(X39:X53)</f>
        <v>22634</v>
      </c>
      <c r="Y54" s="63">
        <f>SUM(Y39:Y53)</f>
        <v>22773</v>
      </c>
      <c r="Z54" s="63"/>
      <c r="AB54" s="63">
        <f>SUM(AB39:AB53)</f>
        <v>24279</v>
      </c>
      <c r="AC54" s="63">
        <f>SUM(AC39:AC53)</f>
        <v>24111</v>
      </c>
      <c r="AD54" s="63">
        <f>SUM(AD39:AD53)</f>
        <v>24279</v>
      </c>
      <c r="AE54" s="63"/>
      <c r="AG54" s="63"/>
      <c r="AH54" s="63">
        <f>SUM(AH39:AH53)</f>
        <v>32852</v>
      </c>
      <c r="AI54" s="63"/>
      <c r="AJ54" s="63"/>
      <c r="AK54" s="63">
        <f>SUM(AK39:AK53)</f>
        <v>35052</v>
      </c>
      <c r="AN54" s="63">
        <f>SUM(AN39:AN53)</f>
        <v>72284</v>
      </c>
      <c r="AO54" s="63">
        <f>SUM(AO39:AO53)</f>
        <v>60155</v>
      </c>
    </row>
    <row r="55" spans="1:41">
      <c r="B55" s="13"/>
      <c r="C55" s="13"/>
      <c r="D55" s="13"/>
      <c r="E55" s="13"/>
      <c r="F55" s="13"/>
      <c r="G55" s="13"/>
      <c r="H55" s="13"/>
      <c r="I55" s="13"/>
      <c r="J55" s="13"/>
      <c r="K55" s="13"/>
      <c r="L55" s="13"/>
      <c r="M55" s="347"/>
      <c r="N55" s="59"/>
      <c r="O55" s="59"/>
      <c r="P55" s="59"/>
      <c r="R55" s="13"/>
      <c r="S55" s="13"/>
      <c r="T55" s="13"/>
      <c r="U55" s="13"/>
      <c r="W55" s="13"/>
      <c r="X55" s="13"/>
      <c r="Y55" s="13"/>
      <c r="Z55" s="13"/>
      <c r="AB55" s="13"/>
      <c r="AC55" s="13"/>
      <c r="AD55" s="13"/>
      <c r="AE55" s="13"/>
      <c r="AG55" s="13"/>
      <c r="AH55" s="13"/>
      <c r="AI55" s="13"/>
      <c r="AJ55" s="13"/>
      <c r="AK55" s="13"/>
      <c r="AN55" s="13"/>
      <c r="AO55" s="13"/>
    </row>
    <row r="56" spans="1:41">
      <c r="A56" s="4" t="s">
        <v>429</v>
      </c>
      <c r="M56" s="347"/>
    </row>
    <row r="57" spans="1:41">
      <c r="A57" s="4" t="s">
        <v>430</v>
      </c>
      <c r="M57" s="347"/>
      <c r="AK57" s="14"/>
    </row>
    <row r="58" spans="1:41">
      <c r="A58" s="4" t="s">
        <v>431</v>
      </c>
      <c r="B58" s="349">
        <v>3651</v>
      </c>
      <c r="C58" s="14">
        <v>137</v>
      </c>
      <c r="D58" s="14">
        <v>124</v>
      </c>
      <c r="E58" s="14"/>
      <c r="F58" s="14">
        <f>E58*1.1</f>
        <v>0</v>
      </c>
      <c r="G58" s="14">
        <f>F58*1.1</f>
        <v>0</v>
      </c>
      <c r="H58" s="14">
        <v>1457</v>
      </c>
      <c r="I58" s="14">
        <v>0</v>
      </c>
      <c r="J58" s="98">
        <f>I58*1.1</f>
        <v>0</v>
      </c>
      <c r="K58" s="98">
        <f>J58*1.1</f>
        <v>0</v>
      </c>
      <c r="L58" s="98">
        <f>K58*1.1</f>
        <v>0</v>
      </c>
      <c r="M58" s="347"/>
      <c r="R58" s="14"/>
      <c r="S58" s="14"/>
      <c r="T58" s="14"/>
      <c r="U58" s="14"/>
      <c r="W58" s="14"/>
      <c r="X58" s="14"/>
      <c r="Y58" s="14"/>
      <c r="Z58" s="14"/>
      <c r="AB58" s="14"/>
      <c r="AC58" s="14"/>
      <c r="AD58" s="14"/>
      <c r="AE58" s="14"/>
      <c r="AG58" s="14"/>
      <c r="AH58" s="14"/>
      <c r="AI58" s="14"/>
      <c r="AJ58" s="14"/>
      <c r="AK58" s="14"/>
      <c r="AN58" s="14">
        <v>2323</v>
      </c>
      <c r="AO58" s="14"/>
    </row>
    <row r="59" spans="1:41">
      <c r="A59" s="4" t="s">
        <v>432</v>
      </c>
      <c r="B59" s="349">
        <v>5877</v>
      </c>
      <c r="C59" s="14">
        <v>8565</v>
      </c>
      <c r="D59" s="14">
        <v>10683</v>
      </c>
      <c r="E59" s="14">
        <v>13894</v>
      </c>
      <c r="F59" s="14">
        <v>16131</v>
      </c>
      <c r="G59" s="14">
        <v>18039</v>
      </c>
      <c r="H59" s="14">
        <v>25771</v>
      </c>
      <c r="I59" s="14">
        <v>39700</v>
      </c>
      <c r="J59" s="98">
        <f t="shared" ref="J59" si="38">J144</f>
        <v>59911.549369191867</v>
      </c>
      <c r="K59" s="98">
        <f t="shared" ref="K59:L59" si="39">K144</f>
        <v>72511.97690769269</v>
      </c>
      <c r="L59" s="98">
        <f t="shared" si="39"/>
        <v>85602.159358669523</v>
      </c>
      <c r="M59" s="347"/>
      <c r="R59" s="14"/>
      <c r="S59" s="14"/>
      <c r="T59" s="14">
        <v>9276</v>
      </c>
      <c r="U59" s="14"/>
      <c r="W59" s="14"/>
      <c r="X59" s="14">
        <v>10523</v>
      </c>
      <c r="Y59" s="14">
        <v>11791</v>
      </c>
      <c r="Z59" s="14"/>
      <c r="AB59" s="14">
        <v>13428</v>
      </c>
      <c r="AC59" s="14">
        <v>14054</v>
      </c>
      <c r="AD59" s="14">
        <v>13428</v>
      </c>
      <c r="AE59" s="14"/>
      <c r="AG59" s="14"/>
      <c r="AH59" s="14">
        <v>19639</v>
      </c>
      <c r="AI59" s="14">
        <v>15828</v>
      </c>
      <c r="AJ59" s="14"/>
      <c r="AK59" s="496">
        <v>18039</v>
      </c>
      <c r="AN59" s="14">
        <v>23972</v>
      </c>
      <c r="AO59" s="14">
        <v>19985</v>
      </c>
    </row>
    <row r="60" spans="1:41">
      <c r="A60" s="4" t="s">
        <v>433</v>
      </c>
      <c r="B60" s="349">
        <v>5079</v>
      </c>
      <c r="C60" s="14">
        <v>8195</v>
      </c>
      <c r="D60" s="14">
        <v>7999</v>
      </c>
      <c r="E60" s="14">
        <v>4468</v>
      </c>
      <c r="F60" s="14">
        <v>5699</v>
      </c>
      <c r="G60" s="14">
        <v>3213</v>
      </c>
      <c r="H60" s="14">
        <v>7956</v>
      </c>
      <c r="I60" s="14">
        <v>10936</v>
      </c>
      <c r="J60" s="299">
        <f>'Cashflow consol'!P81</f>
        <v>68745.833723512318</v>
      </c>
      <c r="K60" s="299">
        <f>'Cashflow consol'!Q81</f>
        <v>80192.470205850463</v>
      </c>
      <c r="L60" s="299">
        <f>'Cashflow consol'!R81</f>
        <v>95970.423404980305</v>
      </c>
      <c r="M60" s="347"/>
      <c r="R60" s="14"/>
      <c r="S60" s="14"/>
      <c r="T60" s="14">
        <v>5365</v>
      </c>
      <c r="U60" s="14"/>
      <c r="W60" s="14"/>
      <c r="X60" s="14">
        <v>2988</v>
      </c>
      <c r="Y60" s="14">
        <v>3036</v>
      </c>
      <c r="Z60" s="14"/>
      <c r="AB60" s="14">
        <v>3351</v>
      </c>
      <c r="AC60" s="14">
        <v>4090</v>
      </c>
      <c r="AD60" s="14">
        <v>3351</v>
      </c>
      <c r="AE60" s="14"/>
      <c r="AG60" s="14"/>
      <c r="AH60" s="14">
        <v>3259</v>
      </c>
      <c r="AI60" s="14">
        <v>4719</v>
      </c>
      <c r="AJ60" s="14"/>
      <c r="AK60" s="391">
        <v>3213</v>
      </c>
      <c r="AN60" s="496">
        <v>14935</v>
      </c>
      <c r="AO60" s="496">
        <v>9471</v>
      </c>
    </row>
    <row r="61" spans="1:41">
      <c r="A61" s="4" t="s">
        <v>434</v>
      </c>
      <c r="B61" s="349">
        <v>497</v>
      </c>
      <c r="C61" s="14">
        <v>839</v>
      </c>
      <c r="D61" s="14">
        <v>123</v>
      </c>
      <c r="E61" s="14">
        <v>67</v>
      </c>
      <c r="F61" s="14">
        <v>88</v>
      </c>
      <c r="G61" s="14">
        <v>139</v>
      </c>
      <c r="H61" s="14">
        <v>876</v>
      </c>
      <c r="I61" s="14">
        <v>56</v>
      </c>
      <c r="J61" s="98">
        <f>I61</f>
        <v>56</v>
      </c>
      <c r="K61" s="98">
        <f>J61</f>
        <v>56</v>
      </c>
      <c r="L61" s="98">
        <f>K61</f>
        <v>56</v>
      </c>
      <c r="M61" s="347"/>
      <c r="R61" s="14"/>
      <c r="S61" s="14"/>
      <c r="T61" s="14"/>
      <c r="U61" s="14"/>
      <c r="W61" s="14"/>
      <c r="X61" s="14"/>
      <c r="Y61" s="14"/>
      <c r="Z61" s="14"/>
      <c r="AB61" s="14"/>
      <c r="AC61" s="14"/>
      <c r="AD61" s="14"/>
      <c r="AE61" s="14"/>
      <c r="AG61" s="14"/>
      <c r="AH61" s="14">
        <v>126</v>
      </c>
      <c r="AI61" s="14"/>
      <c r="AJ61" s="14"/>
      <c r="AK61" s="391">
        <v>139</v>
      </c>
      <c r="AN61" s="391">
        <v>471</v>
      </c>
      <c r="AO61" s="391"/>
    </row>
    <row r="62" spans="1:41">
      <c r="A62" s="4" t="s">
        <v>423</v>
      </c>
      <c r="B62" s="349">
        <v>1549</v>
      </c>
      <c r="C62" s="14">
        <v>2427</v>
      </c>
      <c r="D62" s="14">
        <v>300</v>
      </c>
      <c r="E62" s="14">
        <v>662</v>
      </c>
      <c r="F62" s="14">
        <v>187</v>
      </c>
      <c r="G62" s="14">
        <v>178</v>
      </c>
      <c r="H62" s="14">
        <v>535</v>
      </c>
      <c r="I62" s="14">
        <v>118</v>
      </c>
      <c r="J62" s="98">
        <f>I62*1.2</f>
        <v>141.6</v>
      </c>
      <c r="K62" s="98">
        <f>J62*1.2</f>
        <v>169.92</v>
      </c>
      <c r="L62" s="98">
        <f>K62*1.2</f>
        <v>203.90399999999997</v>
      </c>
      <c r="M62" s="347"/>
      <c r="R62" s="14"/>
      <c r="S62" s="14"/>
      <c r="T62" s="14"/>
      <c r="U62" s="14"/>
      <c r="W62" s="14"/>
      <c r="X62" s="14"/>
      <c r="Y62" s="14"/>
      <c r="Z62" s="14"/>
      <c r="AB62" s="14"/>
      <c r="AC62" s="14"/>
      <c r="AD62" s="14"/>
      <c r="AE62" s="14"/>
      <c r="AG62" s="14"/>
      <c r="AH62" s="14">
        <v>296</v>
      </c>
      <c r="AI62" s="14"/>
      <c r="AJ62" s="14"/>
      <c r="AK62" s="14">
        <v>178</v>
      </c>
      <c r="AN62" s="391">
        <v>274</v>
      </c>
      <c r="AO62" s="391"/>
    </row>
    <row r="63" spans="1:41">
      <c r="A63" s="4" t="s">
        <v>435</v>
      </c>
      <c r="B63" s="349">
        <v>203</v>
      </c>
      <c r="C63" s="14">
        <v>411</v>
      </c>
      <c r="D63" s="14"/>
      <c r="E63" s="14"/>
      <c r="F63" s="14">
        <f t="shared" ref="F63:L63" si="40">E63</f>
        <v>0</v>
      </c>
      <c r="G63" s="14">
        <f t="shared" si="40"/>
        <v>0</v>
      </c>
      <c r="H63" s="14">
        <f t="shared" si="40"/>
        <v>0</v>
      </c>
      <c r="I63" s="14">
        <f t="shared" si="40"/>
        <v>0</v>
      </c>
      <c r="J63" s="98">
        <f t="shared" si="40"/>
        <v>0</v>
      </c>
      <c r="K63" s="98">
        <f t="shared" si="40"/>
        <v>0</v>
      </c>
      <c r="L63" s="98">
        <f t="shared" si="40"/>
        <v>0</v>
      </c>
      <c r="M63" s="347"/>
      <c r="R63" s="14"/>
      <c r="S63" s="14"/>
      <c r="T63" s="14"/>
      <c r="U63" s="14"/>
      <c r="W63" s="14"/>
      <c r="X63" s="14"/>
      <c r="Y63" s="14"/>
      <c r="Z63" s="14"/>
      <c r="AB63" s="14"/>
      <c r="AC63" s="14"/>
      <c r="AD63" s="14"/>
      <c r="AE63" s="14"/>
      <c r="AG63" s="14"/>
      <c r="AH63" s="14"/>
      <c r="AI63" s="14"/>
      <c r="AJ63" s="14"/>
      <c r="AK63" s="14"/>
      <c r="AN63" s="14"/>
      <c r="AO63" s="14"/>
    </row>
    <row r="64" spans="1:41">
      <c r="A64" s="4" t="s">
        <v>436</v>
      </c>
      <c r="B64" s="349">
        <v>1136</v>
      </c>
      <c r="C64" s="14">
        <v>936</v>
      </c>
      <c r="D64" s="14">
        <v>1079</v>
      </c>
      <c r="E64" s="14">
        <v>1934</v>
      </c>
      <c r="F64" s="14">
        <v>2447</v>
      </c>
      <c r="G64" s="14">
        <v>2665</v>
      </c>
      <c r="H64" s="14">
        <v>4487</v>
      </c>
      <c r="I64" s="14">
        <v>4909</v>
      </c>
      <c r="J64" s="98">
        <f>I64*1.01</f>
        <v>4958.09</v>
      </c>
      <c r="K64" s="98">
        <f>J64*1.01</f>
        <v>5007.6709000000001</v>
      </c>
      <c r="L64" s="98">
        <f>K64*1.01</f>
        <v>5057.747609</v>
      </c>
      <c r="M64" s="347"/>
      <c r="R64" s="14"/>
      <c r="S64" s="14"/>
      <c r="T64" s="14">
        <v>5756</v>
      </c>
      <c r="U64" s="14"/>
      <c r="W64" s="14"/>
      <c r="X64" s="14">
        <v>9136</v>
      </c>
      <c r="Y64" s="14">
        <v>9903</v>
      </c>
      <c r="Z64" s="14"/>
      <c r="AB64" s="14">
        <v>10951</v>
      </c>
      <c r="AC64" s="14">
        <v>11242</v>
      </c>
      <c r="AD64" s="14">
        <v>10951</v>
      </c>
      <c r="AE64" s="14"/>
      <c r="AG64" s="14"/>
      <c r="AH64" s="14">
        <v>3023</v>
      </c>
      <c r="AI64" s="14">
        <v>13934</v>
      </c>
      <c r="AJ64" s="14"/>
      <c r="AK64" s="14">
        <v>2665</v>
      </c>
      <c r="AN64" s="14">
        <v>4547</v>
      </c>
      <c r="AO64" s="14">
        <v>21132</v>
      </c>
    </row>
    <row r="65" spans="1:41">
      <c r="A65" s="4" t="s">
        <v>437</v>
      </c>
      <c r="B65" s="349"/>
      <c r="C65" s="14"/>
      <c r="D65" s="14"/>
      <c r="E65" s="14">
        <f t="shared" ref="E65:L65" si="41">D65</f>
        <v>0</v>
      </c>
      <c r="F65" s="14">
        <f t="shared" si="41"/>
        <v>0</v>
      </c>
      <c r="G65" s="14">
        <f t="shared" si="41"/>
        <v>0</v>
      </c>
      <c r="H65" s="14">
        <f t="shared" si="41"/>
        <v>0</v>
      </c>
      <c r="I65" s="14">
        <f t="shared" si="41"/>
        <v>0</v>
      </c>
      <c r="J65" s="98">
        <f t="shared" si="41"/>
        <v>0</v>
      </c>
      <c r="K65" s="98">
        <f t="shared" si="41"/>
        <v>0</v>
      </c>
      <c r="L65" s="98">
        <f t="shared" si="41"/>
        <v>0</v>
      </c>
      <c r="M65" s="347"/>
      <c r="R65" s="14"/>
      <c r="S65" s="14"/>
      <c r="T65" s="14"/>
      <c r="U65" s="14"/>
      <c r="W65" s="14"/>
      <c r="X65" s="14"/>
      <c r="Y65" s="14"/>
      <c r="Z65" s="14"/>
      <c r="AB65" s="14"/>
      <c r="AC65" s="14"/>
      <c r="AD65" s="14"/>
      <c r="AE65" s="14"/>
      <c r="AG65" s="14"/>
      <c r="AH65" s="14"/>
      <c r="AI65" s="14"/>
      <c r="AJ65" s="14"/>
      <c r="AK65" s="14"/>
      <c r="AN65" s="14"/>
      <c r="AO65" s="14"/>
    </row>
    <row r="66" spans="1:41">
      <c r="A66" s="4" t="s">
        <v>438</v>
      </c>
      <c r="B66" s="349"/>
      <c r="C66" s="14"/>
      <c r="D66" s="14">
        <v>629</v>
      </c>
      <c r="E66" s="14">
        <v>1184</v>
      </c>
      <c r="F66" s="14">
        <v>1512</v>
      </c>
      <c r="G66" s="14">
        <v>1791</v>
      </c>
      <c r="H66" s="14">
        <v>2426</v>
      </c>
      <c r="I66" s="14">
        <v>3339</v>
      </c>
      <c r="J66" s="98">
        <f>I66</f>
        <v>3339</v>
      </c>
      <c r="K66" s="98">
        <f>J66</f>
        <v>3339</v>
      </c>
      <c r="L66" s="98">
        <f>K66</f>
        <v>3339</v>
      </c>
      <c r="M66" s="347"/>
      <c r="R66" s="14"/>
      <c r="S66" s="14"/>
      <c r="T66" s="14"/>
      <c r="U66" s="14"/>
      <c r="W66" s="14"/>
      <c r="X66" s="14"/>
      <c r="Y66" s="14"/>
      <c r="Z66" s="14"/>
      <c r="AB66" s="14"/>
      <c r="AC66" s="14"/>
      <c r="AD66" s="14"/>
      <c r="AE66" s="14"/>
      <c r="AG66" s="14"/>
      <c r="AH66" s="14">
        <v>1651</v>
      </c>
      <c r="AI66" s="14"/>
      <c r="AJ66" s="14"/>
      <c r="AK66" s="14">
        <v>1791</v>
      </c>
      <c r="AN66" s="14">
        <v>2204</v>
      </c>
      <c r="AO66" s="14"/>
    </row>
    <row r="67" spans="1:41">
      <c r="A67" s="6" t="s">
        <v>439</v>
      </c>
      <c r="B67" s="7">
        <v>17992</v>
      </c>
      <c r="C67" s="7">
        <f t="shared" ref="C67:G67" si="42">SUM(C58:C66)</f>
        <v>21510</v>
      </c>
      <c r="D67" s="7">
        <f t="shared" si="42"/>
        <v>20937</v>
      </c>
      <c r="E67" s="7">
        <f t="shared" si="42"/>
        <v>22209</v>
      </c>
      <c r="F67" s="7">
        <f t="shared" si="42"/>
        <v>26064</v>
      </c>
      <c r="G67" s="7">
        <f t="shared" si="42"/>
        <v>26025</v>
      </c>
      <c r="H67" s="7">
        <f t="shared" ref="H67:I67" si="43">SUM(H58:H66)</f>
        <v>43508</v>
      </c>
      <c r="I67" s="7">
        <f t="shared" si="43"/>
        <v>59058</v>
      </c>
      <c r="J67" s="445">
        <f t="shared" ref="J67" si="44">SUM(J58:J66)</f>
        <v>137152.0730927042</v>
      </c>
      <c r="K67" s="445">
        <f t="shared" ref="K67:L67" si="45">SUM(K58:K66)</f>
        <v>161277.03801354318</v>
      </c>
      <c r="L67" s="445">
        <f t="shared" si="45"/>
        <v>190229.23437264984</v>
      </c>
      <c r="M67" s="347"/>
      <c r="R67" s="7">
        <f>SUM(R58:R66)</f>
        <v>0</v>
      </c>
      <c r="S67" s="7">
        <f>SUM(S58:S66)</f>
        <v>0</v>
      </c>
      <c r="T67" s="7">
        <f>SUM(T58:T66)</f>
        <v>20397</v>
      </c>
      <c r="U67" s="7">
        <f>SUM(U58:U66)</f>
        <v>0</v>
      </c>
      <c r="W67" s="7">
        <f>SUM(W58:W66)</f>
        <v>0</v>
      </c>
      <c r="X67" s="7">
        <f>SUM(X58:X66)</f>
        <v>22647</v>
      </c>
      <c r="Y67" s="7">
        <f>SUM(Y58:Y66)</f>
        <v>24730</v>
      </c>
      <c r="Z67" s="7"/>
      <c r="AB67" s="7">
        <f>SUM(AB58:AB66)</f>
        <v>27730</v>
      </c>
      <c r="AC67" s="7">
        <f>SUM(AC58:AC66)</f>
        <v>29386</v>
      </c>
      <c r="AD67" s="7">
        <f>SUM(AD58:AD66)</f>
        <v>27730</v>
      </c>
      <c r="AE67" s="7"/>
      <c r="AG67" s="7"/>
      <c r="AH67" s="7">
        <f>SUM(AH58:AH66)</f>
        <v>27994</v>
      </c>
      <c r="AI67" s="7"/>
      <c r="AJ67" s="7"/>
      <c r="AK67" s="7">
        <f>SUM(AK58:AK66)</f>
        <v>26025</v>
      </c>
      <c r="AN67" s="7">
        <f>SUM(AN58:AN66)</f>
        <v>48726</v>
      </c>
      <c r="AO67" s="7">
        <f>SUM(AO58:AO66)</f>
        <v>50588</v>
      </c>
    </row>
    <row r="68" spans="1:41">
      <c r="A68" s="6" t="s">
        <v>440</v>
      </c>
      <c r="B68" s="7"/>
      <c r="C68" s="7"/>
      <c r="D68" s="7"/>
      <c r="E68" s="7"/>
      <c r="F68" s="7"/>
      <c r="G68" s="7"/>
      <c r="H68" s="7">
        <v>4107</v>
      </c>
      <c r="I68" s="7"/>
      <c r="J68" s="7">
        <f>I68</f>
        <v>0</v>
      </c>
      <c r="K68" s="7">
        <f>J68</f>
        <v>0</v>
      </c>
      <c r="L68" s="7">
        <f>K68</f>
        <v>0</v>
      </c>
      <c r="M68" s="347"/>
      <c r="R68" s="7"/>
      <c r="S68" s="7"/>
      <c r="T68" s="7"/>
      <c r="U68" s="7"/>
      <c r="W68" s="7"/>
      <c r="X68" s="7"/>
      <c r="Y68" s="7"/>
      <c r="Z68" s="7"/>
      <c r="AB68" s="7"/>
      <c r="AC68" s="7"/>
      <c r="AD68" s="7"/>
      <c r="AE68" s="7"/>
      <c r="AG68" s="7"/>
      <c r="AH68" s="7"/>
      <c r="AI68" s="7"/>
      <c r="AJ68" s="7"/>
      <c r="AK68" s="7"/>
      <c r="AN68" s="7">
        <v>256</v>
      </c>
      <c r="AO68" s="7">
        <v>256</v>
      </c>
    </row>
    <row r="69" spans="1:41" ht="15" thickBot="1">
      <c r="A69" s="218" t="s">
        <v>441</v>
      </c>
      <c r="B69" s="219">
        <v>28734</v>
      </c>
      <c r="C69" s="219">
        <f t="shared" ref="C69:G69" si="46">C54+C67</f>
        <v>34398</v>
      </c>
      <c r="D69" s="219">
        <f t="shared" si="46"/>
        <v>38921</v>
      </c>
      <c r="E69" s="219">
        <f t="shared" si="46"/>
        <v>49544</v>
      </c>
      <c r="F69" s="219">
        <f t="shared" si="46"/>
        <v>56834</v>
      </c>
      <c r="G69" s="219">
        <f t="shared" si="46"/>
        <v>61077</v>
      </c>
      <c r="H69" s="219">
        <f>H54+H67+H68</f>
        <v>124907</v>
      </c>
      <c r="I69" s="219">
        <f>I54+I67+I68</f>
        <v>148814</v>
      </c>
      <c r="J69" s="219">
        <f>J54+J67+J68</f>
        <v>397978.33362981037</v>
      </c>
      <c r="K69" s="219">
        <f>K54+K67+K68</f>
        <v>426385.23749770696</v>
      </c>
      <c r="L69" s="219">
        <f>L54+L67+L68</f>
        <v>459073.2429771818</v>
      </c>
      <c r="M69" s="347"/>
      <c r="N69" s="17"/>
      <c r="O69" s="17"/>
      <c r="P69" s="17"/>
      <c r="R69" s="219">
        <f>R54+R67</f>
        <v>0</v>
      </c>
      <c r="S69" s="219">
        <f>S54+S67</f>
        <v>0</v>
      </c>
      <c r="T69" s="219">
        <f>T54+T67</f>
        <v>32453</v>
      </c>
      <c r="U69" s="219">
        <f>U54+U67</f>
        <v>0</v>
      </c>
      <c r="W69" s="219">
        <f>W54+W67</f>
        <v>0</v>
      </c>
      <c r="X69" s="219">
        <f>X54+X67</f>
        <v>45281</v>
      </c>
      <c r="Y69" s="219">
        <f>Y54+Y67</f>
        <v>47503</v>
      </c>
      <c r="Z69" s="219"/>
      <c r="AB69" s="219">
        <f>AB54+AB67</f>
        <v>52009</v>
      </c>
      <c r="AC69" s="219">
        <f>AC54+AC67</f>
        <v>53497</v>
      </c>
      <c r="AD69" s="219">
        <f>AD54+AD67</f>
        <v>52009</v>
      </c>
      <c r="AE69" s="219"/>
      <c r="AG69" s="219"/>
      <c r="AH69" s="219">
        <f>AH54+AH67</f>
        <v>60846</v>
      </c>
      <c r="AI69" s="219"/>
      <c r="AJ69" s="219"/>
      <c r="AK69" s="219">
        <f>AK54+AK67</f>
        <v>61077</v>
      </c>
      <c r="AN69" s="219">
        <f>AN54+AN67+AN68</f>
        <v>121266</v>
      </c>
      <c r="AO69" s="219">
        <f>AO54+AO67+AO68</f>
        <v>110999</v>
      </c>
    </row>
    <row r="70" spans="1:41" ht="15" thickTop="1"/>
    <row r="71" spans="1:41">
      <c r="A71" s="220" t="s">
        <v>442</v>
      </c>
      <c r="B71" s="221">
        <v>0</v>
      </c>
      <c r="C71" s="221">
        <f t="shared" ref="C71:J71" si="47">C69-C35</f>
        <v>0</v>
      </c>
      <c r="D71" s="221">
        <f>D69-D35</f>
        <v>3888</v>
      </c>
      <c r="E71" s="221">
        <f t="shared" si="47"/>
        <v>0</v>
      </c>
      <c r="F71" s="221">
        <f t="shared" si="47"/>
        <v>0</v>
      </c>
      <c r="G71" s="221">
        <f t="shared" si="47"/>
        <v>0</v>
      </c>
      <c r="H71" s="221">
        <f t="shared" ref="H71" si="48">H69-H35</f>
        <v>0</v>
      </c>
      <c r="I71" s="221">
        <f>I69-I35</f>
        <v>0</v>
      </c>
      <c r="J71" s="221">
        <f t="shared" si="47"/>
        <v>0</v>
      </c>
      <c r="K71" s="221">
        <f t="shared" ref="K71:L71" si="49">K69-K35</f>
        <v>0</v>
      </c>
      <c r="L71" s="221">
        <f t="shared" si="49"/>
        <v>0</v>
      </c>
      <c r="M71" s="348"/>
      <c r="R71" s="221">
        <f>R69-R35</f>
        <v>0</v>
      </c>
      <c r="S71" s="221">
        <f>S69-S35</f>
        <v>0</v>
      </c>
      <c r="T71" s="221">
        <f>T69-T35</f>
        <v>0</v>
      </c>
      <c r="U71" s="221">
        <f>U69-U35</f>
        <v>0</v>
      </c>
      <c r="W71" s="221">
        <f>W69-W35</f>
        <v>0</v>
      </c>
      <c r="X71" s="221">
        <f>X69-X35</f>
        <v>0</v>
      </c>
      <c r="Y71" s="221">
        <f>Y69-Y35</f>
        <v>0</v>
      </c>
      <c r="Z71" s="221"/>
      <c r="AB71" s="221">
        <f>AB69-AB35</f>
        <v>0</v>
      </c>
      <c r="AC71" s="221">
        <f>AC69-AC35</f>
        <v>0</v>
      </c>
      <c r="AD71" s="221">
        <f>AD69-AD35</f>
        <v>0</v>
      </c>
      <c r="AE71" s="221"/>
      <c r="AG71" s="221"/>
      <c r="AH71" s="221"/>
      <c r="AI71" s="221"/>
      <c r="AJ71" s="221"/>
      <c r="AK71" s="221">
        <f>AK69-AK35</f>
        <v>0</v>
      </c>
      <c r="AN71" s="221">
        <f>AN69-AN35</f>
        <v>0</v>
      </c>
      <c r="AO71" s="221">
        <f>AO69-AO35</f>
        <v>49647</v>
      </c>
    </row>
    <row r="72" spans="1:41">
      <c r="B72" s="17"/>
      <c r="C72" s="17"/>
      <c r="D72" s="17"/>
      <c r="E72" s="17"/>
      <c r="F72" s="17"/>
      <c r="G72" s="17"/>
      <c r="H72" s="17"/>
      <c r="I72" s="17"/>
      <c r="J72" s="17"/>
      <c r="K72" s="17"/>
      <c r="L72" s="17"/>
    </row>
    <row r="73" spans="1:41">
      <c r="A73" s="4" t="s">
        <v>291</v>
      </c>
      <c r="B73" s="222">
        <v>703</v>
      </c>
      <c r="C73" s="222">
        <f>-'Cashflow consol'!I50</f>
        <v>725</v>
      </c>
      <c r="D73" s="222">
        <f>-'Cashflow consol'!J50</f>
        <v>782</v>
      </c>
      <c r="E73" s="222">
        <f>-'Cashflow consol'!K50</f>
        <v>1541</v>
      </c>
      <c r="F73" s="222">
        <f>-'Cashflow consol'!L50</f>
        <v>1582</v>
      </c>
      <c r="G73" s="222">
        <f>-'Cashflow consol'!M50</f>
        <v>2655</v>
      </c>
      <c r="H73" s="222">
        <f>-'Cashflow consol'!N50</f>
        <v>6144</v>
      </c>
      <c r="I73" s="222">
        <f>-'Cashflow consol'!O50</f>
        <v>7425</v>
      </c>
      <c r="J73" s="13">
        <f>J93+J103+J114</f>
        <v>14000</v>
      </c>
      <c r="K73" s="13">
        <f>K93+K103+K114</f>
        <v>17000</v>
      </c>
      <c r="L73" s="13">
        <f>L93+L103+L114</f>
        <v>18000</v>
      </c>
      <c r="R73" s="222"/>
      <c r="S73" s="222"/>
      <c r="T73" s="222"/>
      <c r="U73" s="222"/>
      <c r="W73" s="222"/>
      <c r="X73" s="222"/>
      <c r="Y73" s="222"/>
      <c r="Z73" s="222"/>
      <c r="AB73" s="222"/>
      <c r="AC73" s="222"/>
      <c r="AD73" s="222"/>
      <c r="AE73" s="222"/>
      <c r="AG73" s="222"/>
      <c r="AH73" s="222"/>
      <c r="AI73" s="222"/>
      <c r="AJ73" s="222"/>
      <c r="AK73" s="222"/>
      <c r="AN73" s="222"/>
      <c r="AO73" s="222"/>
    </row>
    <row r="74" spans="1:41">
      <c r="A74" s="4" t="s">
        <v>443</v>
      </c>
      <c r="B74" s="9">
        <v>1.9123007453348568E-2</v>
      </c>
      <c r="C74" s="9">
        <f>C73/'P&amp;L consol'!BG12</f>
        <v>1.7328330027008294E-2</v>
      </c>
      <c r="D74" s="9">
        <f>D73/'P&amp;L consol'!BH12</f>
        <v>1.6771038860770353E-2</v>
      </c>
      <c r="E74" s="9">
        <f>E73/'P&amp;L consol'!BI12</f>
        <v>2.3958333333333335E-2</v>
      </c>
      <c r="F74" s="9">
        <f>F73/'P&amp;L consol'!BJ12</f>
        <v>1.9738976368128165E-2</v>
      </c>
      <c r="G74" s="9">
        <f>G73/'P&amp;L consol'!BK12</f>
        <v>2.9470856597364828E-2</v>
      </c>
      <c r="H74" s="9">
        <f>H73/'P&amp;L consol'!BL12</f>
        <v>5.0889152095947257E-2</v>
      </c>
      <c r="I74" s="9">
        <f>I73/'P&amp;L consol'!BM12</f>
        <v>4.5266937760246789E-2</v>
      </c>
      <c r="J74" s="9">
        <f>J73/'P&amp;L consol'!BN12</f>
        <v>5.6472138827261487E-2</v>
      </c>
      <c r="K74" s="9">
        <f>K73/'P&amp;L consol'!BO12</f>
        <v>5.6657306951694575E-2</v>
      </c>
      <c r="L74" s="9">
        <f>L73/'P&amp;L consol'!BP12</f>
        <v>5.0816475105186061E-2</v>
      </c>
      <c r="R74" s="9"/>
      <c r="S74" s="9"/>
      <c r="T74" s="9"/>
      <c r="U74" s="9"/>
      <c r="W74" s="9"/>
      <c r="X74" s="9"/>
      <c r="Y74" s="9"/>
      <c r="Z74" s="9"/>
      <c r="AB74" s="9"/>
      <c r="AC74" s="9"/>
      <c r="AD74" s="9"/>
      <c r="AE74" s="9"/>
      <c r="AG74" s="9"/>
      <c r="AH74" s="9"/>
      <c r="AI74" s="9"/>
      <c r="AJ74" s="9"/>
      <c r="AK74" s="9"/>
      <c r="AN74" s="9"/>
      <c r="AO74" s="9"/>
    </row>
    <row r="75" spans="1:41">
      <c r="A75" s="4" t="s">
        <v>180</v>
      </c>
      <c r="B75" s="14">
        <v>642</v>
      </c>
      <c r="C75" s="14">
        <v>626</v>
      </c>
      <c r="D75" s="14">
        <v>642</v>
      </c>
      <c r="E75" s="14">
        <v>812</v>
      </c>
      <c r="F75" s="601">
        <v>845</v>
      </c>
      <c r="G75" s="601">
        <v>711</v>
      </c>
      <c r="H75" s="601">
        <v>1176</v>
      </c>
      <c r="I75" s="227">
        <f>I$81*$H75/$H$81</f>
        <v>1875.3844714686622</v>
      </c>
      <c r="J75" s="13">
        <f t="shared" ref="J75:L75" si="50">J$81*$G75/$G$81</f>
        <v>3077.3093062306511</v>
      </c>
      <c r="K75" s="13">
        <f t="shared" si="50"/>
        <v>3460.5403612523778</v>
      </c>
      <c r="L75" s="13">
        <f t="shared" si="50"/>
        <v>3839.9572521427376</v>
      </c>
      <c r="R75" s="223"/>
      <c r="S75" s="223"/>
      <c r="T75" s="223"/>
      <c r="U75" s="223"/>
      <c r="V75">
        <v>310000</v>
      </c>
      <c r="W75" s="223"/>
      <c r="X75" s="223"/>
      <c r="Y75" s="223"/>
      <c r="Z75" s="223"/>
      <c r="AB75" s="223"/>
      <c r="AC75" s="223"/>
      <c r="AD75" s="223"/>
      <c r="AE75" s="223"/>
      <c r="AG75" s="223"/>
      <c r="AH75" s="223"/>
      <c r="AI75" s="223"/>
      <c r="AJ75" s="223"/>
      <c r="AK75" s="223"/>
      <c r="AN75" s="223"/>
      <c r="AO75" s="223"/>
    </row>
    <row r="76" spans="1:41">
      <c r="A76" s="4" t="s">
        <v>444</v>
      </c>
      <c r="B76" s="224">
        <v>0.14266666666666666</v>
      </c>
      <c r="C76" s="224">
        <f>C75/B100</f>
        <v>0.14936769267477928</v>
      </c>
      <c r="D76" s="224">
        <f>D75/C100</f>
        <v>0.15998006478943433</v>
      </c>
      <c r="E76" s="224">
        <f>E75/D100</f>
        <v>0.20809841107124552</v>
      </c>
      <c r="F76" s="224">
        <f t="shared" ref="F76:H76" si="51">F75/E100</f>
        <v>0.18980233602875113</v>
      </c>
      <c r="G76" s="224">
        <f t="shared" si="51"/>
        <v>0.1595959595959596</v>
      </c>
      <c r="H76" s="224">
        <f t="shared" si="51"/>
        <v>0.26308724832214764</v>
      </c>
      <c r="I76" s="1003"/>
      <c r="J76" s="225"/>
      <c r="K76" s="225"/>
      <c r="L76" s="225"/>
      <c r="R76" s="224"/>
      <c r="S76" s="224"/>
      <c r="T76" s="224"/>
      <c r="U76" s="224"/>
      <c r="V76">
        <f>250*82</f>
        <v>20500</v>
      </c>
      <c r="W76" s="224"/>
      <c r="X76" s="224"/>
      <c r="Y76" s="224"/>
      <c r="Z76" s="224"/>
      <c r="AB76" s="224"/>
      <c r="AC76" s="224"/>
      <c r="AD76" s="224"/>
      <c r="AE76" s="224"/>
      <c r="AG76" s="224"/>
      <c r="AH76" s="224"/>
      <c r="AI76" s="224"/>
      <c r="AJ76" s="224"/>
      <c r="AK76" s="224"/>
      <c r="AN76" s="224"/>
      <c r="AO76" s="224"/>
    </row>
    <row r="77" spans="1:41">
      <c r="A77" s="4" t="s">
        <v>180</v>
      </c>
      <c r="B77" s="224"/>
      <c r="C77" s="14">
        <v>240</v>
      </c>
      <c r="D77" s="14">
        <v>287</v>
      </c>
      <c r="E77" s="14">
        <v>411</v>
      </c>
      <c r="F77" s="601">
        <v>469</v>
      </c>
      <c r="G77" s="601">
        <v>653</v>
      </c>
      <c r="H77" s="14">
        <v>985</v>
      </c>
      <c r="I77" s="227">
        <f>I$81*$H77/$H$81</f>
        <v>1570.7939663236671</v>
      </c>
      <c r="J77" s="13">
        <f t="shared" ref="J77:L77" si="52">J$81*$G77/$G$81</f>
        <v>2826.2770421499508</v>
      </c>
      <c r="K77" s="13">
        <f t="shared" si="52"/>
        <v>3178.2459295327744</v>
      </c>
      <c r="L77" s="13">
        <f t="shared" si="52"/>
        <v>3526.7117941620363</v>
      </c>
      <c r="R77" s="226"/>
      <c r="S77" s="226"/>
      <c r="T77" s="226"/>
      <c r="U77" s="226"/>
      <c r="V77">
        <f>V76/V75</f>
        <v>6.6129032258064518E-2</v>
      </c>
      <c r="W77" s="226"/>
      <c r="X77" s="226"/>
      <c r="Y77" s="226"/>
      <c r="Z77" s="226"/>
      <c r="AB77" s="226"/>
      <c r="AC77" s="226"/>
      <c r="AD77" s="226"/>
      <c r="AE77" s="226"/>
      <c r="AG77" s="226"/>
      <c r="AH77" s="226"/>
      <c r="AI77" s="226"/>
      <c r="AJ77" s="226"/>
      <c r="AK77" s="226"/>
      <c r="AN77" s="226"/>
      <c r="AO77" s="226"/>
    </row>
    <row r="78" spans="1:41">
      <c r="A78" s="4" t="s">
        <v>445</v>
      </c>
      <c r="B78" s="224"/>
      <c r="C78" s="224">
        <f>C77/C102</f>
        <v>0.24169184290030213</v>
      </c>
      <c r="D78" s="224">
        <f>D77/D102</f>
        <v>0.27810077519379844</v>
      </c>
      <c r="E78" s="224">
        <f>E77/E102</f>
        <v>0.33966942148760332</v>
      </c>
      <c r="F78" s="224">
        <f t="shared" ref="F78:G78" si="53">F77/F102</f>
        <v>0.20146048109965636</v>
      </c>
      <c r="G78" s="224">
        <f t="shared" si="53"/>
        <v>0.17870826491516148</v>
      </c>
      <c r="H78" s="224">
        <f t="shared" ref="H78" si="54">H77/H102</f>
        <v>0.20317656765676567</v>
      </c>
      <c r="I78" s="1003"/>
      <c r="J78" s="225"/>
      <c r="K78" s="225"/>
      <c r="L78" s="225"/>
      <c r="R78" s="224"/>
      <c r="S78" s="224"/>
      <c r="T78" s="224"/>
      <c r="U78" s="224"/>
      <c r="W78" s="224"/>
      <c r="X78" s="224"/>
      <c r="Y78" s="224"/>
      <c r="Z78" s="224"/>
      <c r="AB78" s="224"/>
      <c r="AC78" s="224"/>
      <c r="AD78" s="224"/>
      <c r="AE78" s="224"/>
      <c r="AG78" s="224"/>
      <c r="AH78" s="224"/>
      <c r="AI78" s="224"/>
      <c r="AJ78" s="224"/>
      <c r="AK78" s="224"/>
      <c r="AN78" s="224"/>
      <c r="AO78" s="224"/>
    </row>
    <row r="79" spans="1:41">
      <c r="A79" s="4" t="s">
        <v>446</v>
      </c>
      <c r="B79" s="14">
        <v>606</v>
      </c>
      <c r="C79" s="14">
        <f>824+40</f>
        <v>864</v>
      </c>
      <c r="D79" s="14">
        <v>907</v>
      </c>
      <c r="E79" s="14">
        <v>1049</v>
      </c>
      <c r="F79" s="601">
        <v>1271</v>
      </c>
      <c r="G79" s="601">
        <v>1608</v>
      </c>
      <c r="H79" s="14">
        <v>2115</v>
      </c>
      <c r="I79" s="227">
        <f>I$81*$H79/$H$81</f>
        <v>3372.8215622076709</v>
      </c>
      <c r="J79" s="13">
        <f t="shared" ref="J79:L79" si="55">J$81*$G79/$G$81</f>
        <v>6959.6531145132021</v>
      </c>
      <c r="K79" s="13">
        <f t="shared" si="55"/>
        <v>7826.3697621572765</v>
      </c>
      <c r="L79" s="13">
        <f t="shared" si="55"/>
        <v>8684.4602833270346</v>
      </c>
      <c r="R79" s="223"/>
      <c r="S79" s="223"/>
      <c r="T79" s="223"/>
      <c r="U79" s="223"/>
      <c r="V79">
        <f>3800*0.26</f>
        <v>988</v>
      </c>
      <c r="W79" s="223"/>
      <c r="X79" s="223"/>
      <c r="Y79" s="223"/>
      <c r="Z79" s="223"/>
      <c r="AB79" s="223"/>
      <c r="AC79" s="223"/>
      <c r="AD79" s="223"/>
      <c r="AE79" s="223"/>
      <c r="AG79" s="223"/>
      <c r="AH79" s="223"/>
      <c r="AI79" s="223"/>
      <c r="AJ79" s="223"/>
      <c r="AK79" s="223"/>
      <c r="AN79" s="223"/>
      <c r="AO79" s="223"/>
    </row>
    <row r="80" spans="1:41">
      <c r="A80" s="4" t="s">
        <v>447</v>
      </c>
      <c r="B80" s="224">
        <v>0.36157517899761338</v>
      </c>
      <c r="C80" s="224">
        <f t="shared" ref="C80:E80" si="56">C79/(B123)</f>
        <v>0.38400000000000001</v>
      </c>
      <c r="D80" s="224">
        <f t="shared" si="56"/>
        <v>0.2906119833386735</v>
      </c>
      <c r="E80" s="224">
        <f t="shared" si="56"/>
        <v>0.35863247863247866</v>
      </c>
      <c r="F80" s="224">
        <f t="shared" ref="F80" si="57">F79/(E123)</f>
        <v>0.39731165989371681</v>
      </c>
      <c r="G80" s="224">
        <f t="shared" ref="G80:H80" si="58">G79/(F123)</f>
        <v>0.41379310344827586</v>
      </c>
      <c r="H80" s="224">
        <f t="shared" si="58"/>
        <v>0.42097929936305734</v>
      </c>
      <c r="I80" s="225"/>
      <c r="J80" s="225"/>
      <c r="K80" s="225"/>
      <c r="L80" s="225"/>
      <c r="R80" s="224"/>
      <c r="S80" s="224"/>
      <c r="T80" s="224"/>
      <c r="U80" s="224"/>
      <c r="V80">
        <f>3800*0.54</f>
        <v>2052</v>
      </c>
      <c r="W80" s="224"/>
      <c r="X80" s="224"/>
      <c r="Y80" s="224"/>
      <c r="Z80" s="224"/>
      <c r="AB80" s="224"/>
      <c r="AC80" s="224"/>
      <c r="AD80" s="224"/>
      <c r="AE80" s="224"/>
      <c r="AG80" s="224"/>
      <c r="AH80" s="224"/>
      <c r="AI80" s="224"/>
      <c r="AJ80" s="224"/>
      <c r="AK80" s="224"/>
      <c r="AN80" s="224"/>
      <c r="AO80" s="224"/>
    </row>
    <row r="81" spans="1:41">
      <c r="A81" s="6" t="s">
        <v>448</v>
      </c>
      <c r="B81" s="7">
        <v>1248</v>
      </c>
      <c r="C81" s="7">
        <f t="shared" ref="C81:E81" si="59">C75+C79+C77</f>
        <v>1730</v>
      </c>
      <c r="D81" s="7">
        <f t="shared" si="59"/>
        <v>1836</v>
      </c>
      <c r="E81" s="7">
        <f t="shared" si="59"/>
        <v>2272</v>
      </c>
      <c r="F81" s="7">
        <f>F75+F79+F77</f>
        <v>2585</v>
      </c>
      <c r="G81" s="7">
        <f>G75+G79+G77</f>
        <v>2972</v>
      </c>
      <c r="H81" s="7">
        <f>H75+H79+H77</f>
        <v>4276</v>
      </c>
      <c r="I81" s="465">
        <f>'P&amp;L consol'!BM34</f>
        <v>6819</v>
      </c>
      <c r="J81" s="465">
        <f>'P&amp;L consol'!BN34</f>
        <v>12863.239462893804</v>
      </c>
      <c r="K81" s="465">
        <f>'P&amp;L consol'!BO34</f>
        <v>14465.15605294243</v>
      </c>
      <c r="L81" s="465">
        <f>'P&amp;L consol'!BP34</f>
        <v>16051.129329631809</v>
      </c>
      <c r="R81" s="7"/>
      <c r="S81" s="7"/>
      <c r="T81" s="7"/>
      <c r="U81" s="7"/>
      <c r="V81" s="205">
        <v>27300084</v>
      </c>
      <c r="W81" s="7"/>
      <c r="X81" s="7"/>
      <c r="Y81" s="7"/>
      <c r="Z81" s="7"/>
      <c r="AB81" s="7"/>
      <c r="AC81" s="7"/>
      <c r="AD81" s="7"/>
      <c r="AE81" s="7"/>
      <c r="AG81" s="7"/>
      <c r="AH81" s="7"/>
      <c r="AI81" s="7"/>
      <c r="AJ81" s="7"/>
      <c r="AK81" s="7"/>
      <c r="AN81" s="7"/>
      <c r="AO81" s="7"/>
    </row>
    <row r="82" spans="1:41">
      <c r="B82" s="13"/>
      <c r="C82" s="13">
        <f>C81-'P&amp;L consol'!BG34</f>
        <v>0</v>
      </c>
      <c r="D82" s="13">
        <f>D81-'P&amp;L consol'!BH34</f>
        <v>0</v>
      </c>
      <c r="E82" s="13">
        <f>E81-'P&amp;L consol'!BI34</f>
        <v>0</v>
      </c>
      <c r="F82" s="13">
        <f>F81-'P&amp;L consol'!BJ34</f>
        <v>0</v>
      </c>
      <c r="G82" s="13">
        <f>G81-'P&amp;L consol'!BK34</f>
        <v>0</v>
      </c>
      <c r="H82" s="13">
        <f>H81-'P&amp;L consol'!BL34</f>
        <v>0</v>
      </c>
      <c r="I82" s="344">
        <f>'P&amp;L consol'!BM38</f>
        <v>4.1572424052137755</v>
      </c>
      <c r="J82" s="344">
        <f>'P&amp;L consol'!BN38</f>
        <v>5.1886760336917668</v>
      </c>
      <c r="K82" s="344">
        <f>'P&amp;L consol'!BO38</f>
        <v>4.8209222740924824</v>
      </c>
      <c r="L82" s="344">
        <f>'P&amp;L consol'!BP38</f>
        <v>4.5314545221630924</v>
      </c>
      <c r="R82" s="13"/>
      <c r="S82" s="13"/>
      <c r="T82" s="13"/>
      <c r="U82" s="13"/>
      <c r="V82">
        <f>V81/10^6</f>
        <v>27.300083999999998</v>
      </c>
      <c r="W82" s="13"/>
      <c r="X82" s="13"/>
      <c r="Y82" s="13"/>
      <c r="Z82" s="13"/>
      <c r="AB82" s="13"/>
      <c r="AC82" s="13"/>
      <c r="AD82" s="13"/>
      <c r="AE82" s="13"/>
      <c r="AG82" s="13"/>
      <c r="AH82" s="13"/>
      <c r="AI82" s="13"/>
      <c r="AJ82" s="13"/>
      <c r="AK82" s="13"/>
      <c r="AN82" s="13"/>
      <c r="AO82" s="13"/>
    </row>
    <row r="83" spans="1:41">
      <c r="B83" s="13"/>
      <c r="C83" s="13"/>
      <c r="D83" s="13"/>
      <c r="E83" s="13"/>
      <c r="F83" s="13"/>
      <c r="G83" s="13"/>
      <c r="H83" s="13"/>
      <c r="I83" s="13">
        <f t="shared" ref="I83:L83" si="60">I84/4</f>
        <v>238.5</v>
      </c>
      <c r="J83" s="13">
        <f t="shared" si="60"/>
        <v>845.25750000000005</v>
      </c>
      <c r="K83" s="13">
        <f t="shared" si="60"/>
        <v>844.25080000000003</v>
      </c>
      <c r="L83" s="13">
        <f t="shared" si="60"/>
        <v>841.85947239999996</v>
      </c>
      <c r="R83" s="13"/>
      <c r="S83" s="13"/>
      <c r="T83" s="13"/>
      <c r="U83" s="13"/>
      <c r="W83" s="13"/>
      <c r="X83" s="13"/>
      <c r="Y83" s="13"/>
      <c r="Z83" s="13"/>
      <c r="AB83" s="13"/>
      <c r="AC83" s="13"/>
      <c r="AD83" s="13"/>
      <c r="AE83" s="13"/>
      <c r="AG83" s="13"/>
      <c r="AH83" s="13"/>
      <c r="AI83" s="13"/>
      <c r="AJ83" s="13"/>
      <c r="AK83" s="13"/>
      <c r="AN83" s="13"/>
      <c r="AO83" s="13"/>
    </row>
    <row r="84" spans="1:41">
      <c r="A84" s="4" t="s">
        <v>449</v>
      </c>
      <c r="B84" s="222">
        <v>0</v>
      </c>
      <c r="C84" s="222">
        <f>'P&amp;L consol'!BG48</f>
        <v>0</v>
      </c>
      <c r="D84" s="222">
        <v>143</v>
      </c>
      <c r="E84" s="222">
        <f>-'P&amp;L consol'!BI48</f>
        <v>650</v>
      </c>
      <c r="F84" s="222">
        <f>-'P&amp;L consol'!BJ48</f>
        <v>806</v>
      </c>
      <c r="G84" s="222">
        <f>-'P&amp;L consol'!BK48</f>
        <v>1255</v>
      </c>
      <c r="H84" s="222">
        <f>-'P&amp;L consol'!BL48</f>
        <v>-300</v>
      </c>
      <c r="I84" s="222">
        <f>-'P&amp;L consol'!BM48</f>
        <v>954</v>
      </c>
      <c r="J84" s="227">
        <f>J86*AVERAGE(I85:J85)+J88</f>
        <v>3381.03</v>
      </c>
      <c r="K84" s="227">
        <f>K86*AVERAGE(J85:K85)+K88</f>
        <v>3377.0032000000001</v>
      </c>
      <c r="L84" s="227">
        <f>L86*AVERAGE(K85:L85)+L88</f>
        <v>3367.4378895999998</v>
      </c>
      <c r="R84" s="222"/>
      <c r="S84" s="222"/>
      <c r="T84" s="222"/>
      <c r="U84" s="222"/>
      <c r="W84" s="222"/>
      <c r="X84" s="222"/>
      <c r="Y84" s="222"/>
      <c r="Z84" s="222"/>
      <c r="AB84" s="222"/>
      <c r="AC84" s="222"/>
      <c r="AD84" s="222"/>
      <c r="AE84" s="222"/>
      <c r="AG84" s="222"/>
      <c r="AH84" s="222"/>
      <c r="AI84" s="222"/>
      <c r="AJ84" s="222"/>
      <c r="AK84" s="222"/>
      <c r="AN84" s="222"/>
      <c r="AO84" s="222"/>
    </row>
    <row r="85" spans="1:41">
      <c r="A85" s="4" t="s">
        <v>450</v>
      </c>
      <c r="B85" s="13">
        <v>38</v>
      </c>
      <c r="C85" s="13">
        <f t="shared" ref="C85:D85" si="61">C29+C18+C30+C12</f>
        <v>48</v>
      </c>
      <c r="D85" s="13">
        <f t="shared" si="61"/>
        <v>551</v>
      </c>
      <c r="E85" s="13">
        <f>E29+E18+E30+E12</f>
        <v>4896</v>
      </c>
      <c r="F85" s="13">
        <f t="shared" ref="F85:G85" si="62">F29+F18+F30+F12</f>
        <v>5622</v>
      </c>
      <c r="G85" s="13">
        <f t="shared" si="62"/>
        <v>7260</v>
      </c>
      <c r="H85" s="13">
        <f t="shared" ref="H85:I85" si="63">H29+H18+H30+H12</f>
        <v>10704</v>
      </c>
      <c r="I85" s="13">
        <f t="shared" si="63"/>
        <v>7278</v>
      </c>
      <c r="J85" s="13">
        <f>J29+J18+J30+J12-J89</f>
        <v>7278</v>
      </c>
      <c r="K85" s="13">
        <f>K29+K18+K30+K12-K89</f>
        <v>11750.239999999998</v>
      </c>
      <c r="L85" s="13">
        <f t="shared" ref="L85" si="64">L29+L18+L30+L12-L89</f>
        <v>16227.757599999997</v>
      </c>
      <c r="R85" s="13">
        <f>R29+R18+R30</f>
        <v>0</v>
      </c>
      <c r="S85" s="13">
        <f>S29+S18+S30</f>
        <v>0</v>
      </c>
      <c r="T85" s="13">
        <f>T29+T18+T30</f>
        <v>0</v>
      </c>
      <c r="U85" s="13">
        <f>U29+U18+U30</f>
        <v>0</v>
      </c>
      <c r="W85" s="13">
        <f>W29+W18+W30</f>
        <v>0</v>
      </c>
      <c r="X85" s="13">
        <f>X29+X18+X30</f>
        <v>0</v>
      </c>
      <c r="Y85" s="13">
        <f>Y29+Y18+Y30</f>
        <v>0</v>
      </c>
      <c r="Z85" s="13">
        <f>Z29+Z18+Z30</f>
        <v>0</v>
      </c>
      <c r="AB85" s="13">
        <f>AB29+AB18+AB30</f>
        <v>0</v>
      </c>
      <c r="AC85" s="13">
        <f>AC29+AC18+AC30</f>
        <v>0</v>
      </c>
      <c r="AD85" s="13">
        <f>AD29+AD18+AD30</f>
        <v>0</v>
      </c>
      <c r="AE85" s="13">
        <f>AE29+AE18+AE30</f>
        <v>0</v>
      </c>
      <c r="AG85" s="13"/>
      <c r="AH85" s="13"/>
      <c r="AI85" s="13"/>
      <c r="AJ85" s="13">
        <f>AJ29+AJ18+AJ30</f>
        <v>0</v>
      </c>
      <c r="AK85" s="13"/>
      <c r="AN85" s="13"/>
      <c r="AO85" s="13"/>
    </row>
    <row r="86" spans="1:41">
      <c r="A86" s="4" t="s">
        <v>451</v>
      </c>
      <c r="B86" s="16">
        <v>0</v>
      </c>
      <c r="C86" s="16">
        <f t="shared" ref="C86:F86" si="65">C84/AVERAGE(B85:C85)</f>
        <v>0</v>
      </c>
      <c r="D86" s="16">
        <f t="shared" si="65"/>
        <v>0.47746243739565941</v>
      </c>
      <c r="E86" s="16">
        <f t="shared" si="65"/>
        <v>0.2386634844868735</v>
      </c>
      <c r="F86" s="16">
        <f t="shared" si="65"/>
        <v>0.15326107625023769</v>
      </c>
      <c r="G86" s="16">
        <f t="shared" ref="G86" si="66">G84/AVERAGE(F85:G85)</f>
        <v>0.19484552088185064</v>
      </c>
      <c r="H86" s="16">
        <f t="shared" ref="H86:I86" si="67">H84/AVERAGE(G85:H85)</f>
        <v>-3.3400133600534405E-2</v>
      </c>
      <c r="I86" s="16">
        <f t="shared" si="67"/>
        <v>0.1061061061061061</v>
      </c>
      <c r="J86" s="322">
        <v>0.11</v>
      </c>
      <c r="K86" s="322">
        <v>0.11</v>
      </c>
      <c r="L86" s="322">
        <v>9.1999999999999998E-2</v>
      </c>
      <c r="R86" s="16"/>
      <c r="S86" s="16"/>
      <c r="T86" s="16"/>
      <c r="U86" s="16"/>
      <c r="W86" s="16"/>
      <c r="X86" s="16"/>
      <c r="Y86" s="16"/>
      <c r="Z86" s="16"/>
      <c r="AB86" s="16"/>
      <c r="AC86" s="16"/>
      <c r="AD86" s="16"/>
      <c r="AE86" s="16"/>
      <c r="AG86" s="16"/>
      <c r="AH86" s="16"/>
      <c r="AI86" s="16"/>
      <c r="AJ86" s="16"/>
      <c r="AK86" s="16"/>
      <c r="AN86" s="16"/>
      <c r="AO86" s="16"/>
    </row>
    <row r="87" spans="1:41">
      <c r="B87" s="16"/>
      <c r="C87" s="16"/>
      <c r="D87" s="16"/>
      <c r="E87" s="16"/>
      <c r="F87" s="16"/>
      <c r="G87" s="16"/>
      <c r="H87" s="16"/>
      <c r="I87" s="16"/>
      <c r="J87" s="322"/>
      <c r="K87" s="1010"/>
      <c r="L87" s="1010"/>
      <c r="R87" s="16"/>
      <c r="S87" s="16"/>
      <c r="T87" s="16"/>
      <c r="U87" s="16"/>
      <c r="W87" s="16"/>
      <c r="X87" s="16"/>
      <c r="Y87" s="16"/>
      <c r="Z87" s="16"/>
      <c r="AB87" s="16"/>
      <c r="AC87" s="16"/>
      <c r="AD87" s="16"/>
      <c r="AE87" s="16"/>
      <c r="AG87" s="16"/>
      <c r="AH87" s="16"/>
      <c r="AI87" s="16"/>
      <c r="AJ87" s="16"/>
      <c r="AK87" s="16"/>
      <c r="AN87" s="16"/>
      <c r="AO87" s="16"/>
    </row>
    <row r="88" spans="1:41">
      <c r="A88" s="4" t="s">
        <v>449</v>
      </c>
      <c r="B88" s="16"/>
      <c r="C88" s="16"/>
      <c r="D88" s="16"/>
      <c r="E88" s="16"/>
      <c r="F88" s="16"/>
      <c r="G88" s="16"/>
      <c r="H88" s="16"/>
      <c r="I88" s="16"/>
      <c r="J88" s="1011">
        <f>J89*J90</f>
        <v>2580.4500000000003</v>
      </c>
      <c r="K88" s="1011">
        <f t="shared" ref="K88:L88" si="68">K89*K90</f>
        <v>2330.4500000000003</v>
      </c>
      <c r="L88" s="1011">
        <f t="shared" si="68"/>
        <v>2080.4500000000003</v>
      </c>
      <c r="R88" s="16"/>
      <c r="S88" s="16"/>
      <c r="T88" s="16"/>
      <c r="U88" s="16"/>
      <c r="W88" s="16"/>
      <c r="X88" s="16"/>
      <c r="Y88" s="16"/>
      <c r="Z88" s="16"/>
      <c r="AB88" s="16"/>
      <c r="AC88" s="16"/>
      <c r="AD88" s="16"/>
      <c r="AE88" s="16"/>
      <c r="AG88" s="16"/>
      <c r="AH88" s="16"/>
      <c r="AI88" s="16"/>
      <c r="AJ88" s="16"/>
      <c r="AK88" s="16"/>
      <c r="AN88" s="16"/>
      <c r="AO88" s="16"/>
    </row>
    <row r="89" spans="1:41">
      <c r="A89" s="4" t="s">
        <v>452</v>
      </c>
      <c r="B89" s="16"/>
      <c r="C89" s="16"/>
      <c r="D89" s="16"/>
      <c r="E89" s="16"/>
      <c r="F89" s="16"/>
      <c r="G89" s="16"/>
      <c r="H89" s="16"/>
      <c r="I89" s="16"/>
      <c r="J89" s="1011">
        <v>51609</v>
      </c>
      <c r="K89" s="1011">
        <f>J89-5000</f>
        <v>46609</v>
      </c>
      <c r="L89" s="1011">
        <f>K89-5000</f>
        <v>41609</v>
      </c>
      <c r="R89" s="16"/>
      <c r="S89" s="16"/>
      <c r="T89" s="16"/>
      <c r="U89" s="16"/>
      <c r="W89" s="16"/>
      <c r="X89" s="16"/>
      <c r="Y89" s="16"/>
      <c r="Z89" s="16"/>
      <c r="AB89" s="16"/>
      <c r="AC89" s="16"/>
      <c r="AD89" s="16"/>
      <c r="AE89" s="16"/>
      <c r="AG89" s="16"/>
      <c r="AH89" s="16"/>
      <c r="AI89" s="16"/>
      <c r="AJ89" s="16"/>
      <c r="AK89" s="16"/>
      <c r="AN89" s="16"/>
      <c r="AO89" s="16"/>
    </row>
    <row r="90" spans="1:41">
      <c r="A90" s="4" t="s">
        <v>451</v>
      </c>
      <c r="B90" s="16"/>
      <c r="C90" s="16"/>
      <c r="D90" s="16"/>
      <c r="E90" s="16"/>
      <c r="F90" s="16"/>
      <c r="G90" s="16"/>
      <c r="H90" s="16"/>
      <c r="I90" s="16"/>
      <c r="J90" s="322">
        <v>0.05</v>
      </c>
      <c r="K90" s="322">
        <v>0.05</v>
      </c>
      <c r="L90" s="322">
        <v>0.05</v>
      </c>
      <c r="R90" s="16"/>
      <c r="S90" s="16"/>
      <c r="T90" s="16"/>
      <c r="U90" s="16"/>
      <c r="W90" s="16"/>
      <c r="X90" s="16"/>
      <c r="Y90" s="16"/>
      <c r="Z90" s="16"/>
      <c r="AB90" s="16"/>
      <c r="AC90" s="16"/>
      <c r="AD90" s="16"/>
      <c r="AE90" s="16"/>
      <c r="AG90" s="16"/>
      <c r="AH90" s="16"/>
      <c r="AI90" s="16"/>
      <c r="AJ90" s="16"/>
      <c r="AK90" s="16"/>
      <c r="AN90" s="16"/>
      <c r="AO90" s="16"/>
    </row>
    <row r="91" spans="1:41">
      <c r="J91" s="22">
        <f>J93/'Revenue and Cost model'!BH77</f>
        <v>1.6134896807788995E-2</v>
      </c>
      <c r="K91" s="22">
        <f>K93/'Revenue and Cost model'!BI77</f>
        <v>1.6663913809321935E-2</v>
      </c>
      <c r="L91" s="22">
        <f>L93/'Revenue and Cost model'!BJ77</f>
        <v>1.693882503506202E-2</v>
      </c>
    </row>
    <row r="92" spans="1:41">
      <c r="A92" s="6" t="s">
        <v>453</v>
      </c>
      <c r="B92" s="230">
        <v>6549</v>
      </c>
      <c r="C92" s="230">
        <f t="shared" ref="C92:L92" si="69">B94</f>
        <v>6515</v>
      </c>
      <c r="D92" s="230">
        <f t="shared" si="69"/>
        <v>6983</v>
      </c>
      <c r="E92" s="230">
        <f>D94</f>
        <v>7455</v>
      </c>
      <c r="F92" s="230">
        <f>E94</f>
        <v>8455</v>
      </c>
      <c r="G92" s="230">
        <f t="shared" si="69"/>
        <v>8370</v>
      </c>
      <c r="H92" s="230">
        <f t="shared" si="69"/>
        <v>8915</v>
      </c>
      <c r="I92" s="230">
        <f t="shared" si="69"/>
        <v>12953</v>
      </c>
      <c r="J92" s="230">
        <f t="shared" si="69"/>
        <v>16571.384471468664</v>
      </c>
      <c r="K92" s="230">
        <f t="shared" si="69"/>
        <v>20571.384471468664</v>
      </c>
      <c r="L92" s="230">
        <f t="shared" si="69"/>
        <v>25571.384471468664</v>
      </c>
      <c r="M92" s="23"/>
      <c r="N92" s="17"/>
      <c r="O92" s="17"/>
      <c r="P92" s="17"/>
      <c r="R92" s="230"/>
      <c r="S92" s="230"/>
      <c r="T92" s="230"/>
      <c r="U92" s="230"/>
      <c r="W92" s="230"/>
      <c r="X92" s="230"/>
      <c r="Y92" s="230"/>
      <c r="Z92" s="230"/>
      <c r="AB92" s="230"/>
      <c r="AC92" s="230"/>
      <c r="AD92" s="230"/>
      <c r="AE92" s="230"/>
      <c r="AG92" s="230"/>
      <c r="AH92" s="230"/>
      <c r="AI92" s="230"/>
      <c r="AJ92" s="230"/>
      <c r="AK92" s="230"/>
      <c r="AN92" s="230"/>
      <c r="AO92" s="230"/>
    </row>
    <row r="93" spans="1:41">
      <c r="A93" s="4" t="s">
        <v>291</v>
      </c>
      <c r="B93" s="23">
        <v>-34</v>
      </c>
      <c r="C93" s="23">
        <f t="shared" ref="C93:D93" si="70">C94-C92</f>
        <v>468</v>
      </c>
      <c r="D93" s="23">
        <f t="shared" si="70"/>
        <v>472</v>
      </c>
      <c r="E93" s="23">
        <f>E94-E92</f>
        <v>1000</v>
      </c>
      <c r="F93" s="23">
        <f>F94-F92</f>
        <v>-85</v>
      </c>
      <c r="G93" s="23">
        <f>G94-G92</f>
        <v>545</v>
      </c>
      <c r="H93" s="23">
        <f>H94-H92</f>
        <v>4038</v>
      </c>
      <c r="I93" s="23">
        <f>I94-I92</f>
        <v>3618.3844714686638</v>
      </c>
      <c r="J93" s="296">
        <v>4000</v>
      </c>
      <c r="K93" s="296">
        <v>5000</v>
      </c>
      <c r="L93" s="296">
        <v>6000</v>
      </c>
      <c r="M93" s="23"/>
      <c r="N93" s="17"/>
      <c r="O93" s="17"/>
      <c r="P93" s="17"/>
      <c r="R93" s="23"/>
      <c r="S93" s="23"/>
      <c r="T93" s="23"/>
      <c r="U93" s="23"/>
      <c r="W93" s="23"/>
      <c r="X93" s="23"/>
      <c r="Y93" s="23"/>
      <c r="Z93" s="23"/>
      <c r="AB93" s="23"/>
      <c r="AC93" s="23"/>
      <c r="AD93" s="23"/>
      <c r="AE93" s="23"/>
      <c r="AG93" s="23"/>
      <c r="AH93" s="23"/>
      <c r="AI93" s="23"/>
      <c r="AJ93" s="23"/>
      <c r="AK93" s="23"/>
      <c r="AN93" s="23"/>
      <c r="AO93" s="23"/>
    </row>
    <row r="94" spans="1:41">
      <c r="A94" s="65" t="s">
        <v>454</v>
      </c>
      <c r="B94" s="231">
        <v>6515</v>
      </c>
      <c r="C94" s="231">
        <v>6983</v>
      </c>
      <c r="D94" s="231">
        <v>7455</v>
      </c>
      <c r="E94" s="231">
        <v>8455</v>
      </c>
      <c r="F94" s="231">
        <v>8370</v>
      </c>
      <c r="G94" s="231">
        <v>8915</v>
      </c>
      <c r="H94" s="231">
        <v>12953</v>
      </c>
      <c r="I94" s="1004">
        <f>I100+I98</f>
        <v>16571.384471468664</v>
      </c>
      <c r="J94" s="232">
        <f>J92+J93</f>
        <v>20571.384471468664</v>
      </c>
      <c r="K94" s="232">
        <f>K92+K93</f>
        <v>25571.384471468664</v>
      </c>
      <c r="L94" s="232">
        <f>L92+L93</f>
        <v>31571.384471468664</v>
      </c>
      <c r="M94" s="932"/>
      <c r="N94" s="17"/>
      <c r="O94" s="17"/>
      <c r="P94" s="17"/>
      <c r="R94" s="231"/>
      <c r="S94" s="231"/>
      <c r="T94" s="231"/>
      <c r="U94" s="231"/>
      <c r="W94" s="231"/>
      <c r="X94" s="231"/>
      <c r="Y94" s="231"/>
      <c r="Z94" s="231"/>
      <c r="AB94" s="231"/>
      <c r="AC94" s="231"/>
      <c r="AD94" s="231"/>
      <c r="AE94" s="231"/>
      <c r="AG94" s="231"/>
      <c r="AH94" s="231"/>
      <c r="AI94" s="231"/>
      <c r="AJ94" s="231"/>
      <c r="AK94" s="231"/>
      <c r="AN94" s="231"/>
      <c r="AO94" s="231"/>
    </row>
    <row r="95" spans="1:41">
      <c r="N95" s="17"/>
      <c r="O95" s="17"/>
      <c r="P95" s="17"/>
    </row>
    <row r="96" spans="1:41">
      <c r="A96" s="4" t="s">
        <v>455</v>
      </c>
      <c r="B96" s="17">
        <v>2049</v>
      </c>
      <c r="C96" s="17">
        <f t="shared" ref="C96:L96" si="71">B98</f>
        <v>2324</v>
      </c>
      <c r="D96" s="17">
        <f>C98</f>
        <v>2970</v>
      </c>
      <c r="E96" s="17">
        <f>D98</f>
        <v>3553</v>
      </c>
      <c r="F96" s="17">
        <f>E98</f>
        <v>4003</v>
      </c>
      <c r="G96" s="17">
        <f t="shared" si="71"/>
        <v>3915</v>
      </c>
      <c r="H96" s="17">
        <f t="shared" si="71"/>
        <v>4445</v>
      </c>
      <c r="I96" s="76">
        <f t="shared" si="71"/>
        <v>5271</v>
      </c>
      <c r="J96" s="76">
        <f t="shared" si="71"/>
        <v>7146.384471468662</v>
      </c>
      <c r="K96" s="76">
        <f t="shared" si="71"/>
        <v>10223.693777699313</v>
      </c>
      <c r="L96" s="76">
        <f t="shared" si="71"/>
        <v>13684.234138951691</v>
      </c>
      <c r="M96" s="23"/>
      <c r="N96" s="17"/>
      <c r="O96" s="17"/>
      <c r="P96" s="17"/>
      <c r="R96" s="17"/>
      <c r="S96" s="17"/>
      <c r="T96" s="17"/>
      <c r="U96" s="17"/>
      <c r="W96" s="17"/>
      <c r="X96" s="17"/>
      <c r="Y96" s="17"/>
      <c r="Z96" s="17"/>
      <c r="AB96" s="17"/>
      <c r="AC96" s="17"/>
      <c r="AD96" s="17"/>
      <c r="AE96" s="17"/>
      <c r="AG96" s="17"/>
      <c r="AH96" s="17"/>
      <c r="AI96" s="17"/>
      <c r="AJ96" s="17"/>
      <c r="AK96" s="17"/>
      <c r="AN96" s="17"/>
      <c r="AO96" s="17"/>
    </row>
    <row r="97" spans="1:41">
      <c r="A97" s="4" t="s">
        <v>214</v>
      </c>
      <c r="B97" s="17">
        <v>275</v>
      </c>
      <c r="C97" s="17">
        <f t="shared" ref="C97:D97" si="72">C98-C96</f>
        <v>646</v>
      </c>
      <c r="D97" s="17">
        <f t="shared" si="72"/>
        <v>583</v>
      </c>
      <c r="E97" s="17">
        <f>E98-E96</f>
        <v>450</v>
      </c>
      <c r="F97" s="17">
        <f>F98-F96</f>
        <v>-88</v>
      </c>
      <c r="G97" s="17">
        <f>G98-G96</f>
        <v>530</v>
      </c>
      <c r="H97" s="17">
        <f>H98-H96</f>
        <v>826</v>
      </c>
      <c r="I97" s="17">
        <f t="shared" ref="I97:J97" si="73">I75</f>
        <v>1875.3844714686622</v>
      </c>
      <c r="J97" s="17">
        <f t="shared" si="73"/>
        <v>3077.3093062306511</v>
      </c>
      <c r="K97" s="17">
        <f t="shared" ref="K97:L97" si="74">K75</f>
        <v>3460.5403612523778</v>
      </c>
      <c r="L97" s="17">
        <f t="shared" si="74"/>
        <v>3839.9572521427376</v>
      </c>
      <c r="M97" s="23"/>
      <c r="N97" s="17"/>
      <c r="O97" s="17"/>
      <c r="P97" s="17"/>
      <c r="R97" s="17"/>
      <c r="S97" s="17"/>
      <c r="T97" s="17"/>
      <c r="U97" s="17"/>
      <c r="W97" s="17"/>
      <c r="X97" s="17"/>
      <c r="Y97" s="17"/>
      <c r="Z97" s="17"/>
      <c r="AB97" s="17"/>
      <c r="AC97" s="17"/>
      <c r="AD97" s="17"/>
      <c r="AE97" s="17"/>
      <c r="AG97" s="17"/>
      <c r="AH97" s="17"/>
      <c r="AI97" s="17"/>
      <c r="AJ97" s="17"/>
      <c r="AK97" s="17"/>
      <c r="AN97" s="17"/>
      <c r="AO97" s="17"/>
    </row>
    <row r="98" spans="1:41">
      <c r="A98" s="4" t="s">
        <v>456</v>
      </c>
      <c r="B98" s="233">
        <v>2324</v>
      </c>
      <c r="C98" s="233">
        <v>2970</v>
      </c>
      <c r="D98" s="233">
        <v>3553</v>
      </c>
      <c r="E98" s="233">
        <v>4003</v>
      </c>
      <c r="F98" s="233">
        <v>3915</v>
      </c>
      <c r="G98" s="233">
        <v>4445</v>
      </c>
      <c r="H98" s="233">
        <f>H94-H100</f>
        <v>5271</v>
      </c>
      <c r="I98" s="17">
        <f t="shared" ref="I98:J98" si="75">I96+I97</f>
        <v>7146.384471468662</v>
      </c>
      <c r="J98" s="17">
        <f t="shared" si="75"/>
        <v>10223.693777699313</v>
      </c>
      <c r="K98" s="17">
        <f t="shared" ref="K98:L98" si="76">K96+K97</f>
        <v>13684.234138951691</v>
      </c>
      <c r="L98" s="17">
        <f t="shared" si="76"/>
        <v>17524.191391094428</v>
      </c>
      <c r="M98" s="933"/>
      <c r="N98" s="17"/>
      <c r="O98" s="17"/>
      <c r="P98" s="17"/>
      <c r="R98" s="233"/>
      <c r="S98" s="233"/>
      <c r="T98" s="233"/>
      <c r="U98" s="233"/>
      <c r="W98" s="233"/>
      <c r="X98" s="233"/>
      <c r="Y98" s="233"/>
      <c r="Z98" s="233"/>
      <c r="AB98" s="233"/>
      <c r="AC98" s="233"/>
      <c r="AD98" s="233"/>
      <c r="AE98" s="233"/>
      <c r="AG98" s="233"/>
      <c r="AH98" s="233"/>
      <c r="AI98" s="233"/>
      <c r="AJ98" s="233"/>
      <c r="AK98" s="233"/>
      <c r="AN98" s="233"/>
      <c r="AO98" s="233"/>
    </row>
    <row r="99" spans="1:41">
      <c r="H99" s="23"/>
      <c r="N99" s="17"/>
      <c r="O99" s="17"/>
      <c r="P99" s="17"/>
    </row>
    <row r="100" spans="1:41">
      <c r="A100" s="6" t="s">
        <v>457</v>
      </c>
      <c r="B100" s="234">
        <v>4191</v>
      </c>
      <c r="C100" s="234">
        <f t="shared" ref="C100:E100" si="77">C94-C98</f>
        <v>4013</v>
      </c>
      <c r="D100" s="890">
        <f t="shared" si="77"/>
        <v>3902</v>
      </c>
      <c r="E100" s="234">
        <f t="shared" si="77"/>
        <v>4452</v>
      </c>
      <c r="F100" s="234">
        <f>F94-F98</f>
        <v>4455</v>
      </c>
      <c r="G100" s="234">
        <f>G94-G98</f>
        <v>4470</v>
      </c>
      <c r="H100" s="234">
        <f>H40</f>
        <v>7682</v>
      </c>
      <c r="I100" s="1005">
        <f>I40</f>
        <v>9425</v>
      </c>
      <c r="J100" s="234">
        <f t="shared" ref="J100" si="78">J94-J98</f>
        <v>10347.690693769351</v>
      </c>
      <c r="K100" s="234">
        <f t="shared" ref="K100:L100" si="79">K94-K98</f>
        <v>11887.150332516972</v>
      </c>
      <c r="L100" s="234">
        <f t="shared" si="79"/>
        <v>14047.193080374236</v>
      </c>
      <c r="M100" s="931"/>
      <c r="N100" s="17"/>
      <c r="O100" s="17"/>
      <c r="P100" s="17"/>
      <c r="Q100" s="205"/>
      <c r="R100" s="234"/>
      <c r="S100" s="234"/>
      <c r="T100" s="234"/>
      <c r="U100" s="234"/>
      <c r="W100" s="234"/>
      <c r="X100" s="234"/>
      <c r="Y100" s="234"/>
      <c r="Z100" s="234"/>
      <c r="AB100" s="234"/>
      <c r="AC100" s="234"/>
      <c r="AD100" s="234"/>
      <c r="AE100" s="234"/>
      <c r="AG100" s="234"/>
      <c r="AH100" s="234"/>
      <c r="AI100" s="234"/>
      <c r="AJ100" s="234"/>
      <c r="AK100" s="234"/>
      <c r="AN100" s="234"/>
      <c r="AO100" s="234"/>
    </row>
    <row r="101" spans="1:41">
      <c r="D101" s="4">
        <v>207</v>
      </c>
      <c r="N101" s="17"/>
      <c r="O101" s="17"/>
      <c r="P101" s="17"/>
    </row>
    <row r="102" spans="1:41">
      <c r="A102" s="6" t="s">
        <v>458</v>
      </c>
      <c r="C102" s="233">
        <v>993</v>
      </c>
      <c r="D102" s="233">
        <f>C104</f>
        <v>1032</v>
      </c>
      <c r="E102" s="233">
        <f>D104</f>
        <v>1210</v>
      </c>
      <c r="F102" s="233">
        <f>E104</f>
        <v>2328</v>
      </c>
      <c r="G102" s="233">
        <f>F104</f>
        <v>3654</v>
      </c>
      <c r="H102" s="233">
        <f>G104</f>
        <v>4848</v>
      </c>
      <c r="I102" s="230">
        <f t="shared" ref="I102:L102" si="80">H104</f>
        <v>6418</v>
      </c>
      <c r="J102" s="230">
        <f t="shared" si="80"/>
        <v>7490.7939663236666</v>
      </c>
      <c r="K102" s="230">
        <f t="shared" si="80"/>
        <v>11490.793966323667</v>
      </c>
      <c r="L102" s="230">
        <f t="shared" si="80"/>
        <v>16490.793966323668</v>
      </c>
      <c r="M102" s="23"/>
      <c r="N102" s="17"/>
      <c r="O102" s="17"/>
      <c r="P102" s="17"/>
      <c r="R102" s="233"/>
      <c r="S102" s="233"/>
      <c r="T102" s="233"/>
      <c r="U102" s="233"/>
      <c r="W102" s="233"/>
      <c r="X102" s="233"/>
      <c r="Y102" s="233"/>
      <c r="Z102" s="233"/>
      <c r="AB102" s="233"/>
      <c r="AC102" s="233"/>
      <c r="AD102" s="233"/>
      <c r="AE102" s="233"/>
      <c r="AG102" s="233"/>
      <c r="AH102" s="233"/>
      <c r="AI102" s="233"/>
      <c r="AJ102" s="233"/>
      <c r="AK102" s="233"/>
      <c r="AN102" s="233"/>
      <c r="AO102" s="233"/>
    </row>
    <row r="103" spans="1:41">
      <c r="A103" s="4" t="s">
        <v>291</v>
      </c>
      <c r="C103" s="17">
        <f>12+35-8</f>
        <v>39</v>
      </c>
      <c r="D103" s="17">
        <f>1051-C104+211-52</f>
        <v>178</v>
      </c>
      <c r="E103" s="17">
        <f>793+325</f>
        <v>1118</v>
      </c>
      <c r="F103" s="17">
        <f>1466-140</f>
        <v>1326</v>
      </c>
      <c r="G103" s="17">
        <f>1208-14</f>
        <v>1194</v>
      </c>
      <c r="H103" s="17">
        <f>2011+144-585</f>
        <v>1570</v>
      </c>
      <c r="I103" s="1006">
        <f>I104-I102</f>
        <v>1072.7939663236666</v>
      </c>
      <c r="J103" s="296">
        <v>4000</v>
      </c>
      <c r="K103" s="296">
        <v>5000</v>
      </c>
      <c r="L103" s="296">
        <v>6000</v>
      </c>
      <c r="M103" s="23"/>
      <c r="N103" s="17"/>
      <c r="O103" s="17"/>
      <c r="P103" s="17"/>
      <c r="R103" s="17"/>
      <c r="S103" s="17"/>
      <c r="T103" s="17"/>
      <c r="U103" s="17"/>
      <c r="W103" s="17"/>
      <c r="X103" s="17"/>
      <c r="Y103" s="17"/>
      <c r="Z103" s="17"/>
      <c r="AB103" s="17"/>
      <c r="AC103" s="17"/>
      <c r="AD103" s="17"/>
      <c r="AE103" s="17"/>
      <c r="AG103" s="17"/>
      <c r="AH103" s="17"/>
      <c r="AI103" s="17"/>
      <c r="AJ103" s="17"/>
      <c r="AK103" s="17"/>
      <c r="AN103" s="17"/>
      <c r="AO103" s="17"/>
    </row>
    <row r="104" spans="1:41">
      <c r="A104" s="65" t="s">
        <v>459</v>
      </c>
      <c r="B104" s="65"/>
      <c r="C104" s="341">
        <f>C102+C103</f>
        <v>1032</v>
      </c>
      <c r="D104" s="341">
        <f>D102+D103</f>
        <v>1210</v>
      </c>
      <c r="E104" s="341">
        <f>E102+E103</f>
        <v>2328</v>
      </c>
      <c r="F104" s="341">
        <f>F102+F103</f>
        <v>3654</v>
      </c>
      <c r="G104" s="341">
        <f t="shared" ref="G104:H104" si="81">G102+G103</f>
        <v>4848</v>
      </c>
      <c r="H104" s="341">
        <f t="shared" si="81"/>
        <v>6418</v>
      </c>
      <c r="I104" s="1004">
        <f>I110+I108</f>
        <v>7490.7939663236666</v>
      </c>
      <c r="J104" s="232">
        <f>J102+J103</f>
        <v>11490.793966323667</v>
      </c>
      <c r="K104" s="232">
        <f>K102+K103</f>
        <v>16490.793966323668</v>
      </c>
      <c r="L104" s="232">
        <f>L102+L103</f>
        <v>22490.793966323668</v>
      </c>
      <c r="M104" s="932"/>
      <c r="N104" s="17"/>
      <c r="O104" s="17"/>
      <c r="P104" s="17"/>
      <c r="R104" s="235"/>
      <c r="S104" s="235"/>
      <c r="T104" s="235"/>
      <c r="U104" s="235"/>
      <c r="W104" s="235"/>
      <c r="X104" s="235"/>
      <c r="Y104" s="235"/>
      <c r="Z104" s="235"/>
      <c r="AB104" s="235"/>
      <c r="AC104" s="235"/>
      <c r="AD104" s="235"/>
      <c r="AE104" s="235"/>
      <c r="AG104" s="235"/>
      <c r="AH104" s="235"/>
      <c r="AI104" s="235"/>
      <c r="AJ104" s="235"/>
      <c r="AK104" s="235"/>
      <c r="AN104" s="235"/>
      <c r="AO104" s="235"/>
    </row>
    <row r="105" spans="1:41">
      <c r="N105" s="17"/>
      <c r="O105" s="17"/>
      <c r="P105" s="17"/>
    </row>
    <row r="106" spans="1:41">
      <c r="A106" s="4" t="s">
        <v>455</v>
      </c>
      <c r="B106" s="17"/>
      <c r="C106" s="17">
        <v>0</v>
      </c>
      <c r="D106" s="17">
        <f t="shared" ref="D106:L106" si="82">C108</f>
        <v>240</v>
      </c>
      <c r="E106" s="17">
        <f>D108</f>
        <v>292</v>
      </c>
      <c r="F106" s="17">
        <f>E108</f>
        <v>852</v>
      </c>
      <c r="G106" s="17">
        <f t="shared" si="82"/>
        <v>1289</v>
      </c>
      <c r="H106" s="17">
        <f t="shared" si="82"/>
        <v>1921</v>
      </c>
      <c r="I106" s="76">
        <f t="shared" si="82"/>
        <v>2864</v>
      </c>
      <c r="J106" s="76">
        <f t="shared" si="82"/>
        <v>4434.7939663236666</v>
      </c>
      <c r="K106" s="76">
        <f t="shared" si="82"/>
        <v>7261.0710084736174</v>
      </c>
      <c r="L106" s="76">
        <f t="shared" si="82"/>
        <v>10439.316938006392</v>
      </c>
      <c r="M106" s="23"/>
      <c r="N106" s="17"/>
      <c r="O106" s="17"/>
      <c r="P106" s="17"/>
      <c r="R106" s="17"/>
      <c r="S106" s="17"/>
      <c r="T106" s="17"/>
      <c r="U106" s="17"/>
      <c r="W106" s="17"/>
      <c r="X106" s="17"/>
      <c r="Y106" s="17"/>
      <c r="Z106" s="17"/>
      <c r="AB106" s="17"/>
      <c r="AC106" s="17"/>
      <c r="AD106" s="17"/>
      <c r="AE106" s="17"/>
      <c r="AG106" s="17"/>
      <c r="AH106" s="17"/>
      <c r="AI106" s="17"/>
      <c r="AJ106" s="17"/>
      <c r="AK106" s="17"/>
      <c r="AN106" s="17"/>
      <c r="AO106" s="17"/>
    </row>
    <row r="107" spans="1:41">
      <c r="A107" s="4" t="s">
        <v>214</v>
      </c>
      <c r="B107" s="17"/>
      <c r="C107" s="233">
        <f>280-40</f>
        <v>240</v>
      </c>
      <c r="D107" s="233">
        <f>291+1-C107</f>
        <v>52</v>
      </c>
      <c r="E107" s="233">
        <f>149+411</f>
        <v>560</v>
      </c>
      <c r="F107" s="233">
        <f>469-32</f>
        <v>437</v>
      </c>
      <c r="G107" s="233">
        <f>653-21</f>
        <v>632</v>
      </c>
      <c r="H107" s="233">
        <f>985-42</f>
        <v>943</v>
      </c>
      <c r="I107" s="17">
        <f t="shared" ref="I107:J107" si="83">I77</f>
        <v>1570.7939663236671</v>
      </c>
      <c r="J107" s="17">
        <f t="shared" si="83"/>
        <v>2826.2770421499508</v>
      </c>
      <c r="K107" s="17">
        <f t="shared" ref="K107:L107" si="84">K77</f>
        <v>3178.2459295327744</v>
      </c>
      <c r="L107" s="17">
        <f t="shared" si="84"/>
        <v>3526.7117941620363</v>
      </c>
      <c r="M107" s="23"/>
      <c r="N107" s="17"/>
      <c r="O107" s="17"/>
      <c r="P107" s="17"/>
      <c r="R107" s="17"/>
      <c r="S107" s="17"/>
      <c r="T107" s="17"/>
      <c r="U107" s="17"/>
      <c r="W107" s="17"/>
      <c r="X107" s="17"/>
      <c r="Y107" s="17"/>
      <c r="Z107" s="17"/>
      <c r="AB107" s="17"/>
      <c r="AC107" s="17"/>
      <c r="AD107" s="17"/>
      <c r="AE107" s="17"/>
      <c r="AG107" s="17"/>
      <c r="AH107" s="17"/>
      <c r="AI107" s="17"/>
      <c r="AJ107" s="17"/>
      <c r="AK107" s="17"/>
      <c r="AN107" s="17"/>
      <c r="AO107" s="17"/>
    </row>
    <row r="108" spans="1:41">
      <c r="A108" s="4" t="s">
        <v>456</v>
      </c>
      <c r="B108" s="233"/>
      <c r="C108" s="233">
        <f t="shared" ref="C108:J108" si="85">C106+C107</f>
        <v>240</v>
      </c>
      <c r="D108" s="233">
        <f t="shared" si="85"/>
        <v>292</v>
      </c>
      <c r="E108" s="233">
        <f>E106+E107</f>
        <v>852</v>
      </c>
      <c r="F108" s="233">
        <f t="shared" ref="F108:H108" si="86">F106+F107</f>
        <v>1289</v>
      </c>
      <c r="G108" s="233">
        <f t="shared" si="86"/>
        <v>1921</v>
      </c>
      <c r="H108" s="233">
        <f t="shared" si="86"/>
        <v>2864</v>
      </c>
      <c r="I108" s="17">
        <f t="shared" si="85"/>
        <v>4434.7939663236666</v>
      </c>
      <c r="J108" s="17">
        <f t="shared" si="85"/>
        <v>7261.0710084736174</v>
      </c>
      <c r="K108" s="17">
        <f t="shared" ref="K108:L108" si="87">K106+K107</f>
        <v>10439.316938006392</v>
      </c>
      <c r="L108" s="17">
        <f t="shared" si="87"/>
        <v>13966.028732168428</v>
      </c>
      <c r="M108" s="933"/>
      <c r="N108" s="17"/>
      <c r="O108" s="17"/>
      <c r="P108" s="17"/>
      <c r="R108" s="233"/>
      <c r="S108" s="233"/>
      <c r="T108" s="233"/>
      <c r="U108" s="233"/>
      <c r="W108" s="233"/>
      <c r="X108" s="233"/>
      <c r="Y108" s="233"/>
      <c r="Z108" s="233"/>
      <c r="AB108" s="233"/>
      <c r="AC108" s="233"/>
      <c r="AD108" s="233"/>
      <c r="AE108" s="233"/>
      <c r="AG108" s="233"/>
      <c r="AH108" s="233"/>
      <c r="AI108" s="233"/>
      <c r="AJ108" s="233"/>
      <c r="AK108" s="233"/>
      <c r="AN108" s="233"/>
      <c r="AO108" s="233"/>
    </row>
    <row r="109" spans="1:41">
      <c r="N109" s="17"/>
      <c r="O109" s="17"/>
      <c r="P109" s="17"/>
    </row>
    <row r="110" spans="1:41">
      <c r="A110" s="6" t="s">
        <v>460</v>
      </c>
      <c r="B110" s="234"/>
      <c r="C110" s="234">
        <f>C104-C108</f>
        <v>792</v>
      </c>
      <c r="D110" s="234">
        <f>D104-D108</f>
        <v>918</v>
      </c>
      <c r="E110" s="234">
        <f>E104-E108</f>
        <v>1476</v>
      </c>
      <c r="F110" s="234">
        <f t="shared" ref="F110:H110" si="88">F104-F108</f>
        <v>2365</v>
      </c>
      <c r="G110" s="893">
        <f t="shared" si="88"/>
        <v>2927</v>
      </c>
      <c r="H110" s="893">
        <f t="shared" si="88"/>
        <v>3554</v>
      </c>
      <c r="I110" s="1005">
        <f>I41</f>
        <v>3056</v>
      </c>
      <c r="J110" s="234">
        <f>J104-J108</f>
        <v>4229.7229578500492</v>
      </c>
      <c r="K110" s="234">
        <f>K104-K108</f>
        <v>6051.4770283172766</v>
      </c>
      <c r="L110" s="234">
        <f>L104-L108</f>
        <v>8524.7652341552403</v>
      </c>
      <c r="M110" s="931"/>
      <c r="N110" s="17"/>
      <c r="O110" s="17"/>
      <c r="P110" s="17"/>
      <c r="R110" s="234"/>
      <c r="S110" s="234"/>
      <c r="T110" s="234"/>
      <c r="U110" s="234"/>
      <c r="W110" s="234"/>
      <c r="X110" s="234"/>
      <c r="Y110" s="234"/>
      <c r="Z110" s="234"/>
      <c r="AB110" s="234"/>
      <c r="AC110" s="234"/>
      <c r="AD110" s="234"/>
      <c r="AE110" s="234"/>
      <c r="AG110" s="234"/>
      <c r="AH110" s="234"/>
      <c r="AI110" s="234"/>
      <c r="AJ110" s="234"/>
      <c r="AK110" s="234"/>
      <c r="AN110" s="234"/>
      <c r="AO110" s="234"/>
    </row>
    <row r="111" spans="1:41">
      <c r="C111" s="17">
        <f t="shared" ref="C111:E111" si="89">C41</f>
        <v>792</v>
      </c>
      <c r="D111" s="17">
        <f t="shared" si="89"/>
        <v>918</v>
      </c>
      <c r="E111" s="17">
        <f t="shared" si="89"/>
        <v>1476</v>
      </c>
      <c r="F111" s="17">
        <f>F41</f>
        <v>2365</v>
      </c>
      <c r="G111" s="17">
        <f>G41</f>
        <v>2927</v>
      </c>
      <c r="H111" s="17">
        <f>H41</f>
        <v>3554</v>
      </c>
      <c r="N111" s="17"/>
      <c r="O111" s="17"/>
      <c r="P111" s="17"/>
    </row>
    <row r="112" spans="1:41">
      <c r="A112" s="236"/>
      <c r="B112" s="236"/>
      <c r="C112" s="236"/>
      <c r="D112" s="236"/>
      <c r="E112" s="236"/>
      <c r="F112" s="236"/>
      <c r="G112" s="236"/>
      <c r="H112" s="236"/>
      <c r="I112" s="236"/>
      <c r="J112" s="236"/>
      <c r="K112" s="236"/>
      <c r="L112" s="236"/>
      <c r="N112" s="17"/>
      <c r="O112" s="17"/>
      <c r="P112" s="17"/>
      <c r="R112" s="236"/>
      <c r="S112" s="236"/>
      <c r="T112" s="236"/>
      <c r="U112" s="236"/>
      <c r="W112" s="236"/>
      <c r="X112" s="236"/>
      <c r="Y112" s="236"/>
      <c r="Z112" s="236"/>
      <c r="AB112" s="236"/>
      <c r="AC112" s="236"/>
      <c r="AD112" s="236"/>
      <c r="AE112" s="236"/>
      <c r="AG112" s="236"/>
      <c r="AH112" s="236"/>
      <c r="AI112" s="236"/>
      <c r="AJ112" s="236"/>
      <c r="AK112" s="236"/>
      <c r="AN112" s="236"/>
      <c r="AO112" s="236"/>
    </row>
    <row r="113" spans="1:41">
      <c r="A113" s="4" t="s">
        <v>461</v>
      </c>
      <c r="B113" s="243">
        <v>3539</v>
      </c>
      <c r="C113" s="243">
        <f>B115</f>
        <v>3798</v>
      </c>
      <c r="D113" s="243">
        <f>C115</f>
        <v>5018</v>
      </c>
      <c r="E113" s="243">
        <f t="shared" ref="E113:L113" si="90">D115</f>
        <v>4389</v>
      </c>
      <c r="F113" s="243">
        <f t="shared" si="90"/>
        <v>7230</v>
      </c>
      <c r="G113" s="243">
        <f t="shared" si="90"/>
        <v>8520</v>
      </c>
      <c r="H113" s="243">
        <f t="shared" si="90"/>
        <v>9419</v>
      </c>
      <c r="I113" s="243">
        <f t="shared" si="90"/>
        <v>20188</v>
      </c>
      <c r="J113" s="243">
        <f>I115</f>
        <v>25707.821562207671</v>
      </c>
      <c r="K113" s="243">
        <f t="shared" si="90"/>
        <v>31707.821562207671</v>
      </c>
      <c r="L113" s="243">
        <f t="shared" si="90"/>
        <v>38707.821562207668</v>
      </c>
      <c r="M113" s="23"/>
      <c r="N113" s="17"/>
      <c r="O113" s="17"/>
      <c r="P113" s="17"/>
      <c r="R113" s="243"/>
      <c r="S113" s="243"/>
      <c r="T113" s="243"/>
      <c r="U113" s="243"/>
      <c r="W113" s="243"/>
      <c r="X113" s="243"/>
      <c r="Y113" s="243"/>
      <c r="Z113" s="243"/>
      <c r="AB113" s="243"/>
      <c r="AC113" s="243"/>
      <c r="AD113" s="243"/>
      <c r="AE113" s="243"/>
      <c r="AG113" s="243"/>
      <c r="AH113" s="243"/>
      <c r="AI113" s="243"/>
      <c r="AJ113" s="243"/>
      <c r="AK113" s="243"/>
      <c r="AN113" s="243"/>
      <c r="AO113" s="243"/>
    </row>
    <row r="114" spans="1:41">
      <c r="A114" s="4" t="s">
        <v>291</v>
      </c>
      <c r="B114" s="76">
        <v>259</v>
      </c>
      <c r="C114" s="76">
        <f t="shared" ref="C114:D114" si="91">C115-C113</f>
        <v>1220</v>
      </c>
      <c r="D114" s="76">
        <f t="shared" si="91"/>
        <v>-629</v>
      </c>
      <c r="E114" s="76">
        <f>E115-E113</f>
        <v>2841</v>
      </c>
      <c r="F114" s="76">
        <f>F115-F113</f>
        <v>1290</v>
      </c>
      <c r="G114" s="76">
        <f>G115-G113</f>
        <v>899</v>
      </c>
      <c r="H114" s="76">
        <f>H115-H113</f>
        <v>10769</v>
      </c>
      <c r="I114" s="75">
        <f>I115-I113</f>
        <v>5519.8215622076714</v>
      </c>
      <c r="J114" s="75">
        <v>6000</v>
      </c>
      <c r="K114" s="75">
        <v>7000</v>
      </c>
      <c r="L114" s="75">
        <v>6000</v>
      </c>
      <c r="M114" s="23"/>
      <c r="N114" s="17"/>
      <c r="O114" s="17"/>
      <c r="P114" s="17"/>
    </row>
    <row r="115" spans="1:41">
      <c r="A115" s="4" t="s">
        <v>462</v>
      </c>
      <c r="B115" s="263">
        <v>3798</v>
      </c>
      <c r="C115" s="263">
        <v>5018</v>
      </c>
      <c r="D115" s="263">
        <v>4389</v>
      </c>
      <c r="E115" s="263">
        <v>7230</v>
      </c>
      <c r="F115" s="263">
        <v>8520</v>
      </c>
      <c r="G115" s="263">
        <v>9419</v>
      </c>
      <c r="H115" s="538">
        <v>20188</v>
      </c>
      <c r="I115" s="1007">
        <f>I126+I123</f>
        <v>25707.821562207671</v>
      </c>
      <c r="J115" s="345">
        <f>J113+J114</f>
        <v>31707.821562207671</v>
      </c>
      <c r="K115" s="345">
        <f>K113+K114</f>
        <v>38707.821562207668</v>
      </c>
      <c r="L115" s="345">
        <f>L113+L114</f>
        <v>44707.821562207668</v>
      </c>
      <c r="M115" s="932"/>
      <c r="N115" s="17"/>
      <c r="O115" s="17"/>
      <c r="P115" s="17"/>
      <c r="R115" s="21"/>
      <c r="S115" s="21"/>
      <c r="T115" s="21"/>
      <c r="U115" s="21"/>
      <c r="W115" s="21"/>
      <c r="X115" s="21"/>
      <c r="Y115" s="21"/>
      <c r="Z115" s="21"/>
      <c r="AB115" s="21"/>
      <c r="AC115" s="21"/>
      <c r="AD115" s="21"/>
      <c r="AE115" s="21"/>
      <c r="AG115" s="21"/>
      <c r="AH115" s="21"/>
      <c r="AI115" s="21"/>
      <c r="AJ115" s="21"/>
      <c r="AK115" s="21"/>
      <c r="AN115" s="21"/>
      <c r="AO115" s="21"/>
    </row>
    <row r="116" spans="1:41">
      <c r="A116" s="4" t="s">
        <v>463</v>
      </c>
      <c r="J116" s="22">
        <f>J114/'P&amp;L consol'!BN12</f>
        <v>2.4202345211683494E-2</v>
      </c>
      <c r="K116" s="22">
        <f>K114/'P&amp;L consol'!BO12</f>
        <v>2.3329479333050705E-2</v>
      </c>
      <c r="L116" s="22">
        <f>L114/'P&amp;L consol'!BP12</f>
        <v>1.693882503506202E-2</v>
      </c>
      <c r="N116" s="17"/>
      <c r="O116" s="17"/>
      <c r="P116" s="17"/>
    </row>
    <row r="117" spans="1:41">
      <c r="A117" s="6" t="s">
        <v>464</v>
      </c>
      <c r="B117" s="279">
        <v>2448</v>
      </c>
      <c r="C117" s="279">
        <v>4091</v>
      </c>
      <c r="D117" s="892">
        <v>4226</v>
      </c>
      <c r="E117" s="279">
        <v>10770</v>
      </c>
      <c r="F117" s="279">
        <v>11727</v>
      </c>
      <c r="G117" s="279">
        <v>11800</v>
      </c>
      <c r="H117" s="279">
        <f>H43</f>
        <v>38430</v>
      </c>
      <c r="I117" s="279">
        <f>I43</f>
        <v>41671</v>
      </c>
      <c r="J117" s="598">
        <f t="shared" ref="J117" si="92">J43</f>
        <v>211997</v>
      </c>
      <c r="K117" s="598">
        <f t="shared" ref="K117:L117" si="93">K43</f>
        <v>214116.97</v>
      </c>
      <c r="L117" s="598">
        <f t="shared" si="93"/>
        <v>216258.1397</v>
      </c>
      <c r="M117" s="23"/>
      <c r="N117" s="17"/>
      <c r="O117" s="17"/>
      <c r="P117" s="17"/>
      <c r="R117" s="229"/>
      <c r="S117" s="229"/>
      <c r="T117" s="229"/>
      <c r="U117" s="229"/>
      <c r="W117" s="229"/>
      <c r="X117" s="229"/>
      <c r="Y117" s="229"/>
      <c r="Z117" s="229"/>
      <c r="AB117" s="229"/>
      <c r="AC117" s="229"/>
      <c r="AD117" s="229"/>
      <c r="AE117" s="229"/>
      <c r="AG117" s="229"/>
      <c r="AH117" s="229"/>
      <c r="AI117" s="229"/>
      <c r="AJ117" s="229"/>
      <c r="AK117" s="229"/>
      <c r="AN117" s="229"/>
      <c r="AO117" s="229"/>
    </row>
    <row r="118" spans="1:41">
      <c r="A118" s="6" t="s">
        <v>465</v>
      </c>
      <c r="B118" s="279"/>
      <c r="C118" s="279"/>
      <c r="D118" s="279"/>
      <c r="E118" s="279"/>
      <c r="F118" s="279"/>
      <c r="G118" s="279"/>
      <c r="H118" s="279"/>
      <c r="I118" s="237"/>
      <c r="J118" s="237"/>
      <c r="K118" s="237"/>
      <c r="L118" s="237"/>
      <c r="N118" s="17"/>
      <c r="O118" s="17"/>
      <c r="P118" s="17"/>
      <c r="R118" s="229"/>
      <c r="S118" s="229"/>
      <c r="T118" s="229"/>
      <c r="U118" s="229"/>
      <c r="W118" s="229"/>
      <c r="X118" s="229"/>
      <c r="Y118" s="229"/>
      <c r="Z118" s="229"/>
      <c r="AB118" s="229"/>
      <c r="AC118" s="229"/>
      <c r="AD118" s="229"/>
      <c r="AE118" s="229"/>
      <c r="AG118" s="229"/>
      <c r="AH118" s="229"/>
      <c r="AI118" s="229"/>
      <c r="AJ118" s="229"/>
      <c r="AK118" s="229"/>
      <c r="AN118" s="229"/>
      <c r="AO118" s="229"/>
    </row>
    <row r="119" spans="1:41">
      <c r="A119" s="6" t="s">
        <v>466</v>
      </c>
      <c r="B119" s="279"/>
      <c r="C119" s="279"/>
      <c r="D119" s="279"/>
      <c r="E119" s="279"/>
      <c r="F119" s="279"/>
      <c r="G119" s="279"/>
      <c r="H119" s="279"/>
      <c r="I119" s="237"/>
      <c r="J119" s="237"/>
      <c r="K119" s="237"/>
      <c r="L119" s="237"/>
      <c r="N119" s="17"/>
      <c r="O119" s="17"/>
      <c r="P119" s="17"/>
      <c r="R119" s="229"/>
      <c r="S119" s="229"/>
      <c r="T119" s="229"/>
      <c r="U119" s="229"/>
      <c r="W119" s="229"/>
      <c r="X119" s="229"/>
      <c r="Y119" s="229"/>
      <c r="Z119" s="229"/>
      <c r="AB119" s="229"/>
      <c r="AC119" s="229"/>
      <c r="AD119" s="229"/>
      <c r="AE119" s="229"/>
      <c r="AG119" s="229"/>
      <c r="AH119" s="229"/>
      <c r="AI119" s="229"/>
      <c r="AJ119" s="229"/>
      <c r="AK119" s="229"/>
      <c r="AN119" s="229"/>
      <c r="AO119" s="229"/>
    </row>
    <row r="120" spans="1:41">
      <c r="N120" s="17"/>
      <c r="O120" s="17"/>
      <c r="P120" s="17"/>
    </row>
    <row r="121" spans="1:41">
      <c r="A121" s="4" t="s">
        <v>467</v>
      </c>
      <c r="B121" s="17">
        <v>1676</v>
      </c>
      <c r="C121" s="17">
        <f t="shared" ref="C121:L121" si="94">B123</f>
        <v>2250</v>
      </c>
      <c r="D121" s="17">
        <f>C123</f>
        <v>3121</v>
      </c>
      <c r="E121" s="17">
        <f t="shared" si="94"/>
        <v>2925</v>
      </c>
      <c r="F121" s="17">
        <f t="shared" ref="F121" si="95">E123</f>
        <v>3199</v>
      </c>
      <c r="G121" s="17">
        <f t="shared" ref="G121" si="96">F123</f>
        <v>3886</v>
      </c>
      <c r="H121" s="17">
        <f t="shared" si="94"/>
        <v>5024</v>
      </c>
      <c r="I121" s="76">
        <f t="shared" si="94"/>
        <v>8892</v>
      </c>
      <c r="J121" s="76">
        <f t="shared" si="94"/>
        <v>12264.821562207671</v>
      </c>
      <c r="K121" s="76">
        <f t="shared" si="94"/>
        <v>19224.474676720874</v>
      </c>
      <c r="L121" s="76">
        <f t="shared" si="94"/>
        <v>27050.84443887815</v>
      </c>
      <c r="M121" s="23"/>
      <c r="N121" s="17"/>
      <c r="O121" s="17"/>
      <c r="P121" s="17"/>
      <c r="R121" s="17"/>
      <c r="S121" s="17"/>
      <c r="T121" s="17"/>
      <c r="U121" s="17"/>
      <c r="W121" s="17"/>
      <c r="X121" s="17"/>
      <c r="Y121" s="17"/>
      <c r="Z121" s="17"/>
      <c r="AB121" s="17"/>
      <c r="AC121" s="17"/>
      <c r="AD121" s="17"/>
      <c r="AE121" s="17"/>
      <c r="AG121" s="17"/>
      <c r="AH121" s="17"/>
      <c r="AI121" s="17"/>
      <c r="AJ121" s="17"/>
      <c r="AK121" s="17"/>
      <c r="AN121" s="17"/>
      <c r="AO121" s="17"/>
    </row>
    <row r="122" spans="1:41">
      <c r="A122" s="4" t="s">
        <v>214</v>
      </c>
      <c r="B122" s="17">
        <v>574</v>
      </c>
      <c r="C122" s="17">
        <f t="shared" ref="C122:D122" si="97">C123-C121</f>
        <v>871</v>
      </c>
      <c r="D122" s="17">
        <f t="shared" si="97"/>
        <v>-196</v>
      </c>
      <c r="E122" s="17">
        <f>E123-E121</f>
        <v>274</v>
      </c>
      <c r="F122" s="17">
        <f>F123-F121</f>
        <v>687</v>
      </c>
      <c r="G122" s="17">
        <f>G123-G121</f>
        <v>1138</v>
      </c>
      <c r="H122" s="17">
        <f>H123-H121</f>
        <v>3868</v>
      </c>
      <c r="I122" s="17">
        <f t="shared" ref="I122:J122" si="98">I79</f>
        <v>3372.8215622076709</v>
      </c>
      <c r="J122" s="17">
        <f t="shared" si="98"/>
        <v>6959.6531145132021</v>
      </c>
      <c r="K122" s="17">
        <f t="shared" ref="K122:L122" si="99">K79</f>
        <v>7826.3697621572765</v>
      </c>
      <c r="L122" s="17">
        <f t="shared" si="99"/>
        <v>8684.4602833270346</v>
      </c>
      <c r="M122" s="23"/>
      <c r="N122" s="17"/>
      <c r="O122" s="17"/>
      <c r="P122" s="17"/>
      <c r="R122" s="17"/>
      <c r="S122" s="17"/>
      <c r="T122" s="17"/>
      <c r="U122" s="17"/>
      <c r="W122" s="17"/>
      <c r="X122" s="17"/>
      <c r="Y122" s="17"/>
      <c r="Z122" s="17"/>
      <c r="AB122" s="17"/>
      <c r="AC122" s="17"/>
      <c r="AD122" s="17"/>
      <c r="AE122" s="17"/>
      <c r="AG122" s="17"/>
      <c r="AH122" s="17"/>
      <c r="AI122" s="17"/>
      <c r="AJ122" s="17"/>
      <c r="AK122" s="17"/>
      <c r="AN122" s="17"/>
      <c r="AO122" s="17"/>
    </row>
    <row r="123" spans="1:41">
      <c r="A123" s="65" t="s">
        <v>468</v>
      </c>
      <c r="B123" s="235">
        <v>2250</v>
      </c>
      <c r="C123" s="235">
        <v>3121</v>
      </c>
      <c r="D123" s="235">
        <v>2925</v>
      </c>
      <c r="E123" s="235">
        <v>3199</v>
      </c>
      <c r="F123" s="235">
        <v>3886</v>
      </c>
      <c r="G123" s="235">
        <v>5024</v>
      </c>
      <c r="H123" s="235">
        <f>H115-H126</f>
        <v>8892</v>
      </c>
      <c r="I123" s="238">
        <f t="shared" ref="I123:J123" si="100">I121+I122</f>
        <v>12264.821562207671</v>
      </c>
      <c r="J123" s="238">
        <f t="shared" si="100"/>
        <v>19224.474676720874</v>
      </c>
      <c r="K123" s="238">
        <f t="shared" ref="K123:L123" si="101">K121+K122</f>
        <v>27050.84443887815</v>
      </c>
      <c r="L123" s="238">
        <f t="shared" si="101"/>
        <v>35735.304722205183</v>
      </c>
      <c r="M123" s="933"/>
      <c r="N123" s="17"/>
      <c r="O123" s="17"/>
      <c r="P123" s="17"/>
      <c r="R123" s="235"/>
      <c r="S123" s="235"/>
      <c r="T123" s="235"/>
      <c r="U123" s="235"/>
      <c r="W123" s="235"/>
      <c r="X123" s="235"/>
      <c r="Y123" s="235"/>
      <c r="Z123" s="235"/>
      <c r="AB123" s="235"/>
      <c r="AC123" s="235"/>
      <c r="AD123" s="235"/>
      <c r="AE123" s="235"/>
      <c r="AG123" s="235"/>
      <c r="AH123" s="235"/>
      <c r="AI123" s="235"/>
      <c r="AJ123" s="235"/>
      <c r="AK123" s="235"/>
      <c r="AN123" s="235"/>
      <c r="AO123" s="235"/>
    </row>
    <row r="124" spans="1:41">
      <c r="N124" s="17"/>
      <c r="O124" s="17"/>
      <c r="P124" s="17"/>
    </row>
    <row r="125" spans="1:41">
      <c r="A125" s="4" t="s">
        <v>469</v>
      </c>
      <c r="H125" s="17"/>
      <c r="I125" s="4">
        <v>0</v>
      </c>
      <c r="J125" s="4">
        <v>0</v>
      </c>
      <c r="K125" s="4">
        <v>0</v>
      </c>
      <c r="L125" s="4">
        <v>0</v>
      </c>
      <c r="N125" s="17"/>
      <c r="O125" s="17"/>
      <c r="P125" s="17"/>
    </row>
    <row r="126" spans="1:41">
      <c r="A126" s="6" t="s">
        <v>470</v>
      </c>
      <c r="B126" s="239">
        <v>1548</v>
      </c>
      <c r="C126" s="239">
        <f t="shared" ref="C126:G126" si="102">C115-C123</f>
        <v>1897</v>
      </c>
      <c r="D126" s="891">
        <f t="shared" si="102"/>
        <v>1464</v>
      </c>
      <c r="E126" s="239">
        <f t="shared" si="102"/>
        <v>4031</v>
      </c>
      <c r="F126" s="239">
        <f t="shared" si="102"/>
        <v>4634</v>
      </c>
      <c r="G126" s="239">
        <f t="shared" si="102"/>
        <v>4395</v>
      </c>
      <c r="H126" s="889">
        <v>11296</v>
      </c>
      <c r="I126" s="1008">
        <f>I44</f>
        <v>13443</v>
      </c>
      <c r="J126" s="239">
        <f t="shared" ref="J126" si="103">J115-J123</f>
        <v>12483.346885486797</v>
      </c>
      <c r="K126" s="239">
        <f t="shared" ref="K126:L126" si="104">K115-K123</f>
        <v>11656.977123329518</v>
      </c>
      <c r="L126" s="239">
        <f t="shared" si="104"/>
        <v>8972.516840002485</v>
      </c>
      <c r="M126" s="931"/>
      <c r="N126" s="17"/>
      <c r="O126" s="17"/>
      <c r="P126" s="17"/>
      <c r="R126" s="239"/>
      <c r="S126" s="239"/>
      <c r="T126" s="239"/>
      <c r="U126" s="239"/>
      <c r="W126" s="239"/>
      <c r="X126" s="239"/>
      <c r="Y126" s="239"/>
      <c r="Z126" s="239"/>
      <c r="AB126" s="239"/>
      <c r="AC126" s="239"/>
      <c r="AD126" s="239"/>
      <c r="AE126" s="239"/>
      <c r="AG126" s="239"/>
      <c r="AH126" s="239"/>
      <c r="AI126" s="239"/>
      <c r="AJ126" s="239"/>
      <c r="AK126" s="239"/>
      <c r="AN126" s="239"/>
      <c r="AO126" s="239"/>
    </row>
    <row r="127" spans="1:41">
      <c r="G127" s="243">
        <f>G117+G126</f>
        <v>16195</v>
      </c>
      <c r="H127" s="243">
        <f>H117+H126</f>
        <v>49726</v>
      </c>
      <c r="I127" s="243">
        <f t="shared" ref="I127:J127" si="105">I117+I126</f>
        <v>55114</v>
      </c>
      <c r="J127" s="243">
        <f t="shared" si="105"/>
        <v>224480.3468854868</v>
      </c>
      <c r="K127" s="243">
        <f t="shared" ref="K127:L127" si="106">K117+K126</f>
        <v>225773.9471233295</v>
      </c>
      <c r="L127" s="243">
        <f t="shared" si="106"/>
        <v>225230.6565400025</v>
      </c>
      <c r="N127" s="17"/>
      <c r="O127" s="17"/>
      <c r="P127" s="17"/>
    </row>
    <row r="128" spans="1:41">
      <c r="A128" s="236" t="s">
        <v>471</v>
      </c>
      <c r="B128" s="236"/>
      <c r="C128" s="236"/>
      <c r="D128" s="236"/>
      <c r="E128" s="236"/>
      <c r="F128" s="236"/>
      <c r="G128" s="236"/>
      <c r="H128" s="236"/>
      <c r="I128" s="236"/>
      <c r="J128" s="236"/>
      <c r="K128" s="236"/>
      <c r="L128" s="236"/>
      <c r="N128" s="17"/>
      <c r="O128" s="17"/>
      <c r="P128" s="17"/>
      <c r="R128" s="236"/>
      <c r="S128" s="236"/>
      <c r="T128" s="236"/>
      <c r="U128" s="236"/>
      <c r="W128" s="236"/>
      <c r="X128" s="236"/>
      <c r="Y128" s="236"/>
      <c r="Z128" s="236"/>
      <c r="AB128" s="236"/>
      <c r="AC128" s="236"/>
      <c r="AD128" s="236"/>
      <c r="AE128" s="236"/>
      <c r="AG128" s="236"/>
      <c r="AH128" s="236"/>
      <c r="AI128" s="236"/>
      <c r="AJ128" s="236"/>
      <c r="AK128" s="236"/>
      <c r="AN128" s="236"/>
      <c r="AO128" s="236"/>
    </row>
    <row r="129" spans="1:41">
      <c r="B129" s="17">
        <v>0</v>
      </c>
      <c r="C129" s="17">
        <f>C131-C130</f>
        <v>0</v>
      </c>
      <c r="D129" s="17"/>
      <c r="E129" s="17"/>
      <c r="F129" s="17"/>
      <c r="G129" s="17"/>
      <c r="H129" s="17"/>
      <c r="N129" s="17"/>
      <c r="O129" s="17"/>
      <c r="P129" s="17"/>
    </row>
    <row r="130" spans="1:41">
      <c r="A130" s="4" t="s">
        <v>471</v>
      </c>
      <c r="B130" s="13">
        <v>57.551819813938309</v>
      </c>
      <c r="C130" s="13">
        <f>C59/'P&amp;L consol'!BG12*360</f>
        <v>73.696790076244653</v>
      </c>
      <c r="D130" s="13">
        <f>D59/'P&amp;L consol'!BH12*360</f>
        <v>82.480054902633611</v>
      </c>
      <c r="E130" s="13">
        <f>E59/'P&amp;L consol'!BI12*360</f>
        <v>77.764925373134318</v>
      </c>
      <c r="F130" s="13">
        <f>F59/'P&amp;L consol'!BJ12*360</f>
        <v>72.45726549047987</v>
      </c>
      <c r="G130" s="13">
        <f>G59/'P&amp;L consol'!BK12*360</f>
        <v>72.084716225066316</v>
      </c>
      <c r="H130" s="13">
        <f>H59/'P&amp;L consol'!BL12*360</f>
        <v>76.843613593632227</v>
      </c>
      <c r="I130" s="13">
        <f>I59/'P&amp;L consol'!BM12*360</f>
        <v>87.131996561541698</v>
      </c>
      <c r="J130" s="14">
        <v>87</v>
      </c>
      <c r="K130" s="14">
        <v>87</v>
      </c>
      <c r="L130" s="14">
        <v>87</v>
      </c>
      <c r="R130" s="228"/>
      <c r="S130" s="228"/>
      <c r="T130" s="228"/>
      <c r="U130" s="228"/>
      <c r="W130" s="228"/>
      <c r="X130" s="228"/>
      <c r="Y130" s="228"/>
      <c r="Z130" s="228"/>
      <c r="AB130" s="228"/>
      <c r="AC130" s="228"/>
      <c r="AD130" s="228">
        <f>AD59/('P&amp;L consol'!AB12*4)*360</f>
        <v>58.785874112267727</v>
      </c>
      <c r="AE130" s="228"/>
      <c r="AG130" s="228"/>
      <c r="AH130" s="228"/>
      <c r="AI130" s="228"/>
      <c r="AJ130" s="228"/>
      <c r="AK130" s="228"/>
      <c r="AN130" s="228"/>
      <c r="AO130" s="228"/>
    </row>
    <row r="131" spans="1:41">
      <c r="A131" s="4" t="s">
        <v>472</v>
      </c>
      <c r="B131" s="13">
        <v>57.551819813938309</v>
      </c>
      <c r="C131" s="13">
        <f>(C59+C65)/'P&amp;L consol'!BG12*360</f>
        <v>73.696790076244653</v>
      </c>
      <c r="D131" s="13">
        <f>(D59+D65)/'P&amp;L consol'!BH12*360</f>
        <v>82.480054902633611</v>
      </c>
      <c r="E131" s="13">
        <f>(E59+E65)/'P&amp;L consol'!BI12*360</f>
        <v>77.764925373134318</v>
      </c>
      <c r="F131" s="13">
        <f>(F59+F65)/'P&amp;L consol'!BJ12*360</f>
        <v>72.45726549047987</v>
      </c>
      <c r="G131" s="13">
        <f>(G59+G65)/'P&amp;L consol'!BK12*360</f>
        <v>72.084716225066316</v>
      </c>
      <c r="H131" s="13">
        <f>(H59+H65)/'P&amp;L consol'!BL12*360</f>
        <v>76.843613593632227</v>
      </c>
      <c r="I131" s="13">
        <f>(I59+I65)/'P&amp;L consol'!BM12*360</f>
        <v>87.131996561541698</v>
      </c>
      <c r="J131" s="14"/>
      <c r="K131" s="14"/>
      <c r="L131" s="14"/>
      <c r="R131" s="228"/>
      <c r="S131" s="228"/>
      <c r="T131" s="228"/>
      <c r="U131" s="228"/>
      <c r="W131" s="228"/>
      <c r="X131" s="228"/>
      <c r="Y131" s="228"/>
      <c r="Z131" s="228"/>
      <c r="AB131" s="228"/>
      <c r="AC131" s="228"/>
      <c r="AD131" s="228"/>
      <c r="AE131" s="228"/>
      <c r="AG131" s="228"/>
      <c r="AH131" s="228"/>
      <c r="AI131" s="228"/>
      <c r="AJ131" s="228"/>
      <c r="AK131" s="228"/>
      <c r="AN131" s="228"/>
      <c r="AO131" s="228"/>
    </row>
    <row r="132" spans="1:41">
      <c r="A132" s="4" t="s">
        <v>473</v>
      </c>
      <c r="B132" s="13">
        <v>19.561860772022435</v>
      </c>
      <c r="C132" s="13">
        <f>C25/'P&amp;L consol'!BG27*360</f>
        <v>27.372553547716642</v>
      </c>
      <c r="D132" s="13">
        <f>D25/'P&amp;L consol'!BH27*360</f>
        <v>31.55711484882881</v>
      </c>
      <c r="E132" s="13">
        <f>E25/'P&amp;L consol'!BI27*360</f>
        <v>41.710867847872699</v>
      </c>
      <c r="F132" s="13">
        <f>F25/'P&amp;L consol'!BJ27*360</f>
        <v>35.301166538060009</v>
      </c>
      <c r="G132" s="13">
        <f>G25/'P&amp;L consol'!BK27*360</f>
        <v>38.738404452690169</v>
      </c>
      <c r="H132" s="13">
        <f>H25/'P&amp;L consol'!BL27*360</f>
        <v>34.370670917258373</v>
      </c>
      <c r="I132" s="13">
        <f>I25/'P&amp;L consol'!BM27*360</f>
        <v>47.853372565755485</v>
      </c>
      <c r="J132" s="14">
        <v>48</v>
      </c>
      <c r="K132" s="14">
        <v>48</v>
      </c>
      <c r="L132" s="14">
        <v>48</v>
      </c>
      <c r="R132" s="228"/>
      <c r="S132" s="228"/>
      <c r="T132" s="228"/>
      <c r="U132" s="228"/>
      <c r="W132" s="228"/>
      <c r="X132" s="228"/>
      <c r="Y132" s="13"/>
      <c r="Z132" s="228"/>
      <c r="AB132" s="228"/>
      <c r="AC132" s="228"/>
      <c r="AD132" s="13"/>
      <c r="AE132" s="228"/>
      <c r="AG132" s="228"/>
      <c r="AH132" s="228"/>
      <c r="AI132" s="13"/>
      <c r="AJ132" s="228"/>
      <c r="AK132" s="13"/>
      <c r="AN132" s="228"/>
      <c r="AO132" s="228"/>
    </row>
    <row r="133" spans="1:41">
      <c r="N133" s="17"/>
      <c r="O133" s="17"/>
      <c r="P133" s="17"/>
    </row>
    <row r="135" spans="1:41">
      <c r="A135" s="447" t="s">
        <v>474</v>
      </c>
      <c r="B135" s="447"/>
      <c r="C135" s="447"/>
      <c r="D135" s="447"/>
      <c r="E135" s="447"/>
      <c r="F135" s="447"/>
      <c r="G135" s="447"/>
      <c r="H135" s="447"/>
      <c r="I135" s="447"/>
      <c r="J135" s="447"/>
      <c r="K135" s="447"/>
      <c r="L135" s="447"/>
    </row>
    <row r="136" spans="1:41">
      <c r="A136" s="4" t="s">
        <v>475</v>
      </c>
      <c r="B136" s="449">
        <v>30310</v>
      </c>
      <c r="C136" s="449">
        <f>'P&amp;L consol'!BG27</f>
        <v>34642</v>
      </c>
      <c r="D136" s="449">
        <f>'P&amp;L consol'!BH27</f>
        <v>38764</v>
      </c>
      <c r="E136" s="449">
        <f>'P&amp;L consol'!BI27</f>
        <v>53166</v>
      </c>
      <c r="F136" s="449">
        <f>'P&amp;L consol'!BJ27</f>
        <v>66093</v>
      </c>
      <c r="G136" s="449">
        <f>'P&amp;L consol'!BK27</f>
        <v>74921</v>
      </c>
      <c r="H136" s="449">
        <f>'P&amp;L consol'!BL27</f>
        <v>103515</v>
      </c>
      <c r="I136" s="449">
        <f>'P&amp;L consol'!BM27</f>
        <v>133563</v>
      </c>
      <c r="J136" s="449">
        <f>'P&amp;L consol'!BN27</f>
        <v>196853.83359628491</v>
      </c>
      <c r="K136" s="449">
        <f>'P&amp;L consol'!BO27</f>
        <v>239139.90665115535</v>
      </c>
      <c r="L136" s="449">
        <f>'P&amp;L consol'!BP27</f>
        <v>284688.13239783287</v>
      </c>
    </row>
    <row r="137" spans="1:41">
      <c r="A137" s="4" t="s">
        <v>476</v>
      </c>
      <c r="B137" s="450">
        <v>19.561860772022435</v>
      </c>
      <c r="C137" s="450">
        <f t="shared" ref="C137:G137" si="107">C138/(C136)*360</f>
        <v>27.372553547716642</v>
      </c>
      <c r="D137" s="450">
        <f t="shared" si="107"/>
        <v>31.55711484882881</v>
      </c>
      <c r="E137" s="450">
        <f t="shared" si="107"/>
        <v>41.710867847872699</v>
      </c>
      <c r="F137" s="450">
        <f t="shared" si="107"/>
        <v>35.301166538060009</v>
      </c>
      <c r="G137" s="450">
        <f t="shared" si="107"/>
        <v>38.738404452690169</v>
      </c>
      <c r="H137" s="450">
        <f t="shared" ref="H137:I137" si="108">H138/(H136)*360</f>
        <v>34.370670917258373</v>
      </c>
      <c r="I137" s="450">
        <f t="shared" si="108"/>
        <v>47.853372565755485</v>
      </c>
      <c r="J137" s="21">
        <v>48</v>
      </c>
      <c r="K137" s="21">
        <v>48</v>
      </c>
      <c r="L137" s="21">
        <v>48</v>
      </c>
    </row>
    <row r="138" spans="1:41" ht="15" thickBot="1">
      <c r="A138" s="448" t="s">
        <v>474</v>
      </c>
      <c r="B138" s="451">
        <v>1647</v>
      </c>
      <c r="C138" s="451">
        <f t="shared" ref="C138:G138" si="109">C25</f>
        <v>2634</v>
      </c>
      <c r="D138" s="451">
        <f t="shared" si="109"/>
        <v>3398</v>
      </c>
      <c r="E138" s="539">
        <f t="shared" si="109"/>
        <v>6160</v>
      </c>
      <c r="F138" s="539">
        <f t="shared" si="109"/>
        <v>6481</v>
      </c>
      <c r="G138" s="539">
        <f t="shared" si="109"/>
        <v>8062</v>
      </c>
      <c r="H138" s="539">
        <f t="shared" ref="H138:I138" si="110">H25</f>
        <v>9883</v>
      </c>
      <c r="I138" s="539">
        <f t="shared" si="110"/>
        <v>17754</v>
      </c>
      <c r="J138" s="452">
        <f t="shared" ref="J138" si="111">(J136*J137)/360</f>
        <v>26247.177812837985</v>
      </c>
      <c r="K138" s="452">
        <f t="shared" ref="K138:L138" si="112">(K136*K137)/360</f>
        <v>31885.320886820715</v>
      </c>
      <c r="L138" s="452">
        <f t="shared" si="112"/>
        <v>37958.417653044387</v>
      </c>
    </row>
    <row r="141" spans="1:41">
      <c r="A141" s="447" t="s">
        <v>432</v>
      </c>
      <c r="B141" s="447"/>
      <c r="C141" s="447"/>
      <c r="D141" s="447"/>
      <c r="E141" s="447"/>
      <c r="F141" s="447"/>
      <c r="G141" s="447"/>
      <c r="H141" s="447"/>
      <c r="I141" s="447"/>
      <c r="J141" s="447"/>
      <c r="K141" s="447"/>
      <c r="L141" s="447"/>
    </row>
    <row r="142" spans="1:41">
      <c r="A142" s="4" t="s">
        <v>69</v>
      </c>
      <c r="B142" s="449">
        <v>36762</v>
      </c>
      <c r="C142" s="449">
        <f>'P&amp;L consol'!BG12</f>
        <v>41839</v>
      </c>
      <c r="D142" s="449">
        <f>'P&amp;L consol'!BH12</f>
        <v>46628</v>
      </c>
      <c r="E142" s="449">
        <f>'P&amp;L consol'!BI12</f>
        <v>64320</v>
      </c>
      <c r="F142" s="449">
        <f>'P&amp;L consol'!BJ12</f>
        <v>80146</v>
      </c>
      <c r="G142" s="449">
        <f>'P&amp;L consol'!BK12</f>
        <v>90089</v>
      </c>
      <c r="H142" s="449">
        <f>'P&amp;L consol'!BL12</f>
        <v>120733</v>
      </c>
      <c r="I142" s="449">
        <f>'P&amp;L consol'!BM12</f>
        <v>164027</v>
      </c>
      <c r="J142" s="449">
        <f>'P&amp;L consol'!BN12</f>
        <v>247909.85945872497</v>
      </c>
      <c r="K142" s="449">
        <f>'P&amp;L consol'!BO12</f>
        <v>300049.55961803871</v>
      </c>
      <c r="L142" s="449">
        <f>'P&amp;L consol'!BP12</f>
        <v>354215.83182897733</v>
      </c>
    </row>
    <row r="143" spans="1:41">
      <c r="A143" s="4" t="s">
        <v>477</v>
      </c>
      <c r="B143" s="315">
        <v>57.551819813938309</v>
      </c>
      <c r="C143" s="315">
        <f t="shared" ref="C143" si="113">C144/(C142)*360</f>
        <v>73.696790076244653</v>
      </c>
      <c r="D143" s="315">
        <f t="shared" ref="D143" si="114">D144/(D142)*360</f>
        <v>82.480054902633611</v>
      </c>
      <c r="E143" s="315">
        <f t="shared" ref="E143:G143" si="115">E144/(E142)*360</f>
        <v>77.764925373134318</v>
      </c>
      <c r="F143" s="315">
        <f t="shared" si="115"/>
        <v>72.45726549047987</v>
      </c>
      <c r="G143" s="315">
        <f t="shared" si="115"/>
        <v>72.084716225066316</v>
      </c>
      <c r="H143" s="315">
        <f t="shared" ref="H143:I143" si="116">H144/(H142)*360</f>
        <v>76.843613593632227</v>
      </c>
      <c r="I143" s="315">
        <f t="shared" si="116"/>
        <v>87.131996561541698</v>
      </c>
      <c r="J143" s="21">
        <v>87</v>
      </c>
      <c r="K143" s="21">
        <v>87</v>
      </c>
      <c r="L143" s="21">
        <v>87</v>
      </c>
    </row>
    <row r="144" spans="1:41" ht="15" thickBot="1">
      <c r="A144" s="448" t="s">
        <v>422</v>
      </c>
      <c r="B144" s="451">
        <v>5877</v>
      </c>
      <c r="C144" s="451">
        <f t="shared" ref="C144:G144" si="117">C59</f>
        <v>8565</v>
      </c>
      <c r="D144" s="451">
        <f t="shared" si="117"/>
        <v>10683</v>
      </c>
      <c r="E144" s="539">
        <f t="shared" si="117"/>
        <v>13894</v>
      </c>
      <c r="F144" s="539">
        <f t="shared" si="117"/>
        <v>16131</v>
      </c>
      <c r="G144" s="539">
        <f t="shared" si="117"/>
        <v>18039</v>
      </c>
      <c r="H144" s="539">
        <f t="shared" ref="H144:I144" si="118">H59</f>
        <v>25771</v>
      </c>
      <c r="I144" s="539">
        <f t="shared" si="118"/>
        <v>39700</v>
      </c>
      <c r="J144" s="452">
        <f t="shared" ref="J144:K144" si="119">(J142*J143)/360</f>
        <v>59911.549369191867</v>
      </c>
      <c r="K144" s="452">
        <f t="shared" si="119"/>
        <v>72511.97690769269</v>
      </c>
      <c r="L144" s="452">
        <f t="shared" ref="L144" si="120">(L142*L143)/360</f>
        <v>85602.159358669523</v>
      </c>
    </row>
    <row r="146" spans="1:12">
      <c r="A146" s="447" t="s">
        <v>478</v>
      </c>
      <c r="B146" s="447"/>
      <c r="C146" s="447"/>
      <c r="D146" s="447"/>
      <c r="E146" s="447"/>
      <c r="F146" s="447"/>
      <c r="G146" s="447"/>
      <c r="H146" s="447"/>
      <c r="I146" s="447"/>
      <c r="J146" s="447"/>
      <c r="K146" s="447"/>
      <c r="L146" s="447"/>
    </row>
    <row r="147" spans="1:12">
      <c r="A147" s="4" t="s">
        <v>478</v>
      </c>
      <c r="B147" s="17">
        <v>12159</v>
      </c>
      <c r="C147" s="17">
        <f t="shared" ref="C147:J147" si="121">C67-C33</f>
        <v>13568</v>
      </c>
      <c r="D147" s="17">
        <f t="shared" si="121"/>
        <v>12512</v>
      </c>
      <c r="E147" s="17">
        <f t="shared" si="121"/>
        <v>10417</v>
      </c>
      <c r="F147" s="17">
        <f t="shared" si="121"/>
        <v>8671</v>
      </c>
      <c r="G147" s="17">
        <f t="shared" si="121"/>
        <v>10710</v>
      </c>
      <c r="H147" s="17">
        <f t="shared" ref="H147" si="122">H67-H33</f>
        <v>16133</v>
      </c>
      <c r="I147" s="17">
        <f t="shared" si="121"/>
        <v>22364</v>
      </c>
      <c r="J147" s="17">
        <f t="shared" si="121"/>
        <v>91964.895279866221</v>
      </c>
      <c r="K147" s="17">
        <f t="shared" ref="K147:L147" si="123">K67-K33</f>
        <v>110451.71712672246</v>
      </c>
      <c r="L147" s="17">
        <f t="shared" si="123"/>
        <v>133330.81671960544</v>
      </c>
    </row>
    <row r="149" spans="1:12">
      <c r="A149" s="447" t="s">
        <v>479</v>
      </c>
      <c r="B149" s="447"/>
      <c r="C149" s="447"/>
      <c r="D149" s="447"/>
      <c r="E149" s="447"/>
      <c r="F149" s="447"/>
      <c r="G149" s="447"/>
      <c r="H149" s="447"/>
      <c r="I149" s="447"/>
      <c r="J149" s="447"/>
      <c r="K149" s="447"/>
      <c r="L149" s="447"/>
    </row>
    <row r="150" spans="1:12">
      <c r="A150" s="4" t="s">
        <v>480</v>
      </c>
      <c r="B150" s="4">
        <v>11</v>
      </c>
      <c r="C150" s="4">
        <v>11</v>
      </c>
      <c r="D150" s="4">
        <v>11</v>
      </c>
      <c r="E150" s="4">
        <v>11</v>
      </c>
      <c r="F150" s="4">
        <v>11</v>
      </c>
      <c r="G150" s="4">
        <v>11</v>
      </c>
    </row>
    <row r="151" spans="1:12">
      <c r="A151" s="4" t="s">
        <v>481</v>
      </c>
      <c r="B151" s="4">
        <v>17</v>
      </c>
      <c r="C151" s="4">
        <v>17</v>
      </c>
      <c r="D151" s="4">
        <v>36</v>
      </c>
      <c r="E151" s="4">
        <v>36</v>
      </c>
      <c r="F151" s="4">
        <v>36</v>
      </c>
      <c r="G151" s="4">
        <v>36</v>
      </c>
    </row>
    <row r="152" spans="1:12">
      <c r="A152" s="4" t="s">
        <v>482</v>
      </c>
      <c r="B152" s="4">
        <v>614</v>
      </c>
      <c r="C152" s="4">
        <v>614</v>
      </c>
      <c r="D152" s="4">
        <v>39</v>
      </c>
      <c r="E152" s="4">
        <v>384</v>
      </c>
      <c r="F152" s="4">
        <v>635</v>
      </c>
      <c r="G152" s="4">
        <v>1909</v>
      </c>
    </row>
    <row r="153" spans="1:12">
      <c r="A153" s="4" t="s">
        <v>483</v>
      </c>
      <c r="B153" s="4">
        <v>180</v>
      </c>
      <c r="C153" s="4">
        <v>180</v>
      </c>
      <c r="D153" s="4">
        <v>523</v>
      </c>
      <c r="E153" s="4">
        <v>575</v>
      </c>
      <c r="F153" s="4">
        <v>884</v>
      </c>
      <c r="G153" s="4">
        <v>420</v>
      </c>
    </row>
    <row r="154" spans="1:12">
      <c r="A154" s="4" t="s">
        <v>484</v>
      </c>
      <c r="B154" s="20">
        <v>2306</v>
      </c>
      <c r="C154" s="20">
        <v>2306</v>
      </c>
      <c r="D154" s="20">
        <v>2057</v>
      </c>
      <c r="E154" s="20">
        <v>2057</v>
      </c>
      <c r="F154" s="20">
        <v>2057</v>
      </c>
      <c r="G154" s="20">
        <v>2057</v>
      </c>
      <c r="H154" s="20"/>
    </row>
    <row r="155" spans="1:12">
      <c r="A155" s="4" t="s">
        <v>485</v>
      </c>
      <c r="B155" s="20">
        <v>16621</v>
      </c>
      <c r="C155" s="20">
        <v>19415</v>
      </c>
      <c r="D155" s="20">
        <v>20375</v>
      </c>
      <c r="E155" s="20">
        <v>22401</v>
      </c>
      <c r="F155" s="20">
        <v>25080</v>
      </c>
      <c r="G155" s="20">
        <v>29373</v>
      </c>
      <c r="H155" s="20"/>
    </row>
    <row r="156" spans="1:12">
      <c r="A156" s="4" t="s">
        <v>486</v>
      </c>
      <c r="B156" s="20"/>
      <c r="C156" s="20"/>
      <c r="D156" s="20">
        <v>77</v>
      </c>
      <c r="E156" s="4">
        <v>95</v>
      </c>
      <c r="F156" s="4">
        <v>-192</v>
      </c>
      <c r="G156" s="4">
        <v>9</v>
      </c>
    </row>
    <row r="157" spans="1:12">
      <c r="A157" s="4" t="s">
        <v>487</v>
      </c>
      <c r="B157" s="20"/>
      <c r="C157" s="20"/>
      <c r="D157" s="20">
        <v>937</v>
      </c>
      <c r="E157" s="20">
        <v>1163</v>
      </c>
      <c r="F157" s="20">
        <v>1703</v>
      </c>
      <c r="G157" s="20">
        <v>1833</v>
      </c>
      <c r="H157" s="20"/>
    </row>
    <row r="158" spans="1:12">
      <c r="A158" s="61" t="s">
        <v>488</v>
      </c>
      <c r="B158" s="500">
        <v>19749</v>
      </c>
      <c r="C158" s="500">
        <f t="shared" ref="C158" si="124">SUM(C150:C155)</f>
        <v>22543</v>
      </c>
      <c r="D158" s="500">
        <f>SUM(D150:D157)</f>
        <v>24055</v>
      </c>
      <c r="E158" s="500">
        <f>SUM(E150:E157)</f>
        <v>26722</v>
      </c>
      <c r="F158" s="500">
        <f t="shared" ref="F158:H158" si="125">SUM(F150:F157)</f>
        <v>30214</v>
      </c>
      <c r="G158" s="500">
        <f t="shared" si="125"/>
        <v>35648</v>
      </c>
      <c r="H158" s="500">
        <f t="shared" si="125"/>
        <v>0</v>
      </c>
      <c r="I158" s="61"/>
      <c r="J158" s="61"/>
      <c r="K158" s="61"/>
      <c r="L158" s="61"/>
    </row>
    <row r="160" spans="1:12">
      <c r="A160" s="447" t="s">
        <v>489</v>
      </c>
      <c r="B160" s="447"/>
      <c r="C160" s="447"/>
      <c r="D160" s="447"/>
      <c r="E160" s="447"/>
      <c r="F160" s="447"/>
      <c r="G160" s="447"/>
      <c r="H160" s="447"/>
      <c r="I160" s="447"/>
      <c r="J160" s="447"/>
      <c r="K160" s="447"/>
      <c r="L160" s="447"/>
    </row>
    <row r="161" spans="1:12">
      <c r="A161" s="4" t="s">
        <v>490</v>
      </c>
      <c r="B161" s="4">
        <v>14024</v>
      </c>
      <c r="C161" s="20">
        <v>16621</v>
      </c>
      <c r="D161" s="20">
        <v>19415</v>
      </c>
      <c r="E161" s="20">
        <v>20375</v>
      </c>
      <c r="F161" s="20">
        <v>22401</v>
      </c>
      <c r="G161" s="20">
        <v>25080</v>
      </c>
      <c r="H161" s="20"/>
    </row>
    <row r="162" spans="1:12">
      <c r="A162" s="4" t="s">
        <v>491</v>
      </c>
      <c r="B162" s="4">
        <v>4033</v>
      </c>
      <c r="C162" s="20">
        <v>4440</v>
      </c>
      <c r="D162" s="20">
        <v>4556</v>
      </c>
      <c r="E162" s="20">
        <v>6617</v>
      </c>
      <c r="F162" s="20">
        <v>6938</v>
      </c>
      <c r="G162" s="20">
        <v>8080</v>
      </c>
      <c r="H162" s="20"/>
    </row>
    <row r="163" spans="1:12">
      <c r="A163" s="4" t="s">
        <v>492</v>
      </c>
      <c r="B163" s="4">
        <v>23</v>
      </c>
      <c r="C163" s="4">
        <f>-127+2</f>
        <v>-125</v>
      </c>
      <c r="D163" s="4">
        <v>-9</v>
      </c>
      <c r="E163" s="4">
        <v>4</v>
      </c>
      <c r="F163" s="4">
        <v>51</v>
      </c>
      <c r="G163" s="4">
        <v>105</v>
      </c>
    </row>
    <row r="164" spans="1:12">
      <c r="A164" s="4" t="s">
        <v>493</v>
      </c>
      <c r="E164" s="4">
        <v>382</v>
      </c>
      <c r="F164" s="4">
        <v>30</v>
      </c>
      <c r="G164" s="4">
        <v>647</v>
      </c>
    </row>
    <row r="165" spans="1:12">
      <c r="A165" s="4" t="s">
        <v>494</v>
      </c>
      <c r="C165" s="4">
        <v>-11</v>
      </c>
    </row>
    <row r="166" spans="1:12">
      <c r="A166" s="4" t="s">
        <v>495</v>
      </c>
    </row>
    <row r="167" spans="1:12">
      <c r="A167" s="4" t="s">
        <v>496</v>
      </c>
      <c r="D167" s="20">
        <v>2864</v>
      </c>
    </row>
    <row r="168" spans="1:12">
      <c r="A168" s="4" t="s">
        <v>497</v>
      </c>
      <c r="B168" s="4">
        <v>912</v>
      </c>
      <c r="C168" s="4">
        <v>1249</v>
      </c>
      <c r="D168" s="20">
        <v>687</v>
      </c>
      <c r="E168" s="20">
        <v>3155</v>
      </c>
      <c r="F168" s="20">
        <v>3537</v>
      </c>
      <c r="G168" s="20">
        <v>4666</v>
      </c>
      <c r="H168" s="20"/>
    </row>
    <row r="169" spans="1:12">
      <c r="A169" s="4" t="s">
        <v>498</v>
      </c>
      <c r="B169" s="4">
        <v>176</v>
      </c>
      <c r="C169" s="4">
        <v>219</v>
      </c>
    </row>
    <row r="170" spans="1:12">
      <c r="A170" s="4" t="s">
        <v>499</v>
      </c>
      <c r="B170" s="4">
        <v>371</v>
      </c>
      <c r="C170" s="4">
        <v>42</v>
      </c>
      <c r="D170" s="4">
        <v>36</v>
      </c>
      <c r="E170" s="20">
        <v>1822</v>
      </c>
      <c r="F170" s="20">
        <v>803</v>
      </c>
      <c r="G170" s="20">
        <v>-127</v>
      </c>
      <c r="H170" s="20"/>
    </row>
    <row r="171" spans="1:12">
      <c r="A171" s="4" t="s">
        <v>500</v>
      </c>
    </row>
    <row r="172" spans="1:12">
      <c r="A172" s="61" t="s">
        <v>501</v>
      </c>
      <c r="B172" s="500">
        <v>16621</v>
      </c>
      <c r="C172" s="500">
        <f t="shared" ref="C172" si="126">C161+C162+C163+C165-C168-C169-C170-C171</f>
        <v>19415</v>
      </c>
      <c r="D172" s="500">
        <f>D161+D162+D163+D165-D168-D169-D170-D171-D167</f>
        <v>20375</v>
      </c>
      <c r="E172" s="500">
        <f>E161+E162+E163+E164+E165-E168-E169-E170-E171-E167</f>
        <v>22401</v>
      </c>
      <c r="F172" s="500">
        <f>F161+F162+F163+F164+F165-F168-F169-F170-F171-F167</f>
        <v>25080</v>
      </c>
      <c r="G172" s="500">
        <f>G161+G162+G163+G164+G165-G168-G169-G170-G171-G167</f>
        <v>29373</v>
      </c>
      <c r="H172" s="500"/>
      <c r="I172" s="61"/>
      <c r="J172" s="61"/>
      <c r="K172" s="61"/>
      <c r="L172" s="61"/>
    </row>
    <row r="174" spans="1:12">
      <c r="A174" s="447"/>
      <c r="B174" s="447"/>
      <c r="C174" s="447"/>
      <c r="D174" s="447"/>
      <c r="E174" s="447"/>
      <c r="F174" s="447"/>
      <c r="G174" s="447"/>
      <c r="H174" s="447"/>
      <c r="I174" s="447"/>
      <c r="J174" s="447"/>
      <c r="K174" s="447"/>
      <c r="L174" s="447"/>
    </row>
    <row r="175" spans="1:12">
      <c r="A175" s="4" t="s">
        <v>502</v>
      </c>
    </row>
    <row r="176" spans="1:12">
      <c r="A176" s="4" t="s">
        <v>503</v>
      </c>
      <c r="B176" s="4">
        <v>1</v>
      </c>
      <c r="C176" s="4">
        <v>0</v>
      </c>
      <c r="D176" s="4">
        <v>0</v>
      </c>
    </row>
    <row r="177" spans="1:12">
      <c r="A177" s="4" t="s">
        <v>504</v>
      </c>
      <c r="E177" s="20">
        <v>3365</v>
      </c>
      <c r="F177" s="20">
        <v>3382</v>
      </c>
      <c r="G177" s="20">
        <v>3399</v>
      </c>
      <c r="H177" s="20"/>
    </row>
    <row r="178" spans="1:12">
      <c r="A178" s="4" t="s">
        <v>505</v>
      </c>
      <c r="B178" s="4">
        <v>70</v>
      </c>
      <c r="C178" s="4">
        <v>315</v>
      </c>
      <c r="D178" s="4">
        <v>10</v>
      </c>
    </row>
    <row r="179" spans="1:12">
      <c r="A179" s="4" t="s">
        <v>506</v>
      </c>
      <c r="B179" s="4">
        <v>3</v>
      </c>
      <c r="C179" s="4">
        <f>32+5</f>
        <v>37</v>
      </c>
      <c r="D179" s="4">
        <v>4</v>
      </c>
    </row>
    <row r="180" spans="1:12">
      <c r="A180" s="4" t="s">
        <v>507</v>
      </c>
      <c r="E180" s="4">
        <v>178</v>
      </c>
      <c r="G180" s="4">
        <v>967</v>
      </c>
    </row>
    <row r="181" spans="1:12">
      <c r="A181" s="4" t="s">
        <v>508</v>
      </c>
      <c r="B181" s="4">
        <v>34</v>
      </c>
      <c r="C181" s="4">
        <v>302</v>
      </c>
      <c r="D181" s="4">
        <v>7</v>
      </c>
      <c r="E181" s="4">
        <v>2</v>
      </c>
    </row>
    <row r="182" spans="1:12">
      <c r="A182" s="4" t="s">
        <v>509</v>
      </c>
      <c r="B182" s="4">
        <v>2</v>
      </c>
      <c r="C182" s="4">
        <v>2</v>
      </c>
      <c r="D182" s="4">
        <v>2</v>
      </c>
    </row>
    <row r="183" spans="1:12">
      <c r="A183" s="61" t="s">
        <v>510</v>
      </c>
      <c r="B183" s="61">
        <v>110</v>
      </c>
      <c r="C183" s="61">
        <f t="shared" ref="C183:D183" si="127">SUM(C176:C182)</f>
        <v>656</v>
      </c>
      <c r="D183" s="61">
        <f t="shared" si="127"/>
        <v>23</v>
      </c>
      <c r="E183" s="503">
        <f>SUM(E176:E182)</f>
        <v>3545</v>
      </c>
      <c r="F183" s="503">
        <f>SUM(F176:F182)</f>
        <v>3382</v>
      </c>
      <c r="G183" s="503">
        <f>SUM(G176:G182)</f>
        <v>4366</v>
      </c>
      <c r="H183" s="503"/>
      <c r="I183" s="61"/>
      <c r="J183" s="61"/>
      <c r="K183" s="61"/>
      <c r="L183" s="61"/>
    </row>
    <row r="184" spans="1:12">
      <c r="A184" s="220" t="s">
        <v>511</v>
      </c>
      <c r="E184" s="17"/>
      <c r="F184" s="17"/>
      <c r="G184" s="17"/>
      <c r="H184" s="17"/>
    </row>
    <row r="185" spans="1:12">
      <c r="A185" s="220" t="s">
        <v>512</v>
      </c>
      <c r="E185" s="17"/>
      <c r="F185" s="17"/>
      <c r="G185" s="17"/>
      <c r="H185" s="17"/>
    </row>
    <row r="186" spans="1:12">
      <c r="A186" s="220" t="s">
        <v>513</v>
      </c>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503"/>
  <sheetViews>
    <sheetView showGridLines="0" zoomScale="93" zoomScaleNormal="115" workbookViewId="0">
      <pane xSplit="1" ySplit="2" topLeftCell="N46" activePane="bottomRight" state="frozen"/>
      <selection pane="bottomRight" activeCell="P72" sqref="P72"/>
      <selection pane="bottomLeft" activeCell="R13" sqref="R13"/>
      <selection pane="topRight" activeCell="R13" sqref="R13"/>
    </sheetView>
  </sheetViews>
  <sheetFormatPr defaultColWidth="9.5703125" defaultRowHeight="12"/>
  <cols>
    <col min="1" max="1" width="37.140625" style="4" customWidth="1"/>
    <col min="2" max="16384" width="9.5703125" style="4"/>
  </cols>
  <sheetData>
    <row r="1" spans="1:21">
      <c r="A1" s="1"/>
      <c r="B1" s="2" t="s">
        <v>101</v>
      </c>
      <c r="C1" s="2" t="s">
        <v>101</v>
      </c>
      <c r="D1" s="2" t="s">
        <v>101</v>
      </c>
      <c r="E1" s="2" t="s">
        <v>101</v>
      </c>
      <c r="F1" s="2" t="s">
        <v>101</v>
      </c>
      <c r="G1" s="2" t="s">
        <v>101</v>
      </c>
      <c r="H1" s="2" t="s">
        <v>101</v>
      </c>
      <c r="I1" s="2" t="s">
        <v>101</v>
      </c>
      <c r="J1" s="2" t="s">
        <v>101</v>
      </c>
      <c r="K1" s="2" t="s">
        <v>101</v>
      </c>
      <c r="L1" s="2" t="s">
        <v>101</v>
      </c>
      <c r="M1" s="2" t="s">
        <v>101</v>
      </c>
      <c r="N1" s="2" t="s">
        <v>101</v>
      </c>
      <c r="O1" s="2" t="s">
        <v>101</v>
      </c>
      <c r="P1" s="217" t="s">
        <v>100</v>
      </c>
      <c r="Q1" s="217" t="s">
        <v>100</v>
      </c>
      <c r="R1" s="217" t="s">
        <v>100</v>
      </c>
    </row>
    <row r="2" spans="1:21">
      <c r="A2" s="3" t="s">
        <v>514</v>
      </c>
      <c r="B2" s="2" t="s">
        <v>515</v>
      </c>
      <c r="C2" s="2" t="s">
        <v>516</v>
      </c>
      <c r="D2" s="2" t="s">
        <v>302</v>
      </c>
      <c r="E2" s="2" t="s">
        <v>303</v>
      </c>
      <c r="F2" s="2" t="s">
        <v>304</v>
      </c>
      <c r="G2" s="2" t="s">
        <v>154</v>
      </c>
      <c r="H2" s="2" t="s">
        <v>16</v>
      </c>
      <c r="I2" s="2" t="s">
        <v>17</v>
      </c>
      <c r="J2" s="2" t="s">
        <v>18</v>
      </c>
      <c r="K2" s="2" t="s">
        <v>19</v>
      </c>
      <c r="L2" s="2" t="s">
        <v>20</v>
      </c>
      <c r="M2" s="2" t="s">
        <v>21</v>
      </c>
      <c r="N2" s="2" t="s">
        <v>22</v>
      </c>
      <c r="O2" s="2" t="s">
        <v>35</v>
      </c>
      <c r="P2" s="217" t="s">
        <v>155</v>
      </c>
      <c r="Q2" s="217" t="s">
        <v>156</v>
      </c>
      <c r="R2" s="217" t="s">
        <v>157</v>
      </c>
    </row>
    <row r="3" spans="1:21">
      <c r="B3" s="13"/>
      <c r="C3" s="13"/>
      <c r="D3" s="13"/>
      <c r="E3" s="13"/>
      <c r="F3" s="13"/>
      <c r="G3" s="13"/>
      <c r="H3" s="13"/>
      <c r="I3" s="13"/>
      <c r="J3" s="13"/>
      <c r="K3" s="13"/>
      <c r="L3" s="13"/>
      <c r="M3" s="13"/>
      <c r="N3" s="13"/>
      <c r="O3" s="13"/>
    </row>
    <row r="4" spans="1:21">
      <c r="A4" s="6" t="s">
        <v>517</v>
      </c>
      <c r="B4" s="13"/>
      <c r="C4" s="13"/>
      <c r="D4" s="13"/>
      <c r="E4" s="13"/>
      <c r="F4" s="13"/>
      <c r="G4" s="13"/>
      <c r="H4" s="13"/>
      <c r="I4" s="13"/>
      <c r="J4" s="13"/>
      <c r="K4" s="13"/>
      <c r="L4" s="13"/>
      <c r="M4" s="13"/>
      <c r="N4" s="13"/>
      <c r="O4" s="13"/>
    </row>
    <row r="5" spans="1:21">
      <c r="A5" s="4" t="s">
        <v>518</v>
      </c>
      <c r="B5" s="13"/>
      <c r="C5" s="13"/>
      <c r="D5" s="14"/>
      <c r="E5" s="14"/>
      <c r="F5" s="222" t="e">
        <f>'P&amp;L consol'!#REF!-'P&amp;L consol'!#REF!</f>
        <v>#REF!</v>
      </c>
      <c r="G5" s="472">
        <f>'P&amp;L consol'!BE51-'P&amp;L consol'!BE50</f>
        <v>4035</v>
      </c>
      <c r="H5" s="222">
        <f>'P&amp;L consol'!BF51</f>
        <v>5625</v>
      </c>
      <c r="I5" s="222">
        <f>'P&amp;L consol'!BG51</f>
        <v>5954</v>
      </c>
      <c r="J5" s="222">
        <f>'P&amp;L consol'!BH51</f>
        <v>5961</v>
      </c>
      <c r="K5" s="222">
        <f>'P&amp;L consol'!BI51</f>
        <v>8615</v>
      </c>
      <c r="L5" s="222">
        <v>9512</v>
      </c>
      <c r="M5" s="222">
        <v>10449</v>
      </c>
      <c r="N5" s="222">
        <f>12961-425</f>
        <v>12536</v>
      </c>
      <c r="O5" s="222">
        <f>19328+702</f>
        <v>20030</v>
      </c>
      <c r="P5" s="222">
        <f>'P&amp;L consol'!BN51</f>
        <v>33811.756399546255</v>
      </c>
      <c r="Q5" s="222">
        <f>'P&amp;L consol'!BO51</f>
        <v>42067.493713940923</v>
      </c>
      <c r="R5" s="222">
        <f>'P&amp;L consol'!BP51</f>
        <v>49109.132211912649</v>
      </c>
      <c r="T5" s="240"/>
      <c r="U5" s="240"/>
    </row>
    <row r="6" spans="1:21">
      <c r="A6" s="4" t="s">
        <v>519</v>
      </c>
      <c r="B6" s="13"/>
      <c r="C6" s="13"/>
      <c r="D6" s="13"/>
      <c r="E6" s="13"/>
      <c r="F6" s="13"/>
      <c r="G6" s="13"/>
      <c r="H6" s="13"/>
      <c r="I6" s="13"/>
      <c r="J6" s="13"/>
      <c r="K6" s="13"/>
      <c r="L6" s="13"/>
      <c r="M6" s="13"/>
      <c r="N6" s="13"/>
      <c r="O6" s="13"/>
      <c r="P6" s="13"/>
      <c r="Q6" s="13"/>
      <c r="R6" s="13"/>
      <c r="T6" s="240"/>
      <c r="U6" s="240"/>
    </row>
    <row r="7" spans="1:21" ht="12.75" customHeight="1">
      <c r="A7" s="87" t="s">
        <v>520</v>
      </c>
      <c r="B7" s="13"/>
      <c r="C7" s="13"/>
      <c r="D7" s="14"/>
      <c r="E7" s="14"/>
      <c r="F7" s="13">
        <v>1277</v>
      </c>
      <c r="G7" s="299">
        <v>1274</v>
      </c>
      <c r="H7" s="13">
        <v>1248</v>
      </c>
      <c r="I7" s="13">
        <v>1730</v>
      </c>
      <c r="J7" s="13">
        <v>1836</v>
      </c>
      <c r="K7" s="13">
        <f>'P&amp;L consol'!BI34+'P&amp;L consol'!BI35</f>
        <v>2272</v>
      </c>
      <c r="L7" s="13">
        <f>'P&amp;L consol'!BJ34+'P&amp;L consol'!BJ35</f>
        <v>2585</v>
      </c>
      <c r="M7" s="14">
        <v>3186</v>
      </c>
      <c r="N7" s="14">
        <v>4683</v>
      </c>
      <c r="O7" s="14">
        <v>6819</v>
      </c>
      <c r="P7" s="13">
        <f>'P&amp;L consol'!BN34+'P&amp;L consol'!BN35</f>
        <v>12863.239462893804</v>
      </c>
      <c r="Q7" s="13">
        <f>'P&amp;L consol'!BO34+'P&amp;L consol'!BO35</f>
        <v>14465.15605294243</v>
      </c>
      <c r="R7" s="13">
        <f>'P&amp;L consol'!BP34+'P&amp;L consol'!BP35</f>
        <v>16051.129329631809</v>
      </c>
      <c r="T7" s="240"/>
      <c r="U7" s="240"/>
    </row>
    <row r="8" spans="1:21" ht="12.75" customHeight="1">
      <c r="A8" s="87" t="s">
        <v>521</v>
      </c>
      <c r="B8" s="13"/>
      <c r="C8" s="13"/>
      <c r="D8" s="14"/>
      <c r="E8" s="14"/>
      <c r="F8" s="13"/>
      <c r="G8" s="13"/>
      <c r="H8" s="13"/>
      <c r="I8" s="13">
        <v>40</v>
      </c>
      <c r="J8" s="13"/>
      <c r="K8" s="13"/>
      <c r="L8" s="13"/>
      <c r="M8" s="13"/>
      <c r="N8" s="13"/>
      <c r="O8" s="299"/>
      <c r="P8" s="13"/>
      <c r="Q8" s="13"/>
      <c r="R8" s="13"/>
      <c r="T8" s="240"/>
      <c r="U8" s="240"/>
    </row>
    <row r="9" spans="1:21" ht="12.75" customHeight="1">
      <c r="A9" s="87" t="s">
        <v>522</v>
      </c>
      <c r="B9" s="13"/>
      <c r="C9" s="13"/>
      <c r="D9" s="14"/>
      <c r="E9" s="14"/>
      <c r="F9" s="14">
        <v>5</v>
      </c>
      <c r="G9" s="13">
        <v>7</v>
      </c>
      <c r="H9" s="13">
        <v>19</v>
      </c>
      <c r="I9" s="13">
        <v>13</v>
      </c>
      <c r="J9" s="13">
        <v>16</v>
      </c>
      <c r="K9" s="13"/>
      <c r="L9" s="13">
        <v>13</v>
      </c>
      <c r="M9" s="13">
        <v>0</v>
      </c>
      <c r="N9" s="14">
        <v>-211</v>
      </c>
      <c r="O9" s="333">
        <v>-3</v>
      </c>
      <c r="P9" s="13"/>
      <c r="Q9" s="13"/>
      <c r="R9" s="13"/>
      <c r="T9" s="240"/>
      <c r="U9" s="240"/>
    </row>
    <row r="10" spans="1:21">
      <c r="A10" s="87" t="s">
        <v>523</v>
      </c>
      <c r="B10" s="13"/>
      <c r="C10" s="13"/>
      <c r="D10" s="14"/>
      <c r="E10" s="14"/>
      <c r="F10" s="14">
        <v>12</v>
      </c>
      <c r="G10" s="333">
        <v>13</v>
      </c>
      <c r="H10" s="14">
        <v>10</v>
      </c>
      <c r="I10" s="14">
        <v>85</v>
      </c>
      <c r="J10" s="14">
        <v>79</v>
      </c>
      <c r="K10" s="14">
        <v>609</v>
      </c>
      <c r="L10" s="14">
        <v>768</v>
      </c>
      <c r="M10" s="14">
        <v>1205</v>
      </c>
      <c r="N10" s="14">
        <v>1305</v>
      </c>
      <c r="O10" s="333">
        <v>1581</v>
      </c>
      <c r="P10" s="13">
        <f>-'P&amp;L consol'!BN48</f>
        <v>3381.03</v>
      </c>
      <c r="Q10" s="13">
        <f>-'P&amp;L consol'!BO48</f>
        <v>3377.0032000000001</v>
      </c>
      <c r="R10" s="13">
        <f>-'P&amp;L consol'!BP48</f>
        <v>3367.4378895999998</v>
      </c>
    </row>
    <row r="11" spans="1:21">
      <c r="A11" s="87" t="s">
        <v>524</v>
      </c>
      <c r="B11" s="13"/>
      <c r="C11" s="13"/>
      <c r="D11" s="14"/>
      <c r="E11" s="14"/>
      <c r="F11" s="14">
        <v>-12</v>
      </c>
      <c r="G11" s="14">
        <v>-126</v>
      </c>
      <c r="H11" s="14">
        <v>-304</v>
      </c>
      <c r="I11" s="14">
        <v>-148</v>
      </c>
      <c r="J11" s="14">
        <v>-87</v>
      </c>
      <c r="K11" s="14"/>
      <c r="L11" s="14"/>
      <c r="M11" s="14"/>
      <c r="N11" s="14"/>
      <c r="O11" s="333"/>
      <c r="P11" s="13"/>
      <c r="Q11" s="13"/>
      <c r="R11" s="13"/>
    </row>
    <row r="12" spans="1:21">
      <c r="A12" s="87" t="s">
        <v>236</v>
      </c>
      <c r="B12" s="13"/>
      <c r="C12" s="13"/>
      <c r="D12" s="14"/>
      <c r="E12" s="14"/>
      <c r="F12" s="14">
        <v>59</v>
      </c>
      <c r="G12" s="14">
        <v>97</v>
      </c>
      <c r="H12" s="14">
        <v>76</v>
      </c>
      <c r="I12" s="14">
        <v>63</v>
      </c>
      <c r="J12" s="14">
        <v>476</v>
      </c>
      <c r="K12" s="14">
        <v>355</v>
      </c>
      <c r="L12" s="14">
        <v>544</v>
      </c>
      <c r="M12" s="14">
        <v>810</v>
      </c>
      <c r="N12" s="14">
        <v>1700</v>
      </c>
      <c r="O12" s="14">
        <v>1909</v>
      </c>
      <c r="P12" s="13"/>
      <c r="Q12" s="13"/>
      <c r="R12" s="13"/>
    </row>
    <row r="13" spans="1:21">
      <c r="A13" s="87" t="s">
        <v>525</v>
      </c>
      <c r="B13" s="13"/>
      <c r="C13" s="13"/>
      <c r="D13" s="14"/>
      <c r="E13" s="14"/>
      <c r="F13" s="14">
        <v>84</v>
      </c>
      <c r="G13" s="14">
        <v>18</v>
      </c>
      <c r="H13" s="14">
        <v>79</v>
      </c>
      <c r="I13" s="14">
        <v>84</v>
      </c>
      <c r="J13" s="14">
        <v>610</v>
      </c>
      <c r="K13" s="14">
        <v>16</v>
      </c>
      <c r="L13" s="14">
        <v>72</v>
      </c>
      <c r="M13" s="14">
        <v>104</v>
      </c>
      <c r="N13" s="14">
        <v>68</v>
      </c>
      <c r="O13" s="14">
        <v>340</v>
      </c>
      <c r="P13" s="13"/>
      <c r="Q13" s="13"/>
      <c r="R13" s="13"/>
      <c r="T13" s="6"/>
    </row>
    <row r="14" spans="1:21" s="6" customFormat="1">
      <c r="A14" s="87" t="s">
        <v>526</v>
      </c>
      <c r="B14" s="13"/>
      <c r="C14" s="13"/>
      <c r="D14" s="14"/>
      <c r="E14" s="14"/>
      <c r="F14" s="14">
        <v>-3</v>
      </c>
      <c r="G14" s="14">
        <v>3</v>
      </c>
      <c r="H14" s="14">
        <v>2</v>
      </c>
      <c r="I14" s="14">
        <v>-12</v>
      </c>
      <c r="J14" s="14"/>
      <c r="K14" s="14"/>
      <c r="L14" s="14"/>
      <c r="M14" s="14"/>
      <c r="N14" s="14"/>
      <c r="O14" s="14"/>
      <c r="P14" s="13"/>
      <c r="Q14" s="13"/>
      <c r="R14" s="13"/>
    </row>
    <row r="15" spans="1:21">
      <c r="A15" s="87" t="s">
        <v>527</v>
      </c>
      <c r="B15" s="13"/>
      <c r="C15" s="13"/>
      <c r="D15" s="14"/>
      <c r="E15" s="14"/>
      <c r="F15" s="14">
        <v>-71</v>
      </c>
      <c r="G15" s="14">
        <v>-40</v>
      </c>
      <c r="H15" s="14">
        <v>-55</v>
      </c>
      <c r="I15" s="14">
        <v>-69</v>
      </c>
      <c r="J15" s="14">
        <v>-40</v>
      </c>
      <c r="K15" s="14">
        <v>-31</v>
      </c>
      <c r="L15" s="14">
        <v>-46</v>
      </c>
      <c r="M15" s="14">
        <v>-124</v>
      </c>
      <c r="N15" s="14">
        <v>-846</v>
      </c>
      <c r="O15" s="14">
        <v>-334</v>
      </c>
      <c r="P15" s="13"/>
      <c r="Q15" s="13"/>
      <c r="R15" s="13"/>
    </row>
    <row r="16" spans="1:21">
      <c r="A16" s="87" t="s">
        <v>528</v>
      </c>
      <c r="B16" s="13"/>
      <c r="C16" s="13"/>
      <c r="D16" s="14"/>
      <c r="E16" s="14"/>
      <c r="F16" s="14"/>
      <c r="G16" s="14">
        <v>-47</v>
      </c>
      <c r="H16" s="14">
        <v>-127</v>
      </c>
      <c r="I16" s="14">
        <v>-96</v>
      </c>
      <c r="J16" s="14"/>
      <c r="K16" s="14"/>
      <c r="L16" s="14"/>
      <c r="M16" s="14"/>
      <c r="N16" s="14"/>
      <c r="O16" s="14"/>
      <c r="P16" s="13"/>
      <c r="Q16" s="13"/>
      <c r="R16" s="13"/>
    </row>
    <row r="17" spans="1:21">
      <c r="A17" s="87" t="s">
        <v>529</v>
      </c>
      <c r="B17" s="13"/>
      <c r="C17" s="13"/>
      <c r="D17" s="14"/>
      <c r="E17" s="14"/>
      <c r="F17" s="14"/>
      <c r="G17" s="14">
        <v>-41</v>
      </c>
      <c r="H17" s="14">
        <v>0</v>
      </c>
      <c r="I17" s="14">
        <v>-423</v>
      </c>
      <c r="J17" s="14">
        <v>-1</v>
      </c>
      <c r="K17" s="14"/>
      <c r="L17" s="14"/>
      <c r="M17" s="14"/>
      <c r="N17" s="14"/>
      <c r="O17" s="14"/>
      <c r="P17" s="13"/>
      <c r="Q17" s="13"/>
      <c r="R17" s="13"/>
    </row>
    <row r="18" spans="1:21" s="6" customFormat="1">
      <c r="A18" s="87" t="s">
        <v>530</v>
      </c>
      <c r="B18" s="13"/>
      <c r="C18" s="13"/>
      <c r="D18" s="14"/>
      <c r="E18" s="241"/>
      <c r="F18" s="14">
        <v>-69</v>
      </c>
      <c r="G18" s="14">
        <v>-85</v>
      </c>
      <c r="H18" s="14">
        <v>-97</v>
      </c>
      <c r="I18" s="14">
        <v>215</v>
      </c>
      <c r="J18" s="14">
        <v>-7</v>
      </c>
      <c r="K18" s="14">
        <v>-3</v>
      </c>
      <c r="L18" s="14">
        <v>0</v>
      </c>
      <c r="M18" s="14"/>
      <c r="N18" s="14"/>
      <c r="O18" s="14"/>
      <c r="P18" s="13"/>
      <c r="Q18" s="13"/>
      <c r="R18" s="13"/>
    </row>
    <row r="19" spans="1:21" s="6" customFormat="1">
      <c r="A19" s="87" t="s">
        <v>531</v>
      </c>
      <c r="B19" s="13"/>
      <c r="C19" s="13"/>
      <c r="D19" s="14"/>
      <c r="E19" s="241"/>
      <c r="F19" s="14">
        <v>-58</v>
      </c>
      <c r="G19" s="14">
        <v>-78</v>
      </c>
      <c r="H19" s="14">
        <v>-90</v>
      </c>
      <c r="I19" s="14">
        <v>-24</v>
      </c>
      <c r="J19" s="14">
        <v>-69</v>
      </c>
      <c r="K19" s="14">
        <v>-98</v>
      </c>
      <c r="L19" s="14">
        <v>-116</v>
      </c>
      <c r="M19" s="14">
        <v>-135</v>
      </c>
      <c r="N19" s="14">
        <v>-216</v>
      </c>
      <c r="O19" s="14">
        <v>-371</v>
      </c>
      <c r="P19" s="13"/>
      <c r="Q19" s="13"/>
      <c r="R19" s="13"/>
    </row>
    <row r="20" spans="1:21" s="6" customFormat="1">
      <c r="A20" s="87" t="s">
        <v>532</v>
      </c>
      <c r="B20" s="13"/>
      <c r="C20" s="13"/>
      <c r="D20" s="14"/>
      <c r="E20" s="241"/>
      <c r="F20" s="14">
        <v>-11</v>
      </c>
      <c r="G20" s="14">
        <v>-17</v>
      </c>
      <c r="H20" s="14">
        <v>-12</v>
      </c>
      <c r="I20" s="14">
        <v>35</v>
      </c>
      <c r="J20" s="14">
        <v>28</v>
      </c>
      <c r="K20" s="14"/>
      <c r="L20" s="14"/>
      <c r="M20" s="14"/>
      <c r="N20" s="14"/>
      <c r="O20" s="14"/>
      <c r="P20" s="13"/>
      <c r="Q20" s="13"/>
      <c r="R20" s="13"/>
    </row>
    <row r="21" spans="1:21" ht="12.75" customHeight="1">
      <c r="A21" s="87" t="s">
        <v>533</v>
      </c>
      <c r="B21" s="13"/>
      <c r="C21" s="13"/>
      <c r="D21" s="14"/>
      <c r="E21" s="14"/>
      <c r="F21" s="14">
        <v>19</v>
      </c>
      <c r="G21" s="14">
        <v>49</v>
      </c>
      <c r="H21" s="14">
        <v>49</v>
      </c>
      <c r="I21" s="14"/>
      <c r="J21" s="14"/>
      <c r="K21" s="14"/>
      <c r="L21" s="14"/>
      <c r="M21" s="14"/>
      <c r="N21" s="14"/>
      <c r="O21" s="14"/>
      <c r="P21" s="13"/>
      <c r="Q21" s="13"/>
      <c r="R21" s="13"/>
      <c r="T21" s="240"/>
      <c r="U21" s="240"/>
    </row>
    <row r="22" spans="1:21">
      <c r="A22" s="87" t="s">
        <v>534</v>
      </c>
      <c r="B22" s="13"/>
      <c r="C22" s="13"/>
      <c r="D22" s="14"/>
      <c r="E22" s="14"/>
      <c r="F22" s="14"/>
      <c r="G22" s="14"/>
      <c r="H22" s="14"/>
      <c r="I22" s="14"/>
      <c r="J22" s="14"/>
      <c r="K22" s="14"/>
      <c r="L22" s="14"/>
      <c r="M22" s="14"/>
      <c r="N22" s="14"/>
      <c r="O22" s="14"/>
      <c r="P22" s="299">
        <f>('BS Consol'!I48+'BS Consol'!I49+'BS Consol'!I50+'BS Consol'!I51+'BS Consol'!I53-'BS Consol'!J48-'BS Consol'!J49-'BS Consol'!J50-'BS Consol'!J51-'BS Consol'!J53)</f>
        <v>392.5</v>
      </c>
      <c r="Q22" s="299">
        <f>('BS Consol'!J48+'BS Consol'!J49+'BS Consol'!J50+'BS Consol'!J51+'BS Consol'!J53-'BS Consol'!K48-'BS Consol'!K49-'BS Consol'!K50-'BS Consol'!K51-'BS Consol'!K53)</f>
        <v>372.875</v>
      </c>
      <c r="R22" s="299">
        <f>('BS Consol'!K48+'BS Consol'!K49+'BS Consol'!K50+'BS Consol'!K51+'BS Consol'!K53-'BS Consol'!L48-'BS Consol'!L49-'BS Consol'!L50-'BS Consol'!L51-'BS Consol'!L53)</f>
        <v>354.23125000000164</v>
      </c>
    </row>
    <row r="23" spans="1:21">
      <c r="A23" s="87" t="s">
        <v>399</v>
      </c>
      <c r="B23" s="13"/>
      <c r="C23" s="13"/>
      <c r="D23" s="14"/>
      <c r="E23" s="14"/>
      <c r="F23" s="14"/>
      <c r="G23" s="14"/>
      <c r="H23" s="14"/>
      <c r="I23" s="14"/>
      <c r="J23" s="14"/>
      <c r="K23" s="14"/>
      <c r="L23" s="14"/>
      <c r="M23" s="14"/>
      <c r="N23" s="14"/>
      <c r="O23" s="14"/>
      <c r="P23" s="346">
        <f>-('BS Consol'!I9-'BS Consol'!J9)-('BS Consol'!I13+'BS Consol'!I14+'BS Consol'!I15+'BS Consol'!I16-'BS Consol'!J13-'BS Consol'!J14-'BS Consol'!J15-'BS Consol'!J16)-('BS Consol'!I17+'BS Consol'!I20-'BS Consol'!J17-'BS Consol'!J20)</f>
        <v>0</v>
      </c>
      <c r="Q23" s="346">
        <f>-('BS Consol'!J9-'BS Consol'!K9)-('BS Consol'!J13+'BS Consol'!J14+'BS Consol'!J15+'BS Consol'!J16-'BS Consol'!K13-'BS Consol'!K14-'BS Consol'!K15-'BS Consol'!K16)-('BS Consol'!J17+'BS Consol'!J20-'BS Consol'!K17-'BS Consol'!K20)</f>
        <v>0</v>
      </c>
      <c r="R23" s="346">
        <f>-('BS Consol'!K9-'BS Consol'!L9)-('BS Consol'!K13+'BS Consol'!K14+'BS Consol'!K15+'BS Consol'!K16-'BS Consol'!L13-'BS Consol'!L14-'BS Consol'!L15-'BS Consol'!L16)-('BS Consol'!K17+'BS Consol'!K20-'BS Consol'!L17-'BS Consol'!L20)</f>
        <v>0</v>
      </c>
    </row>
    <row r="24" spans="1:21">
      <c r="A24" s="87" t="s">
        <v>535</v>
      </c>
      <c r="B24" s="13"/>
      <c r="C24" s="13"/>
      <c r="D24" s="14"/>
      <c r="E24" s="14"/>
      <c r="F24" s="14"/>
      <c r="G24" s="14"/>
      <c r="H24" s="14"/>
      <c r="I24" s="14"/>
      <c r="J24" s="14"/>
      <c r="K24" s="14"/>
      <c r="L24" s="14"/>
      <c r="M24" s="14"/>
      <c r="N24" s="14"/>
      <c r="O24" s="14">
        <v>-346</v>
      </c>
      <c r="P24" s="346"/>
      <c r="Q24" s="346"/>
      <c r="R24" s="346"/>
    </row>
    <row r="25" spans="1:21">
      <c r="A25" s="87" t="s">
        <v>536</v>
      </c>
      <c r="B25" s="13"/>
      <c r="C25" s="13"/>
      <c r="D25" s="14"/>
      <c r="E25" s="14"/>
      <c r="F25" s="14"/>
      <c r="G25" s="14"/>
      <c r="H25" s="14"/>
      <c r="I25" s="14"/>
      <c r="J25" s="14"/>
      <c r="K25" s="14"/>
      <c r="L25" s="14"/>
      <c r="M25" s="14"/>
      <c r="N25" s="14"/>
      <c r="O25" s="14">
        <v>-702</v>
      </c>
      <c r="P25" s="346"/>
      <c r="Q25" s="346"/>
      <c r="R25" s="346"/>
    </row>
    <row r="26" spans="1:21" s="6" customFormat="1">
      <c r="A26" s="87" t="s">
        <v>85</v>
      </c>
      <c r="B26" s="13"/>
      <c r="C26" s="13"/>
      <c r="D26" s="14"/>
      <c r="E26" s="14"/>
      <c r="F26" s="14">
        <v>-221</v>
      </c>
      <c r="G26" s="14"/>
      <c r="H26" s="14"/>
      <c r="I26" s="14"/>
      <c r="J26" s="14"/>
      <c r="K26" s="14"/>
      <c r="L26" s="14"/>
      <c r="M26" s="14"/>
      <c r="N26" s="14"/>
      <c r="O26" s="14"/>
      <c r="P26" s="13">
        <f>-'P&amp;L consol'!BN60</f>
        <v>-309.6526975640856</v>
      </c>
      <c r="Q26" s="13">
        <f>-'P&amp;L consol'!BO60</f>
        <v>-404.45757280941268</v>
      </c>
      <c r="R26" s="13">
        <f>-'P&amp;L consol'!BP60</f>
        <v>-500.04274350905149</v>
      </c>
    </row>
    <row r="27" spans="1:21">
      <c r="A27" s="61" t="s">
        <v>537</v>
      </c>
      <c r="B27" s="63"/>
      <c r="C27" s="63"/>
      <c r="D27" s="63"/>
      <c r="E27" s="63"/>
      <c r="F27" s="63" t="e">
        <f t="shared" ref="F27:M27" si="0">SUM(F5:F26)</f>
        <v>#REF!</v>
      </c>
      <c r="G27" s="63">
        <f t="shared" si="0"/>
        <v>5062</v>
      </c>
      <c r="H27" s="63">
        <f t="shared" si="0"/>
        <v>6423</v>
      </c>
      <c r="I27" s="63">
        <f t="shared" si="0"/>
        <v>7447</v>
      </c>
      <c r="J27" s="63">
        <f t="shared" si="0"/>
        <v>8802</v>
      </c>
      <c r="K27" s="63">
        <f t="shared" si="0"/>
        <v>11735</v>
      </c>
      <c r="L27" s="63">
        <f t="shared" si="0"/>
        <v>13332</v>
      </c>
      <c r="M27" s="63">
        <f t="shared" si="0"/>
        <v>15495</v>
      </c>
      <c r="N27" s="63">
        <f t="shared" ref="N27:O27" si="1">SUM(N5:N26)</f>
        <v>19019</v>
      </c>
      <c r="O27" s="63">
        <f t="shared" si="1"/>
        <v>28923</v>
      </c>
      <c r="P27" s="63">
        <f>SUM(P5:P26)</f>
        <v>50138.873164875971</v>
      </c>
      <c r="Q27" s="63">
        <f t="shared" ref="Q27:R27" si="2">SUM(Q5:Q26)</f>
        <v>59878.07039407394</v>
      </c>
      <c r="R27" s="63">
        <f t="shared" si="2"/>
        <v>68381.887937635402</v>
      </c>
      <c r="T27" s="177"/>
      <c r="U27" s="177"/>
    </row>
    <row r="28" spans="1:21">
      <c r="B28" s="13"/>
      <c r="C28" s="13"/>
      <c r="D28" s="13"/>
      <c r="E28" s="13"/>
      <c r="F28" s="13"/>
      <c r="G28" s="13"/>
      <c r="H28" s="13"/>
      <c r="I28" s="13"/>
      <c r="J28" s="13"/>
      <c r="K28" s="13"/>
      <c r="L28" s="13"/>
      <c r="M28" s="13"/>
      <c r="N28" s="13"/>
      <c r="O28" s="13"/>
      <c r="P28" s="13"/>
      <c r="Q28" s="13"/>
      <c r="R28" s="13"/>
    </row>
    <row r="29" spans="1:21">
      <c r="A29" s="4" t="s">
        <v>538</v>
      </c>
      <c r="B29" s="13"/>
      <c r="C29" s="13"/>
      <c r="D29" s="13"/>
      <c r="E29" s="13"/>
      <c r="F29" s="13"/>
      <c r="G29" s="13"/>
      <c r="H29" s="13"/>
      <c r="I29" s="13"/>
      <c r="J29" s="13"/>
      <c r="K29" s="13"/>
      <c r="L29" s="13"/>
      <c r="M29" s="13"/>
      <c r="N29" s="13"/>
      <c r="O29" s="13"/>
      <c r="P29" s="13"/>
      <c r="Q29" s="13"/>
      <c r="R29" s="13"/>
    </row>
    <row r="30" spans="1:21">
      <c r="A30" s="87" t="s">
        <v>539</v>
      </c>
      <c r="B30" s="13"/>
      <c r="C30" s="13"/>
      <c r="D30" s="14"/>
      <c r="E30" s="14"/>
      <c r="F30" s="14">
        <v>885</v>
      </c>
      <c r="G30" s="14">
        <v>-832</v>
      </c>
      <c r="H30" s="14">
        <v>-242</v>
      </c>
      <c r="I30" s="14">
        <v>-2071</v>
      </c>
      <c r="J30" s="14">
        <v>-691</v>
      </c>
      <c r="K30" s="14">
        <v>-3152</v>
      </c>
      <c r="L30" s="14">
        <v>-2126</v>
      </c>
      <c r="M30" s="14">
        <v>-1668</v>
      </c>
      <c r="N30" s="14">
        <v>-7425</v>
      </c>
      <c r="O30" s="14">
        <v>-15516</v>
      </c>
      <c r="P30" s="13">
        <f>-('BS Consol'!J59-'BS Consol'!I59)</f>
        <v>-20211.549369191867</v>
      </c>
      <c r="Q30" s="13">
        <f>-('BS Consol'!K59-'BS Consol'!J59)</f>
        <v>-12600.427538500822</v>
      </c>
      <c r="R30" s="13">
        <f>-('BS Consol'!L59-'BS Consol'!K59)</f>
        <v>-13090.182450976834</v>
      </c>
      <c r="U30" s="240"/>
    </row>
    <row r="31" spans="1:21">
      <c r="A31" s="87" t="s">
        <v>540</v>
      </c>
      <c r="B31" s="13"/>
      <c r="C31" s="13"/>
      <c r="D31" s="14"/>
      <c r="E31" s="14"/>
      <c r="F31" s="14">
        <v>-1</v>
      </c>
      <c r="G31" s="14"/>
      <c r="H31" s="14"/>
      <c r="I31" s="14"/>
      <c r="J31" s="14"/>
      <c r="K31" s="14"/>
      <c r="L31" s="14"/>
      <c r="M31" s="14"/>
      <c r="N31" s="14"/>
      <c r="O31" s="14"/>
      <c r="P31" s="13"/>
      <c r="Q31" s="13"/>
      <c r="R31" s="13"/>
      <c r="U31" s="240"/>
    </row>
    <row r="32" spans="1:21">
      <c r="A32" s="87" t="s">
        <v>541</v>
      </c>
      <c r="B32" s="13"/>
      <c r="C32" s="13"/>
      <c r="D32" s="14"/>
      <c r="E32" s="14"/>
      <c r="F32" s="14">
        <v>89</v>
      </c>
      <c r="G32" s="14">
        <v>409</v>
      </c>
      <c r="H32" s="14">
        <v>-944</v>
      </c>
      <c r="I32" s="14">
        <v>-1715</v>
      </c>
      <c r="J32" s="14">
        <v>-566</v>
      </c>
      <c r="K32" s="14">
        <v>600</v>
      </c>
      <c r="L32" s="14">
        <v>282</v>
      </c>
      <c r="M32" s="14">
        <v>-108</v>
      </c>
      <c r="N32" s="14">
        <v>-450</v>
      </c>
      <c r="O32" s="14">
        <v>1020</v>
      </c>
      <c r="P32" s="13">
        <f>-('BS Consol'!J62-'BS Consol'!I62)</f>
        <v>-23.599999999999994</v>
      </c>
      <c r="Q32" s="13">
        <f>-('BS Consol'!K62-'BS Consol'!J62)</f>
        <v>-28.319999999999993</v>
      </c>
      <c r="R32" s="13">
        <f>-('BS Consol'!L62-'BS Consol'!K62)</f>
        <v>-33.98399999999998</v>
      </c>
      <c r="U32" s="240"/>
    </row>
    <row r="33" spans="1:21" s="6" customFormat="1">
      <c r="A33" s="87" t="s">
        <v>542</v>
      </c>
      <c r="B33" s="13"/>
      <c r="C33" s="13"/>
      <c r="D33" s="14"/>
      <c r="E33" s="14"/>
      <c r="F33" s="14">
        <v>292</v>
      </c>
      <c r="G33" s="13">
        <v>-84</v>
      </c>
      <c r="H33" s="13">
        <v>-137</v>
      </c>
      <c r="I33" s="13">
        <v>166</v>
      </c>
      <c r="J33" s="13">
        <v>-218</v>
      </c>
      <c r="K33" s="13">
        <v>-1276</v>
      </c>
      <c r="L33" s="13">
        <v>-769</v>
      </c>
      <c r="M33" s="13">
        <v>-2024</v>
      </c>
      <c r="N33" s="13">
        <v>-3733</v>
      </c>
      <c r="O33" s="13">
        <v>685</v>
      </c>
      <c r="P33" s="13">
        <f>-('BS Consol'!J64-'BS Consol'!I64)-('BS Consol'!J51-'BS Consol'!I51)-('BS Consol'!J66-'BS Consol'!I66)</f>
        <v>-49.090000000000146</v>
      </c>
      <c r="Q33" s="13">
        <f>-('BS Consol'!K64-'BS Consol'!J64)-('BS Consol'!K51-'BS Consol'!J51)-('BS Consol'!K66-'BS Consol'!J66)</f>
        <v>-49.580899999999929</v>
      </c>
      <c r="R33" s="13">
        <f>-('BS Consol'!L64-'BS Consol'!K64)-('BS Consol'!L51-'BS Consol'!K51)-('BS Consol'!L66-'BS Consol'!K66)</f>
        <v>-50.076708999999937</v>
      </c>
      <c r="T33" s="242"/>
    </row>
    <row r="34" spans="1:21">
      <c r="A34" s="87" t="s">
        <v>543</v>
      </c>
      <c r="B34" s="13"/>
      <c r="C34" s="13"/>
      <c r="D34" s="14"/>
      <c r="E34" s="14"/>
      <c r="F34" s="14">
        <v>21</v>
      </c>
      <c r="G34" s="14">
        <v>-205</v>
      </c>
      <c r="H34" s="14">
        <v>-71</v>
      </c>
      <c r="I34" s="14">
        <v>-37</v>
      </c>
      <c r="J34" s="14">
        <v>80</v>
      </c>
      <c r="K34" s="14">
        <v>223</v>
      </c>
      <c r="L34" s="14">
        <v>307</v>
      </c>
      <c r="M34" s="14">
        <v>232</v>
      </c>
      <c r="N34" s="14">
        <v>511</v>
      </c>
      <c r="O34" s="14">
        <v>1523</v>
      </c>
      <c r="P34" s="13">
        <f>-('BS Consol'!J63-'BS Consol'!I63)</f>
        <v>0</v>
      </c>
      <c r="Q34" s="13">
        <f>-('BS Consol'!K63-'BS Consol'!J63)</f>
        <v>0</v>
      </c>
      <c r="R34" s="13">
        <f>-('BS Consol'!L63-'BS Consol'!K63)</f>
        <v>0</v>
      </c>
      <c r="U34" s="240"/>
    </row>
    <row r="35" spans="1:21" s="6" customFormat="1">
      <c r="A35" s="87" t="s">
        <v>544</v>
      </c>
      <c r="B35" s="13"/>
      <c r="C35" s="13"/>
      <c r="D35" s="14"/>
      <c r="E35" s="14"/>
      <c r="F35" s="14">
        <v>-57</v>
      </c>
      <c r="G35" s="14">
        <v>217</v>
      </c>
      <c r="H35" s="14">
        <v>310</v>
      </c>
      <c r="I35" s="14">
        <v>958</v>
      </c>
      <c r="J35" s="14">
        <v>785</v>
      </c>
      <c r="K35" s="14">
        <v>2153</v>
      </c>
      <c r="L35" s="14">
        <v>175</v>
      </c>
      <c r="M35" s="14">
        <v>1725</v>
      </c>
      <c r="N35" s="14">
        <v>1680</v>
      </c>
      <c r="O35" s="14">
        <v>6097</v>
      </c>
      <c r="P35" s="13">
        <f>('BS Consol'!J25-'BS Consol'!I25)</f>
        <v>8493.1778128379847</v>
      </c>
      <c r="Q35" s="13">
        <f>('BS Consol'!K25-'BS Consol'!J25)</f>
        <v>5638.1430739827301</v>
      </c>
      <c r="R35" s="13">
        <f>('BS Consol'!L25-'BS Consol'!K25)</f>
        <v>6073.0967662236726</v>
      </c>
    </row>
    <row r="36" spans="1:21" s="6" customFormat="1">
      <c r="A36" s="87" t="s">
        <v>545</v>
      </c>
      <c r="B36" s="13"/>
      <c r="C36" s="13"/>
      <c r="D36" s="14"/>
      <c r="E36" s="14"/>
      <c r="F36" s="14">
        <v>-193</v>
      </c>
      <c r="G36" s="14">
        <v>367</v>
      </c>
      <c r="H36" s="14">
        <v>371</v>
      </c>
      <c r="I36" s="14">
        <v>35</v>
      </c>
      <c r="J36" s="14">
        <v>1112</v>
      </c>
      <c r="K36" s="14">
        <v>19</v>
      </c>
      <c r="L36" s="14">
        <v>1104</v>
      </c>
      <c r="M36" s="14">
        <v>-957</v>
      </c>
      <c r="N36" s="14">
        <v>6728</v>
      </c>
      <c r="O36" s="14">
        <v>-430</v>
      </c>
      <c r="P36" s="13">
        <f>('BS Consol'!J26-'BS Consol'!I26)+('BS Consol'!J27-'BS Consol'!I27)+('BS Consol'!J28-'BS Consol'!I28)+('BS Consol'!J31-'BS Consol'!I31)</f>
        <v>0</v>
      </c>
      <c r="Q36" s="13">
        <f>('BS Consol'!K26-'BS Consol'!J26)+('BS Consol'!K27-'BS Consol'!J27)+('BS Consol'!K28-'BS Consol'!J28)+('BS Consol'!K31-'BS Consol'!J31)</f>
        <v>0</v>
      </c>
      <c r="R36" s="13">
        <f>('BS Consol'!L26-'BS Consol'!K26)+('BS Consol'!L27-'BS Consol'!K27)+('BS Consol'!L28-'BS Consol'!K28)+('BS Consol'!L31-'BS Consol'!K31)</f>
        <v>0</v>
      </c>
    </row>
    <row r="37" spans="1:21">
      <c r="A37" s="87" t="s">
        <v>546</v>
      </c>
      <c r="B37" s="13"/>
      <c r="C37" s="13"/>
      <c r="D37" s="14"/>
      <c r="E37" s="14"/>
      <c r="F37" s="14"/>
      <c r="G37" s="14"/>
      <c r="H37" s="14"/>
      <c r="I37" s="14"/>
      <c r="J37" s="14"/>
      <c r="K37" s="14"/>
      <c r="L37" s="14"/>
      <c r="M37" s="14"/>
      <c r="N37" s="14"/>
      <c r="O37" s="14"/>
      <c r="P37" s="13"/>
      <c r="Q37" s="13"/>
      <c r="R37" s="13"/>
      <c r="U37" s="240"/>
    </row>
    <row r="38" spans="1:21">
      <c r="A38" s="87" t="s">
        <v>547</v>
      </c>
      <c r="B38" s="13"/>
      <c r="C38" s="13"/>
      <c r="D38" s="14"/>
      <c r="E38" s="14"/>
      <c r="F38" s="14"/>
      <c r="G38" s="14"/>
      <c r="H38" s="14"/>
      <c r="I38" s="14"/>
      <c r="J38" s="14"/>
      <c r="K38" s="14"/>
      <c r="L38" s="14"/>
      <c r="M38" s="14"/>
      <c r="N38" s="14"/>
      <c r="O38" s="14"/>
      <c r="P38" s="13"/>
      <c r="Q38" s="13"/>
      <c r="R38" s="13"/>
      <c r="U38" s="240"/>
    </row>
    <row r="39" spans="1:21">
      <c r="A39" s="87" t="s">
        <v>548</v>
      </c>
      <c r="B39" s="13"/>
      <c r="C39" s="13"/>
      <c r="D39" s="14"/>
      <c r="E39" s="14"/>
      <c r="F39" s="14"/>
      <c r="G39" s="14"/>
      <c r="H39" s="14"/>
      <c r="I39" s="14"/>
      <c r="J39" s="14"/>
      <c r="K39" s="14"/>
      <c r="L39" s="14"/>
      <c r="M39" s="14"/>
      <c r="N39" s="14"/>
      <c r="O39" s="14"/>
      <c r="P39" s="13"/>
      <c r="Q39" s="13"/>
      <c r="R39" s="13"/>
      <c r="U39" s="240"/>
    </row>
    <row r="40" spans="1:21" s="6" customFormat="1">
      <c r="A40" s="87" t="s">
        <v>549</v>
      </c>
      <c r="B40" s="13"/>
      <c r="C40" s="13"/>
      <c r="D40" s="14"/>
      <c r="E40" s="14"/>
      <c r="F40" s="14"/>
      <c r="G40" s="14"/>
      <c r="H40" s="14"/>
      <c r="I40" s="14"/>
      <c r="J40" s="14"/>
      <c r="K40" s="14"/>
      <c r="L40" s="14"/>
      <c r="M40" s="14"/>
      <c r="N40" s="14"/>
      <c r="O40" s="14"/>
      <c r="P40" s="13">
        <f>'BS Consol'!J14-'BS Consol'!I14</f>
        <v>0</v>
      </c>
      <c r="Q40" s="13">
        <f>'BS Consol'!K14-'BS Consol'!J14</f>
        <v>0</v>
      </c>
      <c r="R40" s="13">
        <f>'BS Consol'!L14-'BS Consol'!K14</f>
        <v>0</v>
      </c>
    </row>
    <row r="41" spans="1:21" s="6" customFormat="1">
      <c r="A41" s="87" t="s">
        <v>550</v>
      </c>
      <c r="B41" s="13"/>
      <c r="C41" s="13"/>
      <c r="D41" s="14"/>
      <c r="E41" s="14"/>
      <c r="F41" s="14"/>
      <c r="G41" s="14"/>
      <c r="H41" s="14"/>
      <c r="I41" s="14"/>
      <c r="J41" s="14"/>
      <c r="K41" s="14"/>
      <c r="L41" s="14"/>
      <c r="M41" s="14"/>
      <c r="N41" s="14"/>
      <c r="O41" s="14"/>
      <c r="P41" s="13"/>
      <c r="Q41" s="13"/>
      <c r="R41" s="13"/>
    </row>
    <row r="42" spans="1:21">
      <c r="A42" s="6" t="s">
        <v>551</v>
      </c>
      <c r="B42" s="7"/>
      <c r="C42" s="7"/>
      <c r="D42" s="7"/>
      <c r="E42" s="7"/>
      <c r="F42" s="7">
        <f t="shared" ref="F42:M42" si="3">SUM(F30:F41)</f>
        <v>1036</v>
      </c>
      <c r="G42" s="473">
        <f t="shared" si="3"/>
        <v>-128</v>
      </c>
      <c r="H42" s="7">
        <f t="shared" si="3"/>
        <v>-713</v>
      </c>
      <c r="I42" s="7">
        <f t="shared" si="3"/>
        <v>-2664</v>
      </c>
      <c r="J42" s="7">
        <f t="shared" si="3"/>
        <v>502</v>
      </c>
      <c r="K42" s="7">
        <f t="shared" si="3"/>
        <v>-1433</v>
      </c>
      <c r="L42" s="7">
        <f t="shared" si="3"/>
        <v>-1027</v>
      </c>
      <c r="M42" s="7">
        <f t="shared" si="3"/>
        <v>-2800</v>
      </c>
      <c r="N42" s="7">
        <f t="shared" ref="N42" si="4">SUM(N30:N41)</f>
        <v>-2689</v>
      </c>
      <c r="O42" s="7">
        <f>SUM(O30:O41)</f>
        <v>-6621</v>
      </c>
      <c r="P42" s="7">
        <f t="shared" ref="P42" si="5">SUM(P30:P41)</f>
        <v>-11791.061556353881</v>
      </c>
      <c r="Q42" s="7">
        <f t="shared" ref="Q42:R42" si="6">SUM(Q30:Q41)</f>
        <v>-7040.1853645180927</v>
      </c>
      <c r="R42" s="7">
        <f t="shared" si="6"/>
        <v>-7101.1463937531626</v>
      </c>
    </row>
    <row r="43" spans="1:21">
      <c r="B43" s="13"/>
      <c r="C43" s="13"/>
      <c r="D43" s="13"/>
      <c r="E43" s="13"/>
      <c r="F43" s="13"/>
      <c r="G43" s="13"/>
      <c r="H43" s="13"/>
      <c r="I43" s="13"/>
      <c r="J43" s="13"/>
      <c r="K43" s="13"/>
      <c r="L43" s="13"/>
      <c r="M43" s="13"/>
      <c r="N43" s="13"/>
      <c r="O43" s="13"/>
      <c r="P43" s="13"/>
      <c r="Q43" s="13"/>
      <c r="R43" s="13"/>
    </row>
    <row r="44" spans="1:21">
      <c r="A44" s="4" t="s">
        <v>552</v>
      </c>
      <c r="B44" s="13"/>
      <c r="C44" s="13"/>
      <c r="D44" s="13"/>
      <c r="E44" s="13"/>
      <c r="F44" s="13" t="e">
        <f t="shared" ref="F44:M44" si="7">F27+F42</f>
        <v>#REF!</v>
      </c>
      <c r="G44" s="13">
        <f t="shared" si="7"/>
        <v>4934</v>
      </c>
      <c r="H44" s="13">
        <f t="shared" si="7"/>
        <v>5710</v>
      </c>
      <c r="I44" s="13">
        <f t="shared" si="7"/>
        <v>4783</v>
      </c>
      <c r="J44" s="13">
        <f t="shared" si="7"/>
        <v>9304</v>
      </c>
      <c r="K44" s="13">
        <f t="shared" si="7"/>
        <v>10302</v>
      </c>
      <c r="L44" s="13">
        <f t="shared" si="7"/>
        <v>12305</v>
      </c>
      <c r="M44" s="13">
        <f t="shared" si="7"/>
        <v>12695</v>
      </c>
      <c r="N44" s="13">
        <f t="shared" ref="N44:O44" si="8">N27+N42</f>
        <v>16330</v>
      </c>
      <c r="O44" s="13">
        <f t="shared" si="8"/>
        <v>22302</v>
      </c>
      <c r="P44" s="13">
        <f t="shared" ref="P44" si="9">P27+P42</f>
        <v>38347.81160852209</v>
      </c>
      <c r="Q44" s="13">
        <f t="shared" ref="Q44:R44" si="10">Q27+Q42</f>
        <v>52837.885029555851</v>
      </c>
      <c r="R44" s="13">
        <f t="shared" si="10"/>
        <v>61280.741543882235</v>
      </c>
    </row>
    <row r="45" spans="1:21">
      <c r="B45" s="240"/>
      <c r="C45" s="240"/>
      <c r="D45" s="240"/>
      <c r="E45" s="240"/>
      <c r="F45" s="240"/>
      <c r="G45" s="240"/>
      <c r="H45" s="240"/>
      <c r="I45" s="240"/>
      <c r="J45" s="240"/>
      <c r="K45" s="240"/>
      <c r="L45" s="240"/>
      <c r="M45" s="240"/>
      <c r="N45" s="240"/>
      <c r="O45" s="240"/>
      <c r="P45" s="240"/>
      <c r="Q45" s="240"/>
      <c r="R45" s="240"/>
    </row>
    <row r="46" spans="1:21">
      <c r="A46" s="4" t="s">
        <v>553</v>
      </c>
      <c r="B46" s="13"/>
      <c r="C46" s="13"/>
      <c r="D46" s="14"/>
      <c r="E46" s="14"/>
      <c r="F46" s="14">
        <v>-1051</v>
      </c>
      <c r="G46" s="14">
        <v>-1111</v>
      </c>
      <c r="H46" s="14">
        <v>-1183</v>
      </c>
      <c r="I46" s="14">
        <v>-1814</v>
      </c>
      <c r="J46" s="14">
        <v>-1682</v>
      </c>
      <c r="K46" s="14">
        <v>-2646</v>
      </c>
      <c r="L46" s="14">
        <v>-2800</v>
      </c>
      <c r="M46" s="14">
        <v>-3661</v>
      </c>
      <c r="N46" s="14">
        <v>-3959</v>
      </c>
      <c r="O46" s="14">
        <v>-4385</v>
      </c>
      <c r="P46" s="13">
        <f>-'P&amp;L consol'!BN53</f>
        <v>-8520.5626126856459</v>
      </c>
      <c r="Q46" s="13">
        <f>-'P&amp;L consol'!BO53</f>
        <v>-10601.008415913111</v>
      </c>
      <c r="R46" s="13">
        <f>-'P&amp;L consol'!BP53</f>
        <v>-12425.901317401984</v>
      </c>
      <c r="T46" s="4">
        <v>5145</v>
      </c>
    </row>
    <row r="47" spans="1:21" s="6" customFormat="1" ht="12.6" thickBot="1">
      <c r="A47" s="67" t="s">
        <v>554</v>
      </c>
      <c r="B47" s="69"/>
      <c r="C47" s="69"/>
      <c r="D47" s="69">
        <f t="shared" ref="D47:M47" si="11">D44+D46</f>
        <v>0</v>
      </c>
      <c r="E47" s="69">
        <f t="shared" si="11"/>
        <v>0</v>
      </c>
      <c r="F47" s="69" t="e">
        <f t="shared" si="11"/>
        <v>#REF!</v>
      </c>
      <c r="G47" s="69">
        <f t="shared" si="11"/>
        <v>3823</v>
      </c>
      <c r="H47" s="69">
        <f t="shared" si="11"/>
        <v>4527</v>
      </c>
      <c r="I47" s="69">
        <f t="shared" si="11"/>
        <v>2969</v>
      </c>
      <c r="J47" s="69">
        <f t="shared" si="11"/>
        <v>7622</v>
      </c>
      <c r="K47" s="69">
        <f t="shared" si="11"/>
        <v>7656</v>
      </c>
      <c r="L47" s="69">
        <f t="shared" si="11"/>
        <v>9505</v>
      </c>
      <c r="M47" s="69">
        <f t="shared" si="11"/>
        <v>9034</v>
      </c>
      <c r="N47" s="69">
        <f t="shared" ref="N47:O47" si="12">N44+N46</f>
        <v>12371</v>
      </c>
      <c r="O47" s="69">
        <f t="shared" si="12"/>
        <v>17917</v>
      </c>
      <c r="P47" s="69">
        <f t="shared" ref="P47" si="13">P44+P46</f>
        <v>29827.248995836446</v>
      </c>
      <c r="Q47" s="69">
        <f t="shared" ref="Q47:R47" si="14">Q44+Q46</f>
        <v>42236.876613642744</v>
      </c>
      <c r="R47" s="69">
        <f t="shared" si="14"/>
        <v>48854.84022648025</v>
      </c>
      <c r="S47" s="239"/>
      <c r="T47" s="6">
        <f>T46*8%</f>
        <v>411.6</v>
      </c>
    </row>
    <row r="48" spans="1:21">
      <c r="B48" s="13"/>
      <c r="C48" s="13"/>
      <c r="D48" s="13"/>
      <c r="E48" s="13"/>
      <c r="F48" s="13"/>
      <c r="G48" s="13"/>
      <c r="H48" s="13"/>
      <c r="I48" s="16">
        <f>I47/H47-1</f>
        <v>-0.34415727855091671</v>
      </c>
      <c r="J48" s="16">
        <f>J47/I47-1</f>
        <v>1.5671943415291345</v>
      </c>
      <c r="K48" s="16">
        <f>K47/J47-1</f>
        <v>4.4607714510627172E-3</v>
      </c>
      <c r="L48" s="16"/>
      <c r="M48" s="16"/>
      <c r="N48" s="16"/>
      <c r="O48" s="16"/>
      <c r="P48" s="13"/>
      <c r="Q48" s="13"/>
      <c r="R48" s="13"/>
    </row>
    <row r="49" spans="1:22">
      <c r="A49" s="6" t="s">
        <v>555</v>
      </c>
      <c r="B49" s="13"/>
      <c r="C49" s="13"/>
      <c r="D49" s="13"/>
      <c r="E49" s="13"/>
      <c r="F49" s="13"/>
      <c r="G49" s="13"/>
      <c r="H49" s="13"/>
      <c r="I49" s="13"/>
      <c r="J49" s="13"/>
      <c r="K49" s="13"/>
      <c r="L49" s="13"/>
      <c r="M49" s="13"/>
      <c r="N49" s="13"/>
      <c r="O49" s="13"/>
      <c r="P49" s="13"/>
      <c r="Q49" s="13"/>
      <c r="R49" s="13"/>
    </row>
    <row r="50" spans="1:22" s="6" customFormat="1">
      <c r="A50" s="4" t="s">
        <v>556</v>
      </c>
      <c r="B50" s="13"/>
      <c r="C50" s="13"/>
      <c r="D50" s="14"/>
      <c r="E50" s="14"/>
      <c r="F50" s="14">
        <v>-873</v>
      </c>
      <c r="G50" s="14">
        <v>-888</v>
      </c>
      <c r="H50" s="333">
        <v>-703</v>
      </c>
      <c r="I50" s="14">
        <v>-725</v>
      </c>
      <c r="J50" s="14">
        <v>-782</v>
      </c>
      <c r="K50" s="14">
        <v>-1541</v>
      </c>
      <c r="L50" s="14">
        <v>-1582</v>
      </c>
      <c r="M50" s="14">
        <v>-2655</v>
      </c>
      <c r="N50" s="14">
        <v>-6144</v>
      </c>
      <c r="O50" s="14">
        <v>-7425</v>
      </c>
      <c r="P50" s="13">
        <f>-'BS Consol'!J73</f>
        <v>-14000</v>
      </c>
      <c r="Q50" s="13">
        <f>-'BS Consol'!K73</f>
        <v>-17000</v>
      </c>
      <c r="R50" s="13">
        <f>-'BS Consol'!L73</f>
        <v>-18000</v>
      </c>
    </row>
    <row r="51" spans="1:22" s="6" customFormat="1">
      <c r="A51" s="4" t="s">
        <v>557</v>
      </c>
      <c r="B51" s="13"/>
      <c r="C51" s="13"/>
      <c r="D51" s="14"/>
      <c r="E51" s="14"/>
      <c r="F51" s="14">
        <v>18</v>
      </c>
      <c r="G51" s="14">
        <v>9</v>
      </c>
      <c r="H51" s="333">
        <v>27</v>
      </c>
      <c r="I51" s="14">
        <v>22</v>
      </c>
      <c r="J51" s="14">
        <v>25</v>
      </c>
      <c r="K51" s="14">
        <v>66</v>
      </c>
      <c r="L51" s="14">
        <v>45</v>
      </c>
      <c r="M51" s="14">
        <v>57</v>
      </c>
      <c r="N51" s="14">
        <v>572</v>
      </c>
      <c r="O51" s="14">
        <v>1474</v>
      </c>
      <c r="P51" s="13">
        <v>0</v>
      </c>
      <c r="Q51" s="13">
        <f>+('BS Consol'!J43-'BS Consol'!K43)</f>
        <v>-2119.9700000000012</v>
      </c>
      <c r="R51" s="13">
        <f>+('BS Consol'!K43-'BS Consol'!L43)</f>
        <v>-2141.1696999999986</v>
      </c>
    </row>
    <row r="52" spans="1:22" s="6" customFormat="1">
      <c r="A52" s="4" t="s">
        <v>558</v>
      </c>
      <c r="B52" s="13"/>
      <c r="C52" s="13"/>
      <c r="D52" s="14"/>
      <c r="E52" s="14"/>
      <c r="F52" s="14"/>
      <c r="G52" s="14">
        <v>-1639</v>
      </c>
      <c r="H52" s="333">
        <v>-1591</v>
      </c>
      <c r="I52" s="14">
        <v>-1362</v>
      </c>
      <c r="J52" s="14">
        <v>-1691</v>
      </c>
      <c r="K52" s="14">
        <v>-8557</v>
      </c>
      <c r="L52" s="14">
        <v>-1222</v>
      </c>
      <c r="M52" s="14">
        <v>0</v>
      </c>
      <c r="N52" s="14"/>
      <c r="O52" s="14">
        <v>2998</v>
      </c>
      <c r="P52" s="13"/>
      <c r="Q52" s="13"/>
      <c r="R52" s="13"/>
    </row>
    <row r="53" spans="1:22">
      <c r="A53" s="4" t="s">
        <v>559</v>
      </c>
      <c r="B53" s="13"/>
      <c r="C53" s="13"/>
      <c r="D53" s="14"/>
      <c r="E53" s="14"/>
      <c r="F53" s="14"/>
      <c r="G53" s="14"/>
      <c r="H53" s="14"/>
      <c r="I53" s="14"/>
      <c r="J53" s="14"/>
      <c r="K53" s="14"/>
      <c r="L53" s="14"/>
      <c r="M53" s="14"/>
      <c r="N53" s="14">
        <v>-20810</v>
      </c>
      <c r="O53" s="14">
        <v>-3206</v>
      </c>
      <c r="P53" s="13"/>
      <c r="Q53" s="13"/>
      <c r="R53" s="13"/>
    </row>
    <row r="54" spans="1:22">
      <c r="A54" s="4" t="s">
        <v>560</v>
      </c>
      <c r="B54" s="13"/>
      <c r="C54" s="13"/>
      <c r="D54" s="14"/>
      <c r="E54" s="14"/>
      <c r="F54" s="14"/>
      <c r="G54" s="14"/>
      <c r="H54" s="14"/>
      <c r="I54" s="14">
        <v>-1494</v>
      </c>
      <c r="J54" s="14"/>
      <c r="K54" s="14"/>
      <c r="L54" s="14"/>
      <c r="M54" s="14"/>
      <c r="N54" s="14"/>
      <c r="O54" s="14"/>
      <c r="P54" s="13"/>
      <c r="Q54" s="13"/>
      <c r="R54" s="13"/>
    </row>
    <row r="55" spans="1:22">
      <c r="A55" s="4" t="s">
        <v>561</v>
      </c>
      <c r="B55" s="13"/>
      <c r="C55" s="13"/>
      <c r="D55" s="14"/>
      <c r="E55" s="14"/>
      <c r="F55" s="14"/>
      <c r="G55" s="14"/>
      <c r="H55" s="14">
        <v>-165</v>
      </c>
      <c r="I55" s="14">
        <v>897</v>
      </c>
      <c r="J55" s="14"/>
      <c r="K55" s="14"/>
      <c r="L55" s="14"/>
      <c r="M55" s="14"/>
      <c r="N55" s="14"/>
      <c r="O55" s="14"/>
      <c r="P55" s="13"/>
      <c r="Q55" s="13"/>
      <c r="R55" s="13"/>
    </row>
    <row r="56" spans="1:22">
      <c r="A56" s="4" t="s">
        <v>562</v>
      </c>
      <c r="B56" s="13"/>
      <c r="C56" s="13"/>
      <c r="D56" s="14"/>
      <c r="E56" s="14"/>
      <c r="F56" s="14">
        <v>-6519</v>
      </c>
      <c r="G56" s="14">
        <v>-5608</v>
      </c>
      <c r="H56" s="333">
        <v>-5841</v>
      </c>
      <c r="I56" s="14">
        <v>-6787</v>
      </c>
      <c r="J56" s="14"/>
      <c r="K56" s="14"/>
      <c r="L56" s="14"/>
      <c r="M56" s="14"/>
      <c r="N56" s="14"/>
      <c r="O56" s="14"/>
      <c r="P56" s="13"/>
      <c r="Q56" s="13"/>
      <c r="R56" s="13"/>
    </row>
    <row r="57" spans="1:22" s="6" customFormat="1" ht="11.45" customHeight="1">
      <c r="A57" s="4" t="s">
        <v>563</v>
      </c>
      <c r="B57" s="13"/>
      <c r="C57" s="13"/>
      <c r="D57" s="14"/>
      <c r="E57" s="14"/>
      <c r="F57" s="14">
        <v>4235</v>
      </c>
      <c r="G57" s="14">
        <f>5277+41</f>
        <v>5318</v>
      </c>
      <c r="H57" s="333">
        <v>5798</v>
      </c>
      <c r="I57" s="14">
        <v>10489</v>
      </c>
      <c r="J57" s="14">
        <v>21</v>
      </c>
      <c r="K57" s="14">
        <v>450</v>
      </c>
      <c r="L57" s="14">
        <f>('BS Consol'!E47+'BS Consol'!E58-'BS Consol'!F47-'BS Consol'!F58)</f>
        <v>0</v>
      </c>
      <c r="M57" s="14">
        <f>('BS Consol'!F47+'BS Consol'!F58-'BS Consol'!G47-'BS Consol'!G58)</f>
        <v>0</v>
      </c>
      <c r="N57" s="14">
        <v>1185</v>
      </c>
      <c r="O57" s="14">
        <v>1551</v>
      </c>
      <c r="P57" s="13">
        <f>('BS Consol'!I47+'BS Consol'!I58-'BS Consol'!J47-'BS Consol'!J58)</f>
        <v>0</v>
      </c>
      <c r="Q57" s="13">
        <f>('BS Consol'!J47+'BS Consol'!J58-'BS Consol'!K47-'BS Consol'!K58)</f>
        <v>0</v>
      </c>
      <c r="R57" s="13">
        <f>('BS Consol'!K47+'BS Consol'!K58-'BS Consol'!L47-'BS Consol'!L58)</f>
        <v>0</v>
      </c>
    </row>
    <row r="58" spans="1:22">
      <c r="A58" s="4" t="s">
        <v>564</v>
      </c>
      <c r="B58" s="13"/>
      <c r="C58" s="13"/>
      <c r="D58" s="14"/>
      <c r="E58" s="14"/>
      <c r="F58" s="14">
        <v>3</v>
      </c>
      <c r="G58" s="14">
        <v>40</v>
      </c>
      <c r="H58" s="14">
        <v>55</v>
      </c>
      <c r="I58" s="14">
        <v>12</v>
      </c>
      <c r="J58" s="14"/>
      <c r="K58" s="14"/>
      <c r="L58" s="14"/>
      <c r="M58" s="14"/>
      <c r="N58" s="14"/>
      <c r="O58" s="14"/>
      <c r="P58" s="13"/>
      <c r="Q58" s="13"/>
      <c r="R58" s="13"/>
      <c r="V58" s="240">
        <v>-8614.7000000000007</v>
      </c>
    </row>
    <row r="59" spans="1:22" s="6" customFormat="1">
      <c r="A59" s="4" t="s">
        <v>565</v>
      </c>
      <c r="B59" s="13"/>
      <c r="C59" s="13"/>
      <c r="D59" s="14"/>
      <c r="E59" s="14"/>
      <c r="F59" s="14">
        <v>73</v>
      </c>
      <c r="G59" s="14">
        <v>64</v>
      </c>
      <c r="H59" s="14">
        <v>120</v>
      </c>
      <c r="I59" s="14">
        <v>71</v>
      </c>
      <c r="J59" s="14">
        <v>73</v>
      </c>
      <c r="K59" s="14">
        <v>18</v>
      </c>
      <c r="L59" s="14">
        <v>43</v>
      </c>
      <c r="M59" s="14">
        <v>120</v>
      </c>
      <c r="N59" s="14">
        <v>714</v>
      </c>
      <c r="O59" s="14">
        <v>260</v>
      </c>
      <c r="P59" s="13"/>
      <c r="Q59" s="13"/>
      <c r="R59" s="13"/>
      <c r="V59" s="311">
        <v>-8218.81</v>
      </c>
    </row>
    <row r="60" spans="1:22">
      <c r="A60" s="4" t="s">
        <v>566</v>
      </c>
      <c r="B60" s="13"/>
      <c r="C60" s="13"/>
      <c r="D60" s="14"/>
      <c r="E60" s="14"/>
      <c r="F60" s="14"/>
      <c r="G60" s="14"/>
      <c r="H60" s="14"/>
      <c r="I60" s="14"/>
      <c r="J60" s="14"/>
      <c r="K60" s="14"/>
      <c r="L60" s="14"/>
      <c r="M60" s="14"/>
      <c r="N60" s="14"/>
      <c r="O60" s="14"/>
      <c r="P60" s="13"/>
      <c r="Q60" s="13"/>
      <c r="R60" s="13"/>
    </row>
    <row r="61" spans="1:22">
      <c r="A61" s="4" t="s">
        <v>567</v>
      </c>
      <c r="B61" s="13"/>
      <c r="C61" s="13"/>
      <c r="D61" s="14"/>
      <c r="E61" s="14"/>
      <c r="F61" s="14"/>
      <c r="G61" s="14"/>
      <c r="H61" s="14"/>
      <c r="I61" s="14"/>
      <c r="J61" s="14"/>
      <c r="K61" s="14"/>
      <c r="L61" s="14"/>
      <c r="M61" s="14"/>
      <c r="N61" s="14"/>
      <c r="O61" s="14"/>
      <c r="P61" s="13"/>
      <c r="Q61" s="13"/>
      <c r="R61" s="13"/>
    </row>
    <row r="62" spans="1:22">
      <c r="A62" s="4" t="s">
        <v>568</v>
      </c>
      <c r="B62" s="13"/>
      <c r="C62" s="13"/>
      <c r="D62" s="14"/>
      <c r="E62" s="14"/>
      <c r="F62" s="14"/>
      <c r="G62" s="14"/>
      <c r="H62" s="14"/>
      <c r="I62" s="14"/>
      <c r="J62" s="14"/>
      <c r="K62" s="14"/>
      <c r="L62" s="14"/>
      <c r="M62" s="14"/>
      <c r="N62" s="14"/>
      <c r="O62" s="14"/>
      <c r="P62" s="13"/>
      <c r="Q62" s="13"/>
      <c r="R62" s="13"/>
    </row>
    <row r="63" spans="1:22" s="6" customFormat="1" ht="12.6" thickBot="1">
      <c r="A63" s="67" t="s">
        <v>569</v>
      </c>
      <c r="B63" s="69"/>
      <c r="C63" s="69"/>
      <c r="D63" s="69"/>
      <c r="E63" s="69"/>
      <c r="F63" s="69">
        <f>SUM(F50:F62)</f>
        <v>-3063</v>
      </c>
      <c r="G63" s="69">
        <f>SUM(G50:G62)</f>
        <v>-2704</v>
      </c>
      <c r="H63" s="69">
        <f t="shared" ref="H63:M63" si="15">SUM(H50:H62)</f>
        <v>-2300</v>
      </c>
      <c r="I63" s="69">
        <f t="shared" si="15"/>
        <v>1123</v>
      </c>
      <c r="J63" s="69">
        <f t="shared" si="15"/>
        <v>-2354</v>
      </c>
      <c r="K63" s="69">
        <f t="shared" si="15"/>
        <v>-9564</v>
      </c>
      <c r="L63" s="69">
        <f t="shared" si="15"/>
        <v>-2716</v>
      </c>
      <c r="M63" s="69">
        <f t="shared" si="15"/>
        <v>-2478</v>
      </c>
      <c r="N63" s="69">
        <f t="shared" ref="N63:O63" si="16">SUM(N50:N62)</f>
        <v>-24483</v>
      </c>
      <c r="O63" s="69">
        <f t="shared" si="16"/>
        <v>-4348</v>
      </c>
      <c r="P63" s="69">
        <f t="shared" ref="P63" si="17">SUM(P50:P62)</f>
        <v>-14000</v>
      </c>
      <c r="Q63" s="69">
        <f t="shared" ref="Q63:R63" si="18">SUM(Q50:Q62)</f>
        <v>-19119.97</v>
      </c>
      <c r="R63" s="69">
        <f t="shared" si="18"/>
        <v>-20141.169699999999</v>
      </c>
    </row>
    <row r="64" spans="1:22">
      <c r="A64" s="87"/>
      <c r="B64" s="13"/>
      <c r="C64" s="13"/>
      <c r="D64" s="13"/>
      <c r="E64" s="13"/>
      <c r="F64" s="13"/>
      <c r="G64" s="13"/>
      <c r="H64" s="13"/>
      <c r="I64" s="13"/>
      <c r="J64" s="13"/>
      <c r="K64" s="13"/>
      <c r="L64" s="13"/>
      <c r="M64" s="13"/>
      <c r="N64" s="13"/>
      <c r="O64" s="13"/>
      <c r="P64" s="13"/>
      <c r="Q64" s="13"/>
      <c r="R64" s="13"/>
    </row>
    <row r="65" spans="1:21">
      <c r="A65" s="6" t="s">
        <v>570</v>
      </c>
      <c r="B65" s="13"/>
      <c r="C65" s="13"/>
      <c r="D65" s="13"/>
      <c r="E65" s="13"/>
      <c r="F65" s="13"/>
      <c r="G65" s="13"/>
      <c r="H65" s="13"/>
      <c r="I65" s="13"/>
      <c r="J65" s="13"/>
      <c r="K65" s="13"/>
      <c r="L65" s="13"/>
      <c r="M65" s="13"/>
      <c r="N65" s="13"/>
      <c r="O65" s="13"/>
      <c r="P65" s="13"/>
      <c r="Q65" s="13"/>
      <c r="R65" s="13"/>
    </row>
    <row r="66" spans="1:21">
      <c r="A66" s="4" t="s">
        <v>571</v>
      </c>
      <c r="B66" s="13"/>
      <c r="C66" s="13"/>
      <c r="D66" s="14"/>
      <c r="E66" s="14"/>
      <c r="F66" s="14">
        <v>70</v>
      </c>
      <c r="G66" s="14">
        <v>66</v>
      </c>
      <c r="H66" s="14">
        <v>87</v>
      </c>
      <c r="I66" s="14">
        <v>-11</v>
      </c>
      <c r="J66" s="14">
        <v>-4166</v>
      </c>
      <c r="K66" s="14"/>
      <c r="L66" s="14"/>
      <c r="M66" s="14"/>
      <c r="N66" s="14"/>
      <c r="O66" s="14"/>
      <c r="P66" s="13"/>
      <c r="Q66" s="13">
        <f>'BS Consol'!K5-'BS Consol'!J5</f>
        <v>0</v>
      </c>
      <c r="R66" s="13">
        <f>'BS Consol'!L5-'BS Consol'!K5</f>
        <v>0</v>
      </c>
    </row>
    <row r="67" spans="1:21">
      <c r="A67" s="4" t="s">
        <v>572</v>
      </c>
      <c r="B67" s="13"/>
      <c r="C67" s="13"/>
      <c r="D67" s="14"/>
      <c r="E67" s="14"/>
      <c r="F67" s="14"/>
      <c r="G67" s="14"/>
      <c r="H67" s="14"/>
      <c r="I67" s="14">
        <v>286</v>
      </c>
      <c r="J67" s="14">
        <v>18</v>
      </c>
      <c r="K67" s="14">
        <v>51</v>
      </c>
      <c r="L67" s="14">
        <v>18</v>
      </c>
      <c r="M67" s="14">
        <v>7</v>
      </c>
      <c r="N67" s="14">
        <v>22015</v>
      </c>
      <c r="O67" s="14">
        <v>3</v>
      </c>
      <c r="P67" s="7">
        <f>('BS Consol'!J53-'BS Consol'!I53)</f>
        <v>0</v>
      </c>
      <c r="Q67" s="7">
        <f>('BS Consol'!K53-'BS Consol'!J53)</f>
        <v>0</v>
      </c>
      <c r="R67" s="7">
        <f>('BS Consol'!L53-'BS Consol'!K53)</f>
        <v>0</v>
      </c>
    </row>
    <row r="68" spans="1:21">
      <c r="A68" s="4" t="s">
        <v>573</v>
      </c>
      <c r="B68" s="13"/>
      <c r="C68" s="13"/>
      <c r="D68" s="14"/>
      <c r="E68" s="14"/>
      <c r="F68" s="14">
        <v>64</v>
      </c>
      <c r="G68" s="14">
        <v>63</v>
      </c>
      <c r="H68" s="14">
        <v>3</v>
      </c>
      <c r="I68" s="14">
        <v>281</v>
      </c>
      <c r="J68" s="14"/>
      <c r="K68" s="14">
        <v>3578</v>
      </c>
      <c r="L68" s="14">
        <v>0</v>
      </c>
      <c r="M68" s="14">
        <v>967</v>
      </c>
      <c r="N68" s="14">
        <v>6039</v>
      </c>
      <c r="O68" s="14">
        <v>1976</v>
      </c>
      <c r="P68" s="13">
        <f>'BS Consol'!J12-'BS Consol'!I12</f>
        <v>51609</v>
      </c>
      <c r="Q68" s="13">
        <f>'BS Consol'!K12-'BS Consol'!J12</f>
        <v>-527.76000000000204</v>
      </c>
      <c r="R68" s="13">
        <f>'BS Consol'!L12-'BS Consol'!K12</f>
        <v>-522.48240000000078</v>
      </c>
    </row>
    <row r="69" spans="1:21">
      <c r="A69" s="4" t="s">
        <v>574</v>
      </c>
      <c r="B69" s="13"/>
      <c r="C69" s="13"/>
      <c r="D69" s="14"/>
      <c r="E69" s="14"/>
      <c r="F69" s="14">
        <v>-53</v>
      </c>
      <c r="G69" s="14">
        <v>-50</v>
      </c>
      <c r="H69" s="14">
        <v>-57</v>
      </c>
      <c r="I69" s="14">
        <v>-42</v>
      </c>
      <c r="J69" s="14">
        <v>-306</v>
      </c>
      <c r="K69" s="14">
        <v>-59</v>
      </c>
      <c r="L69" s="14">
        <v>-180</v>
      </c>
      <c r="M69" s="14">
        <v>0</v>
      </c>
      <c r="N69" s="14">
        <v>-3716</v>
      </c>
      <c r="O69" s="14">
        <v>-5154</v>
      </c>
      <c r="P69" s="13">
        <f>('BS Consol'!J18-'BS Consol'!I18)+('BS Consol'!J29-'BS Consol'!I29)+('BS Consol'!J30-'BS Consol'!I30)</f>
        <v>0</v>
      </c>
      <c r="Q69" s="13">
        <f>('BS Consol'!K18-'BS Consol'!J18)+('BS Consol'!K29-'BS Consol'!J29)+('BS Consol'!K30-'BS Consol'!J30)</f>
        <v>0</v>
      </c>
      <c r="R69" s="13">
        <f>('BS Consol'!L18-'BS Consol'!K18)+('BS Consol'!L29-'BS Consol'!K29)+('BS Consol'!L30-'BS Consol'!K30)</f>
        <v>0</v>
      </c>
    </row>
    <row r="70" spans="1:21">
      <c r="A70" s="4" t="s">
        <v>575</v>
      </c>
      <c r="B70" s="13"/>
      <c r="C70" s="13"/>
      <c r="D70" s="14"/>
      <c r="E70" s="14"/>
      <c r="F70" s="14"/>
      <c r="G70" s="14"/>
      <c r="H70" s="14"/>
      <c r="I70" s="14">
        <v>-287</v>
      </c>
      <c r="J70" s="14">
        <v>-312</v>
      </c>
      <c r="K70" s="14">
        <v>-386</v>
      </c>
      <c r="L70" s="14">
        <v>-421</v>
      </c>
      <c r="M70" s="14">
        <v>-480</v>
      </c>
      <c r="N70" s="14">
        <v>-866</v>
      </c>
      <c r="O70" s="14">
        <v>-1048</v>
      </c>
      <c r="P70" s="13"/>
      <c r="Q70" s="13"/>
      <c r="R70" s="13"/>
    </row>
    <row r="71" spans="1:21">
      <c r="A71" s="4" t="s">
        <v>576</v>
      </c>
      <c r="B71" s="13"/>
      <c r="C71" s="13"/>
      <c r="D71" s="14"/>
      <c r="E71" s="14"/>
      <c r="F71" s="14">
        <v>-12</v>
      </c>
      <c r="G71" s="14">
        <v>-13</v>
      </c>
      <c r="H71" s="14">
        <v>-10</v>
      </c>
      <c r="I71" s="14">
        <v>-85</v>
      </c>
      <c r="J71" s="14">
        <v>-79</v>
      </c>
      <c r="K71" s="14">
        <v>-265</v>
      </c>
      <c r="L71" s="14">
        <v>-714</v>
      </c>
      <c r="M71" s="14">
        <v>-1060</v>
      </c>
      <c r="N71" s="14">
        <v>-1438</v>
      </c>
      <c r="O71" s="14">
        <v>-1169</v>
      </c>
      <c r="P71" s="13">
        <f>'P&amp;L consol'!BN48</f>
        <v>-3381.03</v>
      </c>
      <c r="Q71" s="13">
        <f>'P&amp;L consol'!BO48</f>
        <v>-3377.0032000000001</v>
      </c>
      <c r="R71" s="13">
        <f>'P&amp;L consol'!BP48</f>
        <v>-3367.4378895999998</v>
      </c>
    </row>
    <row r="72" spans="1:21">
      <c r="A72" s="4" t="s">
        <v>577</v>
      </c>
      <c r="B72" s="13"/>
      <c r="C72" s="13"/>
      <c r="D72" s="14"/>
      <c r="E72" s="14"/>
      <c r="F72" s="14">
        <v>-738</v>
      </c>
      <c r="G72" s="14">
        <v>-810</v>
      </c>
      <c r="H72" s="14">
        <v>-1086</v>
      </c>
      <c r="I72" s="14">
        <v>-1469</v>
      </c>
      <c r="J72" s="14">
        <v>-686</v>
      </c>
      <c r="K72" s="14">
        <v>-3152</v>
      </c>
      <c r="L72" s="14">
        <v>-3534</v>
      </c>
      <c r="M72" s="14">
        <v>-4664</v>
      </c>
      <c r="N72" s="14">
        <v>-4976</v>
      </c>
      <c r="O72" s="14">
        <v>-5277</v>
      </c>
      <c r="P72" s="13">
        <f>-'P&amp;L consol'!BN93</f>
        <v>-6245.3852723241316</v>
      </c>
      <c r="Q72" s="13">
        <f>-'P&amp;L consol'!BO93</f>
        <v>-7765.5069313045997</v>
      </c>
      <c r="R72" s="13">
        <f>-'P&amp;L consol'!BP93</f>
        <v>-9045.7970377504025</v>
      </c>
    </row>
    <row r="73" spans="1:21">
      <c r="A73" s="4" t="s">
        <v>578</v>
      </c>
      <c r="B73" s="13"/>
      <c r="C73" s="13"/>
      <c r="D73" s="14"/>
      <c r="E73" s="14"/>
      <c r="F73" s="14"/>
      <c r="G73" s="14"/>
      <c r="H73" s="14"/>
      <c r="I73" s="14"/>
      <c r="J73" s="14"/>
      <c r="K73" s="14">
        <v>-729</v>
      </c>
      <c r="L73" s="14">
        <v>0</v>
      </c>
      <c r="M73" s="14">
        <v>-3523</v>
      </c>
      <c r="N73" s="14">
        <v>-184</v>
      </c>
      <c r="O73" s="14">
        <v>-114</v>
      </c>
    </row>
    <row r="74" spans="1:21">
      <c r="A74" s="4" t="s">
        <v>579</v>
      </c>
      <c r="B74" s="13"/>
      <c r="C74" s="13"/>
      <c r="D74" s="14"/>
      <c r="E74" s="14"/>
      <c r="F74" s="14"/>
      <c r="G74" s="14"/>
      <c r="H74" s="14"/>
      <c r="I74" s="14"/>
      <c r="J74" s="14"/>
      <c r="K74" s="14">
        <v>-596</v>
      </c>
      <c r="L74" s="14">
        <v>-751</v>
      </c>
      <c r="M74" s="14">
        <v>-117</v>
      </c>
      <c r="N74" s="14">
        <v>-121</v>
      </c>
      <c r="O74" s="14">
        <v>-154</v>
      </c>
      <c r="P74" s="13"/>
      <c r="Q74" s="13"/>
      <c r="R74" s="13"/>
      <c r="U74" s="20">
        <v>4527</v>
      </c>
    </row>
    <row r="75" spans="1:21" s="6" customFormat="1" ht="12.6" thickBot="1">
      <c r="A75" s="67" t="s">
        <v>580</v>
      </c>
      <c r="B75" s="69"/>
      <c r="C75" s="69"/>
      <c r="D75" s="69"/>
      <c r="E75" s="69"/>
      <c r="F75" s="69">
        <f t="shared" ref="F75:K75" si="19">SUM(F66:F74)</f>
        <v>-669</v>
      </c>
      <c r="G75" s="69">
        <f t="shared" si="19"/>
        <v>-744</v>
      </c>
      <c r="H75" s="69">
        <f t="shared" si="19"/>
        <v>-1063</v>
      </c>
      <c r="I75" s="69">
        <f t="shared" si="19"/>
        <v>-1327</v>
      </c>
      <c r="J75" s="69">
        <f t="shared" si="19"/>
        <v>-5531</v>
      </c>
      <c r="K75" s="69">
        <f t="shared" si="19"/>
        <v>-1558</v>
      </c>
      <c r="L75" s="69">
        <f t="shared" ref="L75:M75" si="20">SUM(L66:L74)</f>
        <v>-5582</v>
      </c>
      <c r="M75" s="69">
        <f t="shared" si="20"/>
        <v>-8870</v>
      </c>
      <c r="N75" s="69">
        <f t="shared" ref="N75:O75" si="21">SUM(N66:N74)</f>
        <v>16753</v>
      </c>
      <c r="O75" s="69">
        <f t="shared" si="21"/>
        <v>-10937</v>
      </c>
      <c r="P75" s="69">
        <f t="shared" ref="P75" si="22">SUM(P66:P74)</f>
        <v>41982.584727675872</v>
      </c>
      <c r="Q75" s="69">
        <f t="shared" ref="Q75:R75" si="23">SUM(Q66:Q74)</f>
        <v>-11670.270131304602</v>
      </c>
      <c r="R75" s="69">
        <f t="shared" si="23"/>
        <v>-12935.717327350403</v>
      </c>
      <c r="U75" s="278">
        <v>-2300</v>
      </c>
    </row>
    <row r="76" spans="1:21" s="6" customFormat="1">
      <c r="B76" s="7"/>
      <c r="C76" s="7"/>
      <c r="D76" s="7"/>
      <c r="E76" s="7"/>
      <c r="F76" s="7"/>
      <c r="G76" s="7"/>
      <c r="H76" s="7"/>
      <c r="I76" s="7"/>
      <c r="J76" s="7"/>
      <c r="K76" s="7"/>
      <c r="L76" s="7"/>
      <c r="M76" s="7"/>
      <c r="N76" s="7"/>
      <c r="O76" s="7"/>
      <c r="P76" s="7"/>
      <c r="Q76" s="7"/>
      <c r="R76" s="7"/>
      <c r="U76" s="278">
        <v>-1063</v>
      </c>
    </row>
    <row r="77" spans="1:21" s="6" customFormat="1">
      <c r="A77" s="6" t="s">
        <v>581</v>
      </c>
      <c r="B77" s="7"/>
      <c r="C77" s="7"/>
      <c r="D77" s="7"/>
      <c r="E77" s="7"/>
      <c r="F77" s="7">
        <v>-368</v>
      </c>
      <c r="G77" s="7">
        <f>172+53</f>
        <v>225</v>
      </c>
      <c r="H77" s="7">
        <v>-72</v>
      </c>
      <c r="I77" s="7">
        <f>113-115+238</f>
        <v>236</v>
      </c>
      <c r="J77" s="7">
        <v>67</v>
      </c>
      <c r="K77" s="7">
        <v>-65</v>
      </c>
      <c r="L77" s="7">
        <v>24</v>
      </c>
      <c r="M77" s="7">
        <v>-172</v>
      </c>
      <c r="N77" s="7">
        <v>102</v>
      </c>
      <c r="O77" s="7">
        <v>348</v>
      </c>
      <c r="P77" s="7"/>
      <c r="Q77" s="7"/>
      <c r="R77" s="7"/>
      <c r="U77" s="278">
        <f>SUM(U74:U76)</f>
        <v>1164</v>
      </c>
    </row>
    <row r="78" spans="1:21" s="6" customFormat="1">
      <c r="B78" s="7"/>
      <c r="C78" s="7"/>
      <c r="D78" s="7"/>
      <c r="E78" s="7"/>
      <c r="F78" s="7"/>
      <c r="G78" s="7"/>
      <c r="H78" s="7"/>
      <c r="I78" s="7"/>
      <c r="J78" s="7"/>
      <c r="K78" s="7"/>
      <c r="L78" s="7"/>
      <c r="M78" s="7"/>
      <c r="N78" s="7"/>
      <c r="O78" s="7"/>
      <c r="P78" s="7"/>
      <c r="Q78" s="7"/>
      <c r="R78" s="7"/>
      <c r="U78" s="278">
        <v>4102</v>
      </c>
    </row>
    <row r="79" spans="1:21" s="6" customFormat="1">
      <c r="A79" s="6" t="s">
        <v>582</v>
      </c>
      <c r="B79" s="7"/>
      <c r="C79" s="7"/>
      <c r="D79" s="7"/>
      <c r="E79" s="7"/>
      <c r="F79" s="7" t="e">
        <f>F47+F63+F75+F77</f>
        <v>#REF!</v>
      </c>
      <c r="G79" s="7">
        <f>G47+G63+G75+G77</f>
        <v>600</v>
      </c>
      <c r="H79" s="7">
        <f>H47+H63+H75+H77</f>
        <v>1092</v>
      </c>
      <c r="I79" s="7">
        <f>I47+I63+I75+I77</f>
        <v>3001</v>
      </c>
      <c r="J79" s="7">
        <f>J47+J63+J75+J77</f>
        <v>-196</v>
      </c>
      <c r="K79" s="7">
        <f t="shared" ref="K79:M79" si="24">K47+K63+K75+K77</f>
        <v>-3531</v>
      </c>
      <c r="L79" s="7">
        <f t="shared" si="24"/>
        <v>1231</v>
      </c>
      <c r="M79" s="7">
        <f t="shared" si="24"/>
        <v>-2486</v>
      </c>
      <c r="N79" s="7">
        <f t="shared" ref="N79:O79" si="25">N47+N63+N75+N77</f>
        <v>4743</v>
      </c>
      <c r="O79" s="7">
        <f t="shared" si="25"/>
        <v>2980</v>
      </c>
      <c r="P79" s="7">
        <f t="shared" ref="P79" si="26">P47+P63+P75</f>
        <v>57809.833723512318</v>
      </c>
      <c r="Q79" s="7">
        <f t="shared" ref="Q79:R79" si="27">Q47+Q63+Q75</f>
        <v>11446.636482338141</v>
      </c>
      <c r="R79" s="7">
        <f t="shared" si="27"/>
        <v>15777.953199129848</v>
      </c>
      <c r="U79" s="278">
        <f>U77+U78</f>
        <v>5266</v>
      </c>
    </row>
    <row r="80" spans="1:21" s="6" customFormat="1">
      <c r="A80" s="6" t="s">
        <v>583</v>
      </c>
      <c r="B80" s="7"/>
      <c r="C80" s="7"/>
      <c r="D80" s="7"/>
      <c r="E80" s="7"/>
      <c r="F80" s="7">
        <v>2879</v>
      </c>
      <c r="G80" s="42">
        <v>3502</v>
      </c>
      <c r="H80" s="42">
        <v>4102</v>
      </c>
      <c r="I80" s="42">
        <v>5194</v>
      </c>
      <c r="J80" s="42">
        <v>8195</v>
      </c>
      <c r="K80" s="42">
        <f>J81</f>
        <v>7999</v>
      </c>
      <c r="L80" s="42">
        <f>K81</f>
        <v>4468</v>
      </c>
      <c r="M80" s="42">
        <f>L81</f>
        <v>5699</v>
      </c>
      <c r="N80" s="42">
        <f>M81</f>
        <v>3213</v>
      </c>
      <c r="O80" s="42">
        <f>N81</f>
        <v>7956</v>
      </c>
      <c r="P80" s="7">
        <f t="shared" ref="P80:R80" si="28">O81</f>
        <v>10936</v>
      </c>
      <c r="Q80" s="7">
        <f t="shared" si="28"/>
        <v>68745.833723512318</v>
      </c>
      <c r="R80" s="7">
        <f t="shared" si="28"/>
        <v>80192.470205850463</v>
      </c>
      <c r="U80" s="278">
        <v>5194</v>
      </c>
    </row>
    <row r="81" spans="1:21" s="6" customFormat="1">
      <c r="A81" s="6" t="s">
        <v>584</v>
      </c>
      <c r="B81" s="7"/>
      <c r="C81" s="7"/>
      <c r="D81" s="7"/>
      <c r="E81" s="7"/>
      <c r="F81" s="7" t="e">
        <f>F79+F80</f>
        <v>#REF!</v>
      </c>
      <c r="G81" s="7">
        <f>G79+G80</f>
        <v>4102</v>
      </c>
      <c r="H81" s="7">
        <f>H79+H80-115</f>
        <v>5079</v>
      </c>
      <c r="I81" s="7">
        <f t="shared" ref="I81:N81" si="29">I79+I80</f>
        <v>8195</v>
      </c>
      <c r="J81" s="7">
        <f t="shared" si="29"/>
        <v>7999</v>
      </c>
      <c r="K81" s="7">
        <f t="shared" si="29"/>
        <v>4468</v>
      </c>
      <c r="L81" s="7">
        <f t="shared" si="29"/>
        <v>5699</v>
      </c>
      <c r="M81" s="7">
        <f t="shared" si="29"/>
        <v>3213</v>
      </c>
      <c r="N81" s="7">
        <f t="shared" si="29"/>
        <v>7956</v>
      </c>
      <c r="O81" s="7">
        <f t="shared" ref="O81" si="30">O79+O80</f>
        <v>10936</v>
      </c>
      <c r="P81" s="7">
        <f t="shared" ref="P81" si="31">P79+P80</f>
        <v>68745.833723512318</v>
      </c>
      <c r="Q81" s="7">
        <f t="shared" ref="Q81:R81" si="32">Q79+Q80</f>
        <v>80192.470205850463</v>
      </c>
      <c r="R81" s="7">
        <f t="shared" si="32"/>
        <v>95970.423404980305</v>
      </c>
      <c r="T81" s="6">
        <v>9880.01</v>
      </c>
      <c r="U81" s="278">
        <f>U79-U80:V80</f>
        <v>72</v>
      </c>
    </row>
    <row r="82" spans="1:21" s="220" customFormat="1">
      <c r="A82" s="220" t="s">
        <v>442</v>
      </c>
      <c r="B82" s="221"/>
      <c r="C82" s="221"/>
      <c r="D82" s="221"/>
      <c r="E82" s="221"/>
      <c r="F82" s="221" t="e">
        <f>'BS Consol'!#REF!-'Cashflow consol'!F81</f>
        <v>#REF!</v>
      </c>
      <c r="G82" s="221" t="e">
        <f>'BS Consol'!#REF!-'Cashflow consol'!G81</f>
        <v>#REF!</v>
      </c>
      <c r="H82" s="221">
        <f>'BS Consol'!B60-'Cashflow consol'!H81</f>
        <v>0</v>
      </c>
      <c r="I82" s="287">
        <f>'BS Consol'!C60-'Cashflow consol'!I81</f>
        <v>0</v>
      </c>
      <c r="J82" s="287">
        <f>'BS Consol'!D60-'Cashflow consol'!J81</f>
        <v>0</v>
      </c>
      <c r="K82" s="287">
        <f>'BS Consol'!E60-'Cashflow consol'!K81</f>
        <v>0</v>
      </c>
      <c r="L82" s="287">
        <f>'BS Consol'!F60-'Cashflow consol'!L81</f>
        <v>0</v>
      </c>
      <c r="M82" s="287">
        <f>'BS Consol'!G60-'Cashflow consol'!M81</f>
        <v>0</v>
      </c>
      <c r="N82" s="287">
        <f>'BS Consol'!H60-'Cashflow consol'!N81</f>
        <v>0</v>
      </c>
      <c r="O82" s="287">
        <f>'BS Consol'!I60-'Cashflow consol'!O81</f>
        <v>0</v>
      </c>
      <c r="P82" s="221">
        <f>'BS Consol'!J60-'Cashflow consol'!P81</f>
        <v>0</v>
      </c>
      <c r="Q82" s="221">
        <f>'BS Consol'!K60-'Cashflow consol'!Q81</f>
        <v>0</v>
      </c>
      <c r="R82" s="221">
        <f>'BS Consol'!L60-'Cashflow consol'!R81</f>
        <v>0</v>
      </c>
      <c r="T82" s="220">
        <v>-2288.19</v>
      </c>
    </row>
    <row r="83" spans="1:21">
      <c r="B83" s="13"/>
      <c r="C83" s="13"/>
      <c r="D83" s="13"/>
      <c r="E83" s="13"/>
      <c r="F83" s="13"/>
      <c r="G83" s="13"/>
      <c r="H83" s="13"/>
      <c r="I83" s="13"/>
      <c r="J83" s="13"/>
      <c r="K83" s="13"/>
      <c r="L83" s="13"/>
      <c r="M83" s="13"/>
      <c r="N83" s="13"/>
      <c r="O83" s="13"/>
      <c r="P83" s="13"/>
      <c r="Q83" s="13"/>
      <c r="R83" s="13"/>
      <c r="T83" s="4">
        <v>119.62</v>
      </c>
    </row>
    <row r="84" spans="1:21">
      <c r="A84" s="4" t="s">
        <v>286</v>
      </c>
      <c r="B84" s="13"/>
      <c r="C84" s="13"/>
      <c r="D84" s="13"/>
      <c r="E84" s="13"/>
      <c r="F84" s="13" t="e">
        <f t="shared" ref="F84:M84" si="33">F47</f>
        <v>#REF!</v>
      </c>
      <c r="G84" s="13">
        <f t="shared" si="33"/>
        <v>3823</v>
      </c>
      <c r="H84" s="13">
        <f t="shared" si="33"/>
        <v>4527</v>
      </c>
      <c r="I84" s="13">
        <f t="shared" si="33"/>
        <v>2969</v>
      </c>
      <c r="J84" s="13">
        <f t="shared" si="33"/>
        <v>7622</v>
      </c>
      <c r="K84" s="13">
        <f t="shared" si="33"/>
        <v>7656</v>
      </c>
      <c r="L84" s="13">
        <f t="shared" si="33"/>
        <v>9505</v>
      </c>
      <c r="M84" s="13">
        <f t="shared" si="33"/>
        <v>9034</v>
      </c>
      <c r="N84" s="13">
        <f t="shared" ref="N84:O84" si="34">N47</f>
        <v>12371</v>
      </c>
      <c r="O84" s="13">
        <f t="shared" si="34"/>
        <v>17917</v>
      </c>
      <c r="P84" s="13">
        <f t="shared" ref="P84" si="35">P47</f>
        <v>29827.248995836446</v>
      </c>
      <c r="Q84" s="13">
        <f t="shared" ref="Q84:R84" si="36">Q47</f>
        <v>42236.876613642744</v>
      </c>
      <c r="R84" s="13">
        <f t="shared" si="36"/>
        <v>48854.84022648025</v>
      </c>
      <c r="S84" s="22">
        <f>(N84/K84)^(1/3)-1</f>
        <v>0.17345820881168605</v>
      </c>
    </row>
    <row r="85" spans="1:21">
      <c r="A85" s="4" t="s">
        <v>292</v>
      </c>
      <c r="B85" s="13"/>
      <c r="C85" s="9"/>
      <c r="D85" s="9"/>
      <c r="E85" s="9"/>
      <c r="F85" s="13" t="e">
        <f t="shared" ref="F85:M85" si="37">F47+F50</f>
        <v>#REF!</v>
      </c>
      <c r="G85" s="13">
        <f t="shared" si="37"/>
        <v>2935</v>
      </c>
      <c r="H85" s="13">
        <f t="shared" si="37"/>
        <v>3824</v>
      </c>
      <c r="I85" s="13">
        <f t="shared" si="37"/>
        <v>2244</v>
      </c>
      <c r="J85" s="13">
        <f t="shared" si="37"/>
        <v>6840</v>
      </c>
      <c r="K85" s="13">
        <f t="shared" si="37"/>
        <v>6115</v>
      </c>
      <c r="L85" s="13">
        <f t="shared" si="37"/>
        <v>7923</v>
      </c>
      <c r="M85" s="13">
        <f t="shared" si="37"/>
        <v>6379</v>
      </c>
      <c r="N85" s="13">
        <f t="shared" ref="N85:O85" si="38">N47+N50</f>
        <v>6227</v>
      </c>
      <c r="O85" s="13">
        <f t="shared" si="38"/>
        <v>10492</v>
      </c>
      <c r="P85" s="13">
        <f t="shared" ref="P85" si="39">P47+P50</f>
        <v>15827.248995836446</v>
      </c>
      <c r="Q85" s="13">
        <f t="shared" ref="Q85:R85" si="40">Q47+Q50</f>
        <v>25236.876613642744</v>
      </c>
      <c r="R85" s="13">
        <f t="shared" si="40"/>
        <v>30854.84022648025</v>
      </c>
    </row>
    <row r="86" spans="1:21">
      <c r="A86" s="4" t="s">
        <v>585</v>
      </c>
      <c r="B86" s="13"/>
      <c r="C86" s="13"/>
      <c r="D86" s="13"/>
      <c r="E86" s="13"/>
      <c r="F86" s="15" t="e">
        <f>F85/'P&amp;L consol'!#REF!</f>
        <v>#REF!</v>
      </c>
      <c r="G86" s="15">
        <f>G85/'P&amp;L consol'!BE71</f>
        <v>9.556301320956802</v>
      </c>
      <c r="H86" s="15">
        <f>H85/'P&amp;L consol'!BF71</f>
        <v>12.2480195599022</v>
      </c>
      <c r="I86" s="15">
        <f>I85/'P&amp;L consol'!BG71</f>
        <v>7.103595655065396</v>
      </c>
      <c r="J86" s="15">
        <f>J85/'P&amp;L consol'!BH71</f>
        <v>22.380161930469381</v>
      </c>
      <c r="K86" s="15">
        <f>K85/'P&amp;L consol'!BI71</f>
        <v>20.14613873356506</v>
      </c>
      <c r="L86" s="15">
        <f>L85/'P&amp;L consol'!BJ71</f>
        <v>26.082915151024544</v>
      </c>
      <c r="M86" s="15">
        <f>M85/'P&amp;L consol'!BK71</f>
        <v>20.465501930266829</v>
      </c>
      <c r="N86" s="15">
        <f>N85/'P&amp;L consol'!BL71</f>
        <v>18.717038542051469</v>
      </c>
      <c r="O86" s="15">
        <f>O85/'P&amp;L consol'!BM71</f>
        <v>30.952035291652614</v>
      </c>
      <c r="P86" s="15">
        <f>P85/'P&amp;L consol'!BN71</f>
        <v>35.501361775951509</v>
      </c>
      <c r="Q86" s="15">
        <f>Q85/'P&amp;L consol'!BO71</f>
        <v>56.607657274594601</v>
      </c>
      <c r="R86" s="15">
        <f>R85/'P&amp;L consol'!BP71</f>
        <v>69.209048629209832</v>
      </c>
    </row>
    <row r="87" spans="1:21" s="6" customFormat="1">
      <c r="A87" s="4"/>
      <c r="B87" s="13"/>
      <c r="C87" s="13"/>
      <c r="D87" s="13"/>
      <c r="E87" s="13"/>
      <c r="F87" s="13"/>
      <c r="G87" s="13"/>
      <c r="H87" s="13"/>
      <c r="I87" s="13"/>
      <c r="J87" s="13"/>
      <c r="K87" s="13"/>
      <c r="L87" s="13"/>
      <c r="M87" s="13"/>
      <c r="N87" s="13"/>
      <c r="O87" s="13"/>
      <c r="P87" s="13"/>
      <c r="Q87" s="13"/>
      <c r="R87" s="13"/>
    </row>
    <row r="88" spans="1:21" s="6" customFormat="1">
      <c r="A88" s="4" t="s">
        <v>586</v>
      </c>
      <c r="B88" s="16"/>
      <c r="C88" s="16"/>
      <c r="D88" s="16"/>
      <c r="E88" s="16"/>
      <c r="F88" s="9" t="e">
        <f ca="1">F86/Valuation!$C$3</f>
        <v>#REF!</v>
      </c>
      <c r="G88" s="9">
        <f ca="1">G86/Valuation!$C$3</f>
        <v>6.6092408333610908E-3</v>
      </c>
      <c r="H88" s="9">
        <f ca="1">H86/Valuation!$C$3</f>
        <v>8.4708621342431695E-3</v>
      </c>
      <c r="I88" s="9">
        <f ca="1">I86/Valuation!$C$3</f>
        <v>4.9129232001282217E-3</v>
      </c>
      <c r="J88" s="9">
        <f ca="1">J86/Valuation!$C$3</f>
        <v>1.5478360834407207E-2</v>
      </c>
      <c r="K88" s="9">
        <f ca="1">K86/Valuation!$C$3</f>
        <v>1.3933286350069202E-2</v>
      </c>
      <c r="L88" s="9">
        <f ca="1">L86/Valuation!$C$3</f>
        <v>1.80392248087866E-2</v>
      </c>
      <c r="M88" s="9">
        <f ca="1">M86/Valuation!$C$3</f>
        <v>1.4154161373723512E-2</v>
      </c>
      <c r="N88" s="9">
        <f ca="1">N86/Valuation!$C$3</f>
        <v>1.2944905278408927E-2</v>
      </c>
      <c r="O88" s="9">
        <f ca="1">O86/Valuation!$C$3</f>
        <v>2.140676069690339E-2</v>
      </c>
      <c r="P88" s="9">
        <f ca="1">P86/Valuation!$C$3</f>
        <v>2.4553123850855181E-2</v>
      </c>
      <c r="Q88" s="9">
        <f ca="1">Q86/Valuation!$C$3</f>
        <v>3.9150464952344283E-2</v>
      </c>
      <c r="R88" s="9">
        <f ca="1">R86/Valuation!$C$3</f>
        <v>4.7865722822608633E-2</v>
      </c>
    </row>
    <row r="89" spans="1:21" s="6" customFormat="1">
      <c r="A89" s="4"/>
      <c r="B89" s="16"/>
      <c r="C89" s="16"/>
      <c r="D89" s="16"/>
      <c r="E89" s="16"/>
      <c r="F89" s="9"/>
      <c r="G89" s="9"/>
      <c r="H89" s="9"/>
      <c r="I89" s="9">
        <f>I84/H84-1</f>
        <v>-0.34415727855091671</v>
      </c>
      <c r="J89" s="9">
        <f>J84/I84-1</f>
        <v>1.5671943415291345</v>
      </c>
      <c r="K89" s="9">
        <f>K84/J84-1</f>
        <v>4.4607714510627172E-3</v>
      </c>
      <c r="L89" s="9">
        <f>L84/K84-1</f>
        <v>0.24150992685475448</v>
      </c>
      <c r="M89" s="9"/>
      <c r="N89" s="9"/>
      <c r="O89" s="9"/>
      <c r="P89" s="9"/>
      <c r="Q89" s="9"/>
      <c r="R89" s="9"/>
    </row>
    <row r="90" spans="1:21" s="6" customFormat="1">
      <c r="A90" s="4"/>
      <c r="B90" s="13"/>
      <c r="C90" s="13"/>
      <c r="D90" s="13"/>
      <c r="E90" s="13"/>
      <c r="F90" s="13"/>
      <c r="G90" s="13"/>
      <c r="H90" s="13"/>
      <c r="I90" s="13"/>
      <c r="J90" s="13"/>
      <c r="K90" s="13"/>
      <c r="L90" s="13"/>
      <c r="M90" s="13"/>
      <c r="N90" s="13"/>
      <c r="O90" s="13"/>
      <c r="P90" s="13"/>
      <c r="Q90" s="13"/>
      <c r="R90" s="13"/>
    </row>
    <row r="91" spans="1:21">
      <c r="B91" s="13"/>
      <c r="C91" s="13"/>
      <c r="D91" s="13"/>
      <c r="E91" s="13"/>
      <c r="F91" s="13"/>
      <c r="G91" s="13"/>
      <c r="H91" s="13"/>
      <c r="I91" s="13"/>
      <c r="J91" s="13"/>
      <c r="K91" s="13"/>
      <c r="L91" s="13"/>
      <c r="M91" s="13"/>
      <c r="N91" s="13"/>
      <c r="O91" s="13"/>
      <c r="P91" s="13"/>
      <c r="Q91" s="13"/>
      <c r="R91" s="13"/>
    </row>
    <row r="92" spans="1:21">
      <c r="A92" s="4" t="s">
        <v>193</v>
      </c>
      <c r="B92" s="13"/>
      <c r="C92" s="13"/>
      <c r="D92" s="13"/>
      <c r="E92" s="13"/>
      <c r="F92" s="13" t="e">
        <f>'P&amp;L consol'!#REF!</f>
        <v>#REF!</v>
      </c>
      <c r="G92" s="13">
        <f>'P&amp;L consol'!BE66</f>
        <v>2801</v>
      </c>
      <c r="H92" s="13">
        <f>'P&amp;L consol'!BF66</f>
        <v>4090</v>
      </c>
      <c r="I92" s="13">
        <f>'P&amp;L consol'!BG66</f>
        <v>4511</v>
      </c>
      <c r="J92" s="13">
        <f>'P&amp;L consol'!BH66</f>
        <v>4735</v>
      </c>
      <c r="K92" s="13">
        <f>'P&amp;L consol'!BI66</f>
        <v>6617</v>
      </c>
      <c r="L92" s="13">
        <v>6938</v>
      </c>
      <c r="M92" s="13">
        <f>'P&amp;L consol'!BK66</f>
        <v>8486.2999999999993</v>
      </c>
      <c r="N92" s="13">
        <f>'P&amp;L consol'!BL66</f>
        <v>8121</v>
      </c>
      <c r="O92" s="13">
        <f>'P&amp;L consol'!BM66</f>
        <v>13746</v>
      </c>
      <c r="P92" s="13">
        <f>'P&amp;L consol'!BN66</f>
        <v>24981.541089296526</v>
      </c>
      <c r="Q92" s="13">
        <f>'P&amp;L consol'!BO66</f>
        <v>31062.027725218399</v>
      </c>
      <c r="R92" s="13">
        <f>'P&amp;L consol'!BP66</f>
        <v>36183.18815100161</v>
      </c>
    </row>
    <row r="93" spans="1:21">
      <c r="A93" s="4" t="s">
        <v>72</v>
      </c>
      <c r="B93" s="13"/>
      <c r="C93" s="13"/>
      <c r="D93" s="13"/>
      <c r="E93" s="13"/>
      <c r="F93" s="13" t="e">
        <f>'P&amp;L consol'!#REF!</f>
        <v>#REF!</v>
      </c>
      <c r="G93" s="13">
        <f>'P&amp;L consol'!BE29</f>
        <v>5012</v>
      </c>
      <c r="H93" s="13">
        <f>'P&amp;L consol'!BF29</f>
        <v>6452</v>
      </c>
      <c r="I93" s="13">
        <f>'P&amp;L consol'!BG29</f>
        <v>7197</v>
      </c>
      <c r="J93" s="13">
        <f>'P&amp;L consol'!BH29</f>
        <v>7864</v>
      </c>
      <c r="K93" s="13">
        <f>'P&amp;L consol'!BI29</f>
        <v>11154</v>
      </c>
      <c r="L93" s="13">
        <v>14649</v>
      </c>
      <c r="M93" s="13">
        <f>'P&amp;L consol'!BK29</f>
        <v>15168</v>
      </c>
      <c r="N93" s="13">
        <f>'P&amp;L consol'!BL29</f>
        <v>17218</v>
      </c>
      <c r="O93" s="13">
        <f>'P&amp;L consol'!BM29</f>
        <v>30464</v>
      </c>
      <c r="P93" s="13">
        <f>'P&amp;L consol'!BN29</f>
        <v>51056.025862440059</v>
      </c>
      <c r="Q93" s="13">
        <f>'P&amp;L consol'!BO29</f>
        <v>60909.652966883354</v>
      </c>
      <c r="R93" s="13">
        <f>'P&amp;L consol'!BP29</f>
        <v>69527.699431144458</v>
      </c>
    </row>
    <row r="94" spans="1:21">
      <c r="B94" s="13"/>
      <c r="C94" s="13"/>
      <c r="D94" s="13"/>
      <c r="E94" s="13"/>
      <c r="F94" s="13"/>
      <c r="G94" s="13"/>
      <c r="H94" s="13"/>
      <c r="I94" s="13"/>
      <c r="J94" s="13"/>
      <c r="K94" s="13"/>
      <c r="L94" s="13"/>
      <c r="M94" s="13"/>
      <c r="N94" s="13"/>
      <c r="O94" s="13"/>
      <c r="P94" s="13"/>
      <c r="Q94" s="13"/>
      <c r="R94" s="13"/>
    </row>
    <row r="95" spans="1:21">
      <c r="B95" s="13"/>
      <c r="C95" s="13"/>
      <c r="D95" s="13"/>
      <c r="E95" s="13"/>
      <c r="F95" s="13"/>
      <c r="G95" s="13"/>
      <c r="H95" s="13"/>
      <c r="I95" s="13"/>
      <c r="J95" s="13"/>
      <c r="K95" s="13"/>
      <c r="L95" s="13"/>
      <c r="M95" s="13"/>
      <c r="N95" s="13"/>
      <c r="O95" s="13"/>
      <c r="P95" s="13"/>
      <c r="Q95" s="13"/>
      <c r="R95" s="13"/>
    </row>
    <row r="96" spans="1:21">
      <c r="A96" s="4" t="s">
        <v>587</v>
      </c>
      <c r="B96" s="13"/>
      <c r="C96" s="13"/>
      <c r="D96" s="13"/>
      <c r="E96" s="13"/>
      <c r="F96" s="16" t="e">
        <f>F84/F92</f>
        <v>#REF!</v>
      </c>
      <c r="G96" s="16">
        <f>G84/G92</f>
        <v>1.3648696893966441</v>
      </c>
      <c r="H96" s="16">
        <f t="shared" ref="H96:M96" si="41">H84/H92</f>
        <v>1.1068459657701712</v>
      </c>
      <c r="I96" s="16">
        <f t="shared" si="41"/>
        <v>0.65816892041675901</v>
      </c>
      <c r="J96" s="16">
        <f t="shared" si="41"/>
        <v>1.609714889123548</v>
      </c>
      <c r="K96" s="16">
        <f t="shared" si="41"/>
        <v>1.1570197974913103</v>
      </c>
      <c r="L96" s="16">
        <f t="shared" si="41"/>
        <v>1.3699913519746325</v>
      </c>
      <c r="M96" s="16">
        <f t="shared" si="41"/>
        <v>1.0645393163098171</v>
      </c>
      <c r="N96" s="16">
        <f t="shared" ref="N96:O96" si="42">N84/N92</f>
        <v>1.5233345647087797</v>
      </c>
      <c r="O96" s="16">
        <f t="shared" si="42"/>
        <v>1.3034337261748872</v>
      </c>
      <c r="P96" s="16">
        <f t="shared" ref="P96" si="43">P84/P92</f>
        <v>1.193971536392368</v>
      </c>
      <c r="Q96" s="16">
        <f t="shared" ref="Q96:R96" si="44">Q84/Q92</f>
        <v>1.3597591563332421</v>
      </c>
      <c r="R96" s="16">
        <f t="shared" si="44"/>
        <v>1.3502082796738812</v>
      </c>
    </row>
    <row r="97" spans="1:18">
      <c r="A97" s="4" t="s">
        <v>294</v>
      </c>
      <c r="B97" s="13"/>
      <c r="C97" s="13"/>
      <c r="D97" s="13"/>
      <c r="E97" s="13"/>
      <c r="F97" s="16" t="e">
        <f>F84/F93</f>
        <v>#REF!</v>
      </c>
      <c r="G97" s="16">
        <f>G84/G93</f>
        <v>0.76276935355147646</v>
      </c>
      <c r="H97" s="16">
        <f t="shared" ref="H97:M97" si="45">H84/H93</f>
        <v>0.70164290142591446</v>
      </c>
      <c r="I97" s="16">
        <f t="shared" si="45"/>
        <v>0.41253299986105324</v>
      </c>
      <c r="J97" s="16">
        <f t="shared" si="45"/>
        <v>0.96922685656154628</v>
      </c>
      <c r="K97" s="16">
        <f t="shared" si="45"/>
        <v>0.68639053254437865</v>
      </c>
      <c r="L97" s="16">
        <f t="shared" si="45"/>
        <v>0.64884975083623453</v>
      </c>
      <c r="M97" s="16">
        <f t="shared" si="45"/>
        <v>0.59559599156118148</v>
      </c>
      <c r="N97" s="16">
        <f t="shared" ref="N97:O97" si="46">N84/N93</f>
        <v>0.71849227552561268</v>
      </c>
      <c r="O97" s="16">
        <f t="shared" si="46"/>
        <v>0.58813681722689071</v>
      </c>
      <c r="P97" s="224">
        <f t="shared" ref="P97" si="47">P84/P93</f>
        <v>0.58420624190766079</v>
      </c>
      <c r="Q97" s="224">
        <f t="shared" ref="Q97:R97" si="48">Q84/Q93</f>
        <v>0.69343485894767753</v>
      </c>
      <c r="R97" s="224">
        <f t="shared" si="48"/>
        <v>0.70266729125508876</v>
      </c>
    </row>
    <row r="98" spans="1:18">
      <c r="B98" s="13"/>
      <c r="C98" s="13"/>
      <c r="D98" s="13"/>
      <c r="E98" s="13"/>
      <c r="F98" s="13"/>
      <c r="G98" s="13"/>
      <c r="H98" s="13"/>
      <c r="I98" s="13"/>
      <c r="J98" s="13"/>
      <c r="K98" s="13"/>
      <c r="L98" s="13"/>
      <c r="M98" s="13"/>
      <c r="N98" s="13"/>
      <c r="O98" s="13"/>
      <c r="P98" s="13"/>
      <c r="Q98" s="13"/>
      <c r="R98" s="13"/>
    </row>
    <row r="99" spans="1:18">
      <c r="A99" s="4" t="s">
        <v>588</v>
      </c>
      <c r="B99" s="13"/>
      <c r="C99" s="13"/>
      <c r="D99" s="13"/>
      <c r="E99" s="13"/>
      <c r="F99" s="16" t="e">
        <f>F85/F92</f>
        <v>#REF!</v>
      </c>
      <c r="G99" s="16">
        <f>G85/G92</f>
        <v>1.0478400571224562</v>
      </c>
      <c r="H99" s="16">
        <f t="shared" ref="H99:M99" si="49">H85/H92</f>
        <v>0.93496332518337411</v>
      </c>
      <c r="I99" s="16">
        <f t="shared" si="49"/>
        <v>0.49745067612502769</v>
      </c>
      <c r="J99" s="16">
        <f t="shared" si="49"/>
        <v>1.4445617740232313</v>
      </c>
      <c r="K99" s="16">
        <f t="shared" si="49"/>
        <v>0.92413480429197525</v>
      </c>
      <c r="L99" s="16">
        <f t="shared" si="49"/>
        <v>1.1419717497837993</v>
      </c>
      <c r="M99" s="16">
        <f t="shared" si="49"/>
        <v>0.75168212295110948</v>
      </c>
      <c r="N99" s="16">
        <f t="shared" ref="N99:O99" si="50">N85/N92</f>
        <v>0.76677749045684029</v>
      </c>
      <c r="O99" s="16">
        <f t="shared" si="50"/>
        <v>0.76327658955332456</v>
      </c>
      <c r="P99" s="16">
        <f t="shared" ref="P99" si="51">P85/P92</f>
        <v>0.63355775127170655</v>
      </c>
      <c r="Q99" s="16">
        <f t="shared" ref="Q99:R99" si="52">Q85/Q92</f>
        <v>0.8124671330826746</v>
      </c>
      <c r="R99" s="16">
        <f t="shared" si="52"/>
        <v>0.85273967837536002</v>
      </c>
    </row>
    <row r="100" spans="1:18">
      <c r="A100" s="4" t="s">
        <v>296</v>
      </c>
      <c r="B100" s="13"/>
      <c r="C100" s="13"/>
      <c r="D100" s="13"/>
      <c r="E100" s="13"/>
      <c r="F100" s="16" t="e">
        <f t="shared" ref="F100:M100" si="53">F85/F93</f>
        <v>#REF!</v>
      </c>
      <c r="G100" s="16">
        <f t="shared" si="53"/>
        <v>0.58559457302474061</v>
      </c>
      <c r="H100" s="16">
        <f t="shared" si="53"/>
        <v>0.59268443893366396</v>
      </c>
      <c r="I100" s="16">
        <f t="shared" si="53"/>
        <v>0.31179658190912879</v>
      </c>
      <c r="J100" s="16">
        <f t="shared" si="53"/>
        <v>0.86978636826042721</v>
      </c>
      <c r="K100" s="16">
        <f t="shared" si="53"/>
        <v>0.54823381746458666</v>
      </c>
      <c r="L100" s="16">
        <f t="shared" si="53"/>
        <v>0.54085603112840464</v>
      </c>
      <c r="M100" s="16">
        <f t="shared" si="53"/>
        <v>0.42055643459915609</v>
      </c>
      <c r="N100" s="16">
        <f t="shared" ref="N100:O100" si="54">N85/N93</f>
        <v>0.3616564060866535</v>
      </c>
      <c r="O100" s="16">
        <f t="shared" si="54"/>
        <v>0.34440651260504201</v>
      </c>
      <c r="P100" s="16">
        <f t="shared" ref="P100" si="55">P85/P93</f>
        <v>0.3099976688056314</v>
      </c>
      <c r="Q100" s="16">
        <f t="shared" ref="Q100:R100" si="56">Q85/Q93</f>
        <v>0.41433295683631727</v>
      </c>
      <c r="R100" s="16">
        <f t="shared" si="56"/>
        <v>0.44377766672744295</v>
      </c>
    </row>
    <row r="102" spans="1:18">
      <c r="A102" s="4" t="s">
        <v>589</v>
      </c>
      <c r="B102" s="13"/>
      <c r="C102" s="13"/>
      <c r="D102" s="13"/>
      <c r="E102" s="9"/>
      <c r="F102" s="9"/>
      <c r="G102" s="9"/>
      <c r="H102" s="9"/>
      <c r="I102" s="9"/>
      <c r="J102" s="9"/>
      <c r="K102" s="9"/>
      <c r="L102" s="9"/>
      <c r="M102" s="9"/>
      <c r="N102" s="9"/>
      <c r="O102" s="9"/>
      <c r="P102" s="9"/>
      <c r="Q102" s="9"/>
      <c r="R102" s="9"/>
    </row>
    <row r="103" spans="1:18">
      <c r="B103" s="13"/>
      <c r="C103" s="13"/>
      <c r="D103" s="13"/>
      <c r="E103" s="13"/>
      <c r="F103" s="13"/>
      <c r="G103" s="13"/>
      <c r="H103" s="13"/>
      <c r="I103" s="13"/>
      <c r="J103" s="13"/>
      <c r="K103" s="13"/>
      <c r="L103" s="13"/>
      <c r="M103" s="13"/>
      <c r="N103" s="13"/>
      <c r="O103" s="13"/>
    </row>
    <row r="104" spans="1:18">
      <c r="A104" s="300" t="s">
        <v>590</v>
      </c>
      <c r="B104" s="13"/>
      <c r="C104" s="13"/>
      <c r="D104" s="13"/>
      <c r="E104" s="13"/>
      <c r="F104" s="13"/>
      <c r="G104" s="13"/>
      <c r="H104" s="13"/>
      <c r="I104" s="13"/>
      <c r="J104" s="13"/>
      <c r="K104" s="13"/>
      <c r="L104" s="13"/>
      <c r="M104" s="13"/>
      <c r="N104" s="13"/>
      <c r="O104" s="13"/>
    </row>
    <row r="105" spans="1:18">
      <c r="A105" s="301" t="s">
        <v>517</v>
      </c>
      <c r="B105" s="13"/>
      <c r="C105" s="13"/>
      <c r="D105" s="13"/>
      <c r="E105" s="13"/>
      <c r="F105" s="13"/>
      <c r="G105" s="13"/>
      <c r="H105" s="13"/>
      <c r="I105" s="13"/>
      <c r="J105" s="13"/>
      <c r="K105" s="13"/>
      <c r="L105" s="13"/>
      <c r="M105" s="13"/>
      <c r="N105" s="13"/>
      <c r="O105" s="13"/>
    </row>
    <row r="106" spans="1:18">
      <c r="A106" s="301" t="s">
        <v>591</v>
      </c>
      <c r="B106" s="13"/>
      <c r="C106" s="13"/>
      <c r="D106" s="13"/>
      <c r="E106" s="13"/>
      <c r="F106" s="13"/>
      <c r="G106" s="13"/>
      <c r="H106" s="13"/>
      <c r="I106" s="13"/>
      <c r="J106" s="13"/>
      <c r="K106" s="13"/>
      <c r="L106" s="13"/>
      <c r="M106" s="13"/>
      <c r="N106" s="13"/>
      <c r="O106" s="13"/>
    </row>
    <row r="107" spans="1:18">
      <c r="A107" s="301" t="s">
        <v>592</v>
      </c>
      <c r="B107" s="13"/>
      <c r="C107" s="13"/>
      <c r="D107" s="13"/>
      <c r="E107" s="13"/>
      <c r="F107" s="13"/>
      <c r="G107" s="13"/>
      <c r="H107" s="13"/>
      <c r="I107" s="13"/>
      <c r="J107" s="13"/>
      <c r="K107" s="13"/>
      <c r="L107" s="13"/>
      <c r="M107" s="13"/>
      <c r="N107" s="13"/>
      <c r="O107" s="13"/>
    </row>
    <row r="108" spans="1:18">
      <c r="A108" s="301" t="s">
        <v>593</v>
      </c>
      <c r="B108" s="13"/>
      <c r="C108" s="13"/>
      <c r="D108" s="13"/>
      <c r="E108" s="13"/>
      <c r="F108" s="13"/>
      <c r="G108" s="13"/>
      <c r="H108" s="13"/>
      <c r="I108" s="13"/>
      <c r="J108" s="13"/>
      <c r="K108" s="13"/>
      <c r="L108" s="13"/>
      <c r="M108" s="13"/>
      <c r="N108" s="13"/>
      <c r="O108" s="13"/>
    </row>
    <row r="109" spans="1:18">
      <c r="A109" s="302" t="s">
        <v>594</v>
      </c>
      <c r="B109" s="13"/>
      <c r="C109" s="13"/>
      <c r="D109" s="13"/>
      <c r="E109" s="13"/>
      <c r="F109" s="13"/>
      <c r="G109" s="303">
        <f>G105+G106+G107+G108</f>
        <v>0</v>
      </c>
      <c r="H109" s="303">
        <f t="shared" ref="H109:M109" si="57">H105+H106+H107+H108</f>
        <v>0</v>
      </c>
      <c r="I109" s="303">
        <f t="shared" si="57"/>
        <v>0</v>
      </c>
      <c r="J109" s="303">
        <f t="shared" si="57"/>
        <v>0</v>
      </c>
      <c r="K109" s="303">
        <f t="shared" si="57"/>
        <v>0</v>
      </c>
      <c r="L109" s="303">
        <f t="shared" si="57"/>
        <v>0</v>
      </c>
      <c r="M109" s="303">
        <f t="shared" si="57"/>
        <v>0</v>
      </c>
      <c r="N109" s="303">
        <f t="shared" ref="N109:O109" si="58">N105+N106+N107+N108</f>
        <v>0</v>
      </c>
      <c r="O109" s="303">
        <f t="shared" si="58"/>
        <v>0</v>
      </c>
      <c r="P109" s="446"/>
      <c r="Q109" s="446"/>
      <c r="R109" s="446"/>
    </row>
    <row r="110" spans="1:18">
      <c r="A110" s="302" t="s">
        <v>595</v>
      </c>
      <c r="B110" s="13"/>
      <c r="C110" s="13"/>
      <c r="D110" s="13"/>
      <c r="E110" s="13"/>
      <c r="F110" s="13"/>
      <c r="G110" s="303">
        <f>G105+G106</f>
        <v>0</v>
      </c>
      <c r="H110" s="303">
        <f t="shared" ref="H110:M110" si="59">H105+H106</f>
        <v>0</v>
      </c>
      <c r="I110" s="303">
        <f t="shared" si="59"/>
        <v>0</v>
      </c>
      <c r="J110" s="303">
        <f t="shared" si="59"/>
        <v>0</v>
      </c>
      <c r="K110" s="303">
        <f t="shared" si="59"/>
        <v>0</v>
      </c>
      <c r="L110" s="303">
        <f t="shared" si="59"/>
        <v>0</v>
      </c>
      <c r="M110" s="303">
        <f t="shared" si="59"/>
        <v>0</v>
      </c>
      <c r="N110" s="303">
        <f t="shared" ref="N110:O110" si="60">N105+N106</f>
        <v>0</v>
      </c>
      <c r="O110" s="303">
        <f t="shared" si="60"/>
        <v>0</v>
      </c>
      <c r="P110" s="446"/>
      <c r="Q110" s="446"/>
      <c r="R110" s="446"/>
    </row>
    <row r="111" spans="1:18">
      <c r="A111" s="301" t="s">
        <v>596</v>
      </c>
      <c r="B111" s="13"/>
      <c r="C111" s="13"/>
      <c r="D111" s="13"/>
      <c r="E111" s="13"/>
      <c r="F111" s="13"/>
      <c r="G111" s="13"/>
      <c r="H111" s="13"/>
      <c r="I111" s="13"/>
      <c r="J111" s="13"/>
      <c r="K111" s="13"/>
      <c r="L111" s="13"/>
      <c r="M111" s="13"/>
      <c r="N111" s="13"/>
      <c r="O111" s="13"/>
    </row>
    <row r="112" spans="1:18">
      <c r="A112" s="301" t="s">
        <v>597</v>
      </c>
      <c r="B112" s="13"/>
      <c r="C112" s="13"/>
      <c r="D112" s="13"/>
      <c r="E112" s="13"/>
      <c r="F112" s="13"/>
      <c r="G112" s="13"/>
      <c r="H112" s="13"/>
      <c r="I112" s="13"/>
      <c r="J112" s="13"/>
      <c r="K112" s="13"/>
      <c r="L112" s="13"/>
      <c r="M112" s="13"/>
      <c r="N112" s="13"/>
      <c r="O112" s="13"/>
    </row>
    <row r="113" spans="2:15">
      <c r="B113" s="13"/>
      <c r="C113" s="13"/>
      <c r="D113" s="13"/>
      <c r="E113" s="13"/>
      <c r="F113" s="13"/>
      <c r="G113" s="13"/>
      <c r="H113" s="13"/>
      <c r="I113" s="13"/>
      <c r="J113" s="13"/>
      <c r="K113" s="13"/>
      <c r="L113" s="13"/>
      <c r="M113" s="13"/>
      <c r="N113" s="13"/>
      <c r="O113" s="13"/>
    </row>
    <row r="114" spans="2:15">
      <c r="B114" s="13"/>
      <c r="C114" s="13"/>
      <c r="D114" s="13"/>
      <c r="E114" s="13"/>
      <c r="F114" s="13"/>
      <c r="G114" s="13"/>
      <c r="H114" s="13"/>
      <c r="I114" s="13"/>
      <c r="J114" s="13"/>
      <c r="K114" s="13"/>
      <c r="L114" s="13"/>
      <c r="M114" s="13"/>
      <c r="N114" s="13"/>
      <c r="O114" s="13"/>
    </row>
    <row r="115" spans="2:15">
      <c r="B115" s="13"/>
      <c r="C115" s="13"/>
      <c r="D115" s="13"/>
      <c r="E115" s="13"/>
      <c r="F115" s="13"/>
      <c r="G115" s="13"/>
      <c r="H115" s="13"/>
      <c r="I115" s="13"/>
      <c r="J115" s="13"/>
      <c r="K115" s="13"/>
      <c r="L115" s="13"/>
      <c r="M115" s="13"/>
      <c r="N115" s="13"/>
      <c r="O115" s="13"/>
    </row>
    <row r="116" spans="2:15">
      <c r="B116" s="13"/>
      <c r="C116" s="13"/>
      <c r="D116" s="13"/>
      <c r="E116" s="13"/>
      <c r="F116" s="13"/>
      <c r="G116" s="13"/>
      <c r="H116" s="13"/>
      <c r="I116" s="13"/>
      <c r="J116" s="13"/>
      <c r="K116" s="13"/>
      <c r="L116" s="13"/>
      <c r="M116" s="13"/>
      <c r="N116" s="13"/>
      <c r="O116" s="13"/>
    </row>
    <row r="117" spans="2:15">
      <c r="B117" s="13"/>
      <c r="C117" s="13"/>
      <c r="D117" s="13"/>
      <c r="E117" s="13"/>
      <c r="F117" s="13"/>
      <c r="G117" s="13"/>
      <c r="H117" s="13"/>
      <c r="I117" s="13"/>
      <c r="J117" s="13"/>
      <c r="K117" s="13"/>
      <c r="L117" s="13"/>
      <c r="M117" s="13"/>
      <c r="N117" s="13"/>
      <c r="O117" s="13"/>
    </row>
    <row r="118" spans="2:15">
      <c r="B118" s="13"/>
      <c r="C118" s="13"/>
      <c r="D118" s="13"/>
      <c r="E118" s="13"/>
      <c r="F118" s="13"/>
      <c r="G118" s="13"/>
      <c r="H118" s="13"/>
      <c r="I118" s="13"/>
      <c r="J118" s="13"/>
      <c r="K118" s="13"/>
      <c r="L118" s="13"/>
      <c r="M118" s="13"/>
      <c r="N118" s="13"/>
      <c r="O118" s="13"/>
    </row>
    <row r="119" spans="2:15">
      <c r="B119" s="13"/>
      <c r="C119" s="13"/>
      <c r="D119" s="13"/>
      <c r="E119" s="13"/>
      <c r="F119" s="13"/>
      <c r="G119" s="13"/>
      <c r="H119" s="13"/>
      <c r="I119" s="13"/>
      <c r="J119" s="13"/>
      <c r="K119" s="13"/>
      <c r="L119" s="13"/>
      <c r="M119" s="13"/>
      <c r="N119" s="13"/>
      <c r="O119" s="13"/>
    </row>
    <row r="120" spans="2:15">
      <c r="B120" s="13"/>
      <c r="C120" s="13"/>
      <c r="D120" s="13"/>
      <c r="E120" s="13"/>
      <c r="F120" s="13"/>
      <c r="G120" s="13"/>
      <c r="H120" s="13"/>
      <c r="I120" s="13"/>
      <c r="J120" s="13"/>
      <c r="K120" s="13"/>
      <c r="L120" s="13"/>
      <c r="M120" s="13"/>
      <c r="N120" s="13"/>
      <c r="O120" s="13"/>
    </row>
    <row r="121" spans="2:15">
      <c r="B121" s="13"/>
      <c r="C121" s="13"/>
      <c r="D121" s="13"/>
      <c r="E121" s="13"/>
      <c r="F121" s="13"/>
      <c r="G121" s="13"/>
      <c r="H121" s="13"/>
      <c r="I121" s="13"/>
      <c r="J121" s="13"/>
      <c r="K121" s="13"/>
      <c r="L121" s="13"/>
      <c r="M121" s="13"/>
      <c r="N121" s="13"/>
      <c r="O121" s="13"/>
    </row>
    <row r="122" spans="2:15">
      <c r="B122" s="13"/>
      <c r="C122" s="13"/>
      <c r="D122" s="13"/>
      <c r="E122" s="13"/>
      <c r="F122" s="13"/>
      <c r="G122" s="13"/>
      <c r="H122" s="13"/>
      <c r="I122" s="13"/>
      <c r="J122" s="13"/>
      <c r="K122" s="13"/>
      <c r="L122" s="13"/>
      <c r="M122" s="13"/>
      <c r="N122" s="13"/>
      <c r="O122" s="13"/>
    </row>
    <row r="123" spans="2:15">
      <c r="B123" s="13"/>
      <c r="C123" s="13"/>
      <c r="D123" s="13"/>
      <c r="E123" s="13"/>
      <c r="F123" s="13"/>
      <c r="G123" s="13"/>
      <c r="H123" s="13"/>
      <c r="I123" s="13"/>
      <c r="J123" s="13"/>
      <c r="K123" s="13"/>
      <c r="L123" s="13"/>
      <c r="M123" s="13"/>
      <c r="N123" s="13"/>
      <c r="O123" s="13"/>
    </row>
    <row r="124" spans="2:15">
      <c r="B124" s="13"/>
      <c r="C124" s="13"/>
      <c r="D124" s="13"/>
      <c r="E124" s="13"/>
      <c r="F124" s="13"/>
      <c r="G124" s="13"/>
      <c r="H124" s="13"/>
      <c r="I124" s="13"/>
      <c r="J124" s="13"/>
      <c r="K124" s="13"/>
      <c r="L124" s="13"/>
      <c r="M124" s="13"/>
      <c r="N124" s="13"/>
      <c r="O124" s="13"/>
    </row>
    <row r="125" spans="2:15">
      <c r="B125" s="13"/>
      <c r="C125" s="13"/>
      <c r="D125" s="13"/>
      <c r="E125" s="13"/>
      <c r="F125" s="13"/>
      <c r="G125" s="13"/>
      <c r="H125" s="13"/>
      <c r="I125" s="13"/>
      <c r="J125" s="13"/>
      <c r="K125" s="13"/>
      <c r="L125" s="13"/>
      <c r="M125" s="13"/>
      <c r="N125" s="13"/>
      <c r="O125" s="13"/>
    </row>
    <row r="126" spans="2:15">
      <c r="B126" s="13"/>
      <c r="C126" s="13"/>
      <c r="D126" s="13"/>
      <c r="E126" s="13"/>
      <c r="F126" s="13"/>
      <c r="G126" s="13"/>
      <c r="H126" s="13"/>
      <c r="I126" s="13"/>
      <c r="J126" s="13"/>
      <c r="K126" s="13"/>
      <c r="L126" s="13"/>
      <c r="M126" s="13"/>
      <c r="N126" s="13"/>
      <c r="O126" s="13"/>
    </row>
    <row r="127" spans="2:15">
      <c r="B127" s="13"/>
      <c r="C127" s="13"/>
      <c r="D127" s="13"/>
      <c r="E127" s="13"/>
      <c r="F127" s="13"/>
      <c r="G127" s="13"/>
      <c r="H127" s="13"/>
      <c r="I127" s="13"/>
      <c r="J127" s="13"/>
      <c r="K127" s="13"/>
      <c r="L127" s="13"/>
      <c r="M127" s="13"/>
      <c r="N127" s="13"/>
      <c r="O127" s="13"/>
    </row>
    <row r="128" spans="2:15">
      <c r="B128" s="13"/>
      <c r="C128" s="13"/>
      <c r="D128" s="13"/>
      <c r="E128" s="13"/>
      <c r="F128" s="13"/>
      <c r="G128" s="13"/>
      <c r="H128" s="13"/>
      <c r="I128" s="13"/>
      <c r="J128" s="13"/>
      <c r="K128" s="13"/>
      <c r="L128" s="13"/>
      <c r="M128" s="13"/>
      <c r="N128" s="13"/>
      <c r="O128" s="13"/>
    </row>
    <row r="129" spans="2:15">
      <c r="B129" s="13"/>
      <c r="C129" s="13"/>
      <c r="D129" s="13"/>
      <c r="E129" s="13"/>
      <c r="F129" s="13"/>
      <c r="G129" s="13"/>
      <c r="H129" s="13"/>
      <c r="I129" s="13"/>
      <c r="J129" s="13"/>
      <c r="K129" s="13"/>
      <c r="L129" s="13"/>
      <c r="M129" s="13"/>
      <c r="N129" s="13"/>
      <c r="O129" s="13"/>
    </row>
    <row r="130" spans="2:15">
      <c r="B130" s="13"/>
      <c r="C130" s="13"/>
      <c r="D130" s="13"/>
      <c r="E130" s="13"/>
      <c r="F130" s="13"/>
      <c r="G130" s="13"/>
      <c r="H130" s="13"/>
      <c r="I130" s="13"/>
      <c r="J130" s="13"/>
      <c r="K130" s="13"/>
      <c r="L130" s="13"/>
      <c r="M130" s="13"/>
      <c r="N130" s="13"/>
      <c r="O130" s="13"/>
    </row>
    <row r="131" spans="2:15">
      <c r="B131" s="13"/>
      <c r="C131" s="13"/>
      <c r="D131" s="13"/>
      <c r="E131" s="13"/>
      <c r="F131" s="13"/>
      <c r="G131" s="13"/>
      <c r="H131" s="13"/>
      <c r="I131" s="13"/>
      <c r="J131" s="13"/>
      <c r="K131" s="13"/>
      <c r="L131" s="13"/>
      <c r="M131" s="13"/>
      <c r="N131" s="13"/>
      <c r="O131" s="13"/>
    </row>
    <row r="132" spans="2:15">
      <c r="B132" s="13"/>
      <c r="C132" s="13"/>
      <c r="D132" s="13"/>
      <c r="E132" s="13"/>
      <c r="F132" s="13"/>
      <c r="G132" s="13"/>
      <c r="H132" s="13"/>
      <c r="I132" s="13"/>
      <c r="J132" s="13"/>
      <c r="K132" s="13"/>
      <c r="L132" s="13"/>
      <c r="M132" s="13"/>
      <c r="N132" s="13"/>
      <c r="O132" s="13"/>
    </row>
    <row r="133" spans="2:15">
      <c r="B133" s="13"/>
      <c r="C133" s="13"/>
      <c r="D133" s="13"/>
      <c r="E133" s="13"/>
      <c r="F133" s="13"/>
      <c r="G133" s="13"/>
      <c r="H133" s="13"/>
      <c r="I133" s="13"/>
      <c r="J133" s="13"/>
      <c r="K133" s="13"/>
      <c r="L133" s="13"/>
      <c r="M133" s="13"/>
      <c r="N133" s="13"/>
      <c r="O133" s="13"/>
    </row>
    <row r="134" spans="2:15">
      <c r="B134" s="13"/>
      <c r="C134" s="13"/>
      <c r="D134" s="13"/>
      <c r="E134" s="13"/>
      <c r="F134" s="13"/>
      <c r="G134" s="13"/>
      <c r="H134" s="13"/>
      <c r="I134" s="13"/>
      <c r="J134" s="13"/>
      <c r="K134" s="13"/>
      <c r="L134" s="13"/>
      <c r="M134" s="13"/>
      <c r="N134" s="13"/>
      <c r="O134" s="13"/>
    </row>
    <row r="135" spans="2:15">
      <c r="B135" s="13"/>
      <c r="C135" s="13"/>
      <c r="D135" s="13"/>
      <c r="E135" s="13"/>
      <c r="F135" s="13"/>
      <c r="G135" s="13"/>
      <c r="H135" s="13"/>
      <c r="I135" s="13"/>
      <c r="J135" s="13"/>
      <c r="K135" s="13"/>
      <c r="L135" s="13"/>
      <c r="M135" s="13"/>
      <c r="N135" s="13"/>
      <c r="O135" s="13"/>
    </row>
    <row r="136" spans="2:15">
      <c r="B136" s="13"/>
      <c r="C136" s="13"/>
      <c r="D136" s="13"/>
      <c r="E136" s="13"/>
      <c r="F136" s="13"/>
      <c r="G136" s="13"/>
      <c r="H136" s="13"/>
      <c r="I136" s="13"/>
      <c r="J136" s="13"/>
      <c r="K136" s="13"/>
      <c r="L136" s="13"/>
      <c r="M136" s="13"/>
      <c r="N136" s="13"/>
      <c r="O136" s="13"/>
    </row>
    <row r="137" spans="2:15">
      <c r="B137" s="13"/>
      <c r="C137" s="13"/>
      <c r="D137" s="13"/>
      <c r="E137" s="13"/>
      <c r="F137" s="13"/>
      <c r="G137" s="13"/>
      <c r="H137" s="13"/>
      <c r="I137" s="13"/>
      <c r="J137" s="13"/>
      <c r="K137" s="13"/>
      <c r="L137" s="13"/>
      <c r="M137" s="13"/>
      <c r="N137" s="13"/>
      <c r="O137" s="13"/>
    </row>
    <row r="138" spans="2:15">
      <c r="B138" s="13"/>
      <c r="C138" s="13"/>
      <c r="D138" s="13"/>
      <c r="E138" s="13"/>
      <c r="F138" s="13"/>
      <c r="G138" s="13"/>
      <c r="H138" s="13"/>
      <c r="I138" s="13"/>
      <c r="J138" s="13"/>
      <c r="K138" s="13"/>
      <c r="L138" s="13"/>
      <c r="M138" s="13"/>
      <c r="N138" s="13"/>
      <c r="O138" s="13"/>
    </row>
    <row r="139" spans="2:15">
      <c r="B139" s="13"/>
      <c r="C139" s="13"/>
      <c r="D139" s="13"/>
      <c r="E139" s="13"/>
      <c r="F139" s="13"/>
      <c r="G139" s="13"/>
      <c r="H139" s="13"/>
      <c r="I139" s="13"/>
      <c r="J139" s="13"/>
      <c r="K139" s="13"/>
      <c r="L139" s="13"/>
      <c r="M139" s="13"/>
      <c r="N139" s="13"/>
      <c r="O139" s="13"/>
    </row>
    <row r="140" spans="2:15">
      <c r="B140" s="13"/>
      <c r="C140" s="13"/>
      <c r="D140" s="13"/>
      <c r="E140" s="13"/>
      <c r="F140" s="13"/>
      <c r="G140" s="13"/>
      <c r="H140" s="13"/>
      <c r="I140" s="13"/>
      <c r="J140" s="13"/>
      <c r="K140" s="13"/>
      <c r="L140" s="13"/>
      <c r="M140" s="13"/>
      <c r="N140" s="13"/>
      <c r="O140" s="13"/>
    </row>
    <row r="141" spans="2:15">
      <c r="B141" s="13"/>
      <c r="C141" s="13"/>
      <c r="D141" s="13"/>
      <c r="E141" s="13"/>
      <c r="F141" s="13"/>
      <c r="G141" s="13"/>
      <c r="H141" s="13"/>
      <c r="I141" s="13"/>
      <c r="J141" s="13"/>
      <c r="K141" s="13"/>
      <c r="L141" s="13"/>
      <c r="M141" s="13"/>
      <c r="N141" s="13"/>
      <c r="O141" s="13"/>
    </row>
    <row r="142" spans="2:15">
      <c r="B142" s="13"/>
      <c r="C142" s="13"/>
      <c r="D142" s="13"/>
      <c r="E142" s="13"/>
      <c r="F142" s="13"/>
      <c r="G142" s="13"/>
      <c r="H142" s="13"/>
      <c r="I142" s="13"/>
      <c r="J142" s="13"/>
      <c r="K142" s="13"/>
      <c r="L142" s="13"/>
      <c r="M142" s="13"/>
      <c r="N142" s="13"/>
      <c r="O142" s="13"/>
    </row>
    <row r="143" spans="2:15">
      <c r="B143" s="13"/>
      <c r="C143" s="13"/>
      <c r="D143" s="13"/>
      <c r="E143" s="13"/>
      <c r="F143" s="13"/>
      <c r="G143" s="13"/>
      <c r="H143" s="13"/>
      <c r="I143" s="13"/>
      <c r="J143" s="13"/>
      <c r="K143" s="13"/>
      <c r="L143" s="13"/>
      <c r="M143" s="13"/>
      <c r="N143" s="13"/>
      <c r="O143" s="13"/>
    </row>
    <row r="144" spans="2:15">
      <c r="B144" s="13"/>
      <c r="C144" s="13"/>
      <c r="D144" s="13"/>
      <c r="E144" s="13"/>
      <c r="F144" s="13"/>
      <c r="G144" s="13"/>
      <c r="H144" s="13"/>
      <c r="I144" s="13"/>
      <c r="J144" s="13"/>
      <c r="K144" s="13"/>
      <c r="L144" s="13"/>
      <c r="M144" s="13"/>
      <c r="N144" s="13"/>
      <c r="O144" s="13"/>
    </row>
    <row r="145" spans="2:15">
      <c r="B145" s="13"/>
      <c r="C145" s="13"/>
      <c r="D145" s="13"/>
      <c r="E145" s="13"/>
      <c r="F145" s="13"/>
      <c r="G145" s="13"/>
      <c r="H145" s="13"/>
      <c r="I145" s="13"/>
      <c r="J145" s="13"/>
      <c r="K145" s="13"/>
      <c r="L145" s="13"/>
      <c r="M145" s="13"/>
      <c r="N145" s="13"/>
      <c r="O145" s="13"/>
    </row>
    <row r="146" spans="2:15">
      <c r="B146" s="13"/>
      <c r="C146" s="13"/>
      <c r="D146" s="13"/>
      <c r="E146" s="13"/>
      <c r="F146" s="13"/>
      <c r="G146" s="13"/>
      <c r="H146" s="13"/>
      <c r="I146" s="13"/>
      <c r="J146" s="13"/>
      <c r="K146" s="13"/>
      <c r="L146" s="13"/>
      <c r="M146" s="13"/>
      <c r="N146" s="13"/>
      <c r="O146" s="13"/>
    </row>
    <row r="147" spans="2:15">
      <c r="B147" s="13"/>
      <c r="C147" s="13"/>
      <c r="D147" s="13"/>
      <c r="E147" s="13"/>
      <c r="F147" s="13"/>
      <c r="G147" s="13"/>
      <c r="H147" s="13"/>
      <c r="I147" s="13"/>
      <c r="J147" s="13"/>
      <c r="K147" s="13"/>
      <c r="L147" s="13"/>
      <c r="M147" s="13"/>
      <c r="N147" s="13"/>
      <c r="O147" s="13"/>
    </row>
    <row r="148" spans="2:15">
      <c r="B148" s="13"/>
      <c r="C148" s="13"/>
      <c r="D148" s="13"/>
      <c r="E148" s="13"/>
      <c r="F148" s="13"/>
      <c r="G148" s="13"/>
      <c r="H148" s="13"/>
      <c r="I148" s="13"/>
      <c r="J148" s="13"/>
      <c r="K148" s="13"/>
      <c r="L148" s="13"/>
      <c r="M148" s="13"/>
      <c r="N148" s="13"/>
      <c r="O148" s="13"/>
    </row>
    <row r="149" spans="2:15">
      <c r="B149" s="13"/>
      <c r="C149" s="13"/>
      <c r="D149" s="13"/>
      <c r="E149" s="13"/>
      <c r="F149" s="13"/>
      <c r="G149" s="13"/>
      <c r="H149" s="13"/>
      <c r="I149" s="13"/>
      <c r="J149" s="13"/>
      <c r="K149" s="13"/>
      <c r="L149" s="13"/>
      <c r="M149" s="13"/>
      <c r="N149" s="13"/>
      <c r="O149" s="13"/>
    </row>
    <row r="150" spans="2:15">
      <c r="B150" s="13"/>
      <c r="C150" s="13"/>
      <c r="D150" s="13"/>
      <c r="E150" s="13"/>
      <c r="F150" s="13"/>
      <c r="G150" s="13"/>
      <c r="H150" s="13"/>
      <c r="I150" s="13"/>
      <c r="J150" s="13"/>
      <c r="K150" s="13"/>
      <c r="L150" s="13"/>
      <c r="M150" s="13"/>
      <c r="N150" s="13"/>
      <c r="O150" s="13"/>
    </row>
    <row r="151" spans="2:15">
      <c r="B151" s="13"/>
      <c r="C151" s="13"/>
      <c r="D151" s="13"/>
      <c r="E151" s="13"/>
      <c r="F151" s="13"/>
      <c r="G151" s="13"/>
      <c r="H151" s="13"/>
      <c r="I151" s="13"/>
      <c r="J151" s="13"/>
      <c r="K151" s="13"/>
      <c r="L151" s="13"/>
      <c r="M151" s="13"/>
      <c r="N151" s="13"/>
      <c r="O151" s="13"/>
    </row>
    <row r="152" spans="2:15">
      <c r="B152" s="13"/>
      <c r="C152" s="13"/>
      <c r="D152" s="13"/>
      <c r="E152" s="13"/>
      <c r="F152" s="13"/>
      <c r="G152" s="13"/>
      <c r="H152" s="13"/>
      <c r="I152" s="13"/>
      <c r="J152" s="13"/>
      <c r="K152" s="13"/>
      <c r="L152" s="13"/>
      <c r="M152" s="13"/>
      <c r="N152" s="13"/>
      <c r="O152" s="13"/>
    </row>
    <row r="153" spans="2:15">
      <c r="B153" s="13"/>
      <c r="C153" s="13"/>
      <c r="D153" s="13"/>
      <c r="E153" s="13"/>
      <c r="F153" s="13"/>
      <c r="G153" s="13"/>
      <c r="H153" s="13"/>
      <c r="I153" s="13"/>
      <c r="J153" s="13"/>
      <c r="K153" s="13"/>
      <c r="L153" s="13"/>
      <c r="M153" s="13"/>
      <c r="N153" s="13"/>
      <c r="O153" s="13"/>
    </row>
    <row r="154" spans="2:15">
      <c r="B154" s="13"/>
      <c r="C154" s="13"/>
      <c r="D154" s="13"/>
      <c r="E154" s="13"/>
      <c r="F154" s="13"/>
      <c r="G154" s="13"/>
      <c r="H154" s="13"/>
      <c r="I154" s="13"/>
      <c r="J154" s="13"/>
      <c r="K154" s="13"/>
      <c r="L154" s="13"/>
      <c r="M154" s="13"/>
      <c r="N154" s="13"/>
      <c r="O154" s="13"/>
    </row>
    <row r="155" spans="2:15">
      <c r="B155" s="13"/>
      <c r="C155" s="13"/>
      <c r="D155" s="13"/>
      <c r="E155" s="13"/>
      <c r="F155" s="13"/>
      <c r="G155" s="13"/>
      <c r="H155" s="13"/>
      <c r="I155" s="13"/>
      <c r="J155" s="13"/>
      <c r="K155" s="13"/>
      <c r="L155" s="13"/>
      <c r="M155" s="13"/>
      <c r="N155" s="13"/>
      <c r="O155" s="13"/>
    </row>
    <row r="156" spans="2:15">
      <c r="B156" s="13"/>
      <c r="C156" s="13"/>
      <c r="D156" s="13"/>
      <c r="E156" s="13"/>
      <c r="F156" s="13"/>
      <c r="G156" s="13"/>
      <c r="H156" s="13"/>
      <c r="I156" s="13"/>
      <c r="J156" s="13"/>
      <c r="K156" s="13"/>
      <c r="L156" s="13"/>
      <c r="M156" s="13"/>
      <c r="N156" s="13"/>
      <c r="O156" s="13"/>
    </row>
    <row r="157" spans="2:15">
      <c r="B157" s="13"/>
      <c r="C157" s="13"/>
      <c r="D157" s="13"/>
      <c r="E157" s="13"/>
      <c r="F157" s="13"/>
      <c r="G157" s="13"/>
      <c r="H157" s="13"/>
      <c r="I157" s="13"/>
      <c r="J157" s="13"/>
      <c r="K157" s="13"/>
      <c r="L157" s="13"/>
      <c r="M157" s="13"/>
      <c r="N157" s="13"/>
      <c r="O157" s="13"/>
    </row>
    <row r="158" spans="2:15">
      <c r="B158" s="13"/>
      <c r="C158" s="13"/>
      <c r="D158" s="13"/>
      <c r="E158" s="13"/>
      <c r="F158" s="13"/>
      <c r="G158" s="13"/>
      <c r="H158" s="13"/>
      <c r="I158" s="13"/>
      <c r="J158" s="13"/>
      <c r="K158" s="13"/>
      <c r="L158" s="13"/>
      <c r="M158" s="13"/>
      <c r="N158" s="13"/>
      <c r="O158" s="13"/>
    </row>
    <row r="159" spans="2:15">
      <c r="B159" s="13"/>
      <c r="C159" s="13"/>
      <c r="D159" s="13"/>
      <c r="E159" s="13"/>
      <c r="F159" s="13"/>
      <c r="G159" s="13"/>
      <c r="H159" s="13"/>
      <c r="I159" s="13"/>
      <c r="J159" s="13"/>
      <c r="K159" s="13"/>
      <c r="L159" s="13"/>
      <c r="M159" s="13"/>
      <c r="N159" s="13"/>
      <c r="O159" s="13"/>
    </row>
    <row r="160" spans="2:15">
      <c r="B160" s="13"/>
      <c r="C160" s="13"/>
      <c r="D160" s="13"/>
      <c r="E160" s="13"/>
      <c r="F160" s="13"/>
      <c r="G160" s="13"/>
      <c r="H160" s="13"/>
      <c r="I160" s="13"/>
      <c r="J160" s="13"/>
      <c r="K160" s="13"/>
      <c r="L160" s="13"/>
      <c r="M160" s="13"/>
      <c r="N160" s="13"/>
      <c r="O160" s="13"/>
    </row>
    <row r="161" spans="2:15">
      <c r="B161" s="13"/>
      <c r="C161" s="13"/>
      <c r="D161" s="13"/>
      <c r="E161" s="13"/>
      <c r="F161" s="13"/>
      <c r="G161" s="13"/>
      <c r="H161" s="13"/>
      <c r="I161" s="13"/>
      <c r="J161" s="13"/>
      <c r="K161" s="13"/>
      <c r="L161" s="13"/>
      <c r="M161" s="13"/>
      <c r="N161" s="13"/>
      <c r="O161" s="13"/>
    </row>
    <row r="162" spans="2:15">
      <c r="B162" s="13"/>
      <c r="C162" s="13"/>
      <c r="D162" s="13"/>
      <c r="E162" s="13"/>
      <c r="F162" s="13"/>
      <c r="G162" s="13"/>
      <c r="H162" s="13"/>
      <c r="I162" s="13"/>
      <c r="J162" s="13"/>
      <c r="K162" s="13"/>
      <c r="L162" s="13"/>
      <c r="M162" s="13"/>
      <c r="N162" s="13"/>
      <c r="O162" s="13"/>
    </row>
    <row r="163" spans="2:15">
      <c r="B163" s="13"/>
      <c r="C163" s="13"/>
      <c r="D163" s="13"/>
      <c r="E163" s="13"/>
      <c r="F163" s="13"/>
      <c r="G163" s="13"/>
      <c r="H163" s="13"/>
      <c r="I163" s="13"/>
      <c r="J163" s="13"/>
      <c r="K163" s="13"/>
      <c r="L163" s="13"/>
      <c r="M163" s="13"/>
      <c r="N163" s="13"/>
      <c r="O163" s="13"/>
    </row>
    <row r="164" spans="2:15">
      <c r="B164" s="13"/>
      <c r="C164" s="13"/>
      <c r="D164" s="13"/>
      <c r="E164" s="13"/>
      <c r="F164" s="13"/>
      <c r="G164" s="13"/>
      <c r="H164" s="13"/>
      <c r="I164" s="13"/>
      <c r="J164" s="13"/>
      <c r="K164" s="13"/>
      <c r="L164" s="13"/>
      <c r="M164" s="13"/>
      <c r="N164" s="13"/>
      <c r="O164" s="13"/>
    </row>
    <row r="165" spans="2:15">
      <c r="B165" s="13"/>
      <c r="C165" s="13"/>
      <c r="D165" s="13"/>
      <c r="E165" s="13"/>
      <c r="F165" s="13"/>
      <c r="G165" s="13"/>
      <c r="H165" s="13"/>
      <c r="I165" s="13"/>
      <c r="J165" s="13"/>
      <c r="K165" s="13"/>
      <c r="L165" s="13"/>
      <c r="M165" s="13"/>
      <c r="N165" s="13"/>
      <c r="O165" s="13"/>
    </row>
    <row r="166" spans="2:15">
      <c r="B166" s="13"/>
      <c r="C166" s="13"/>
      <c r="D166" s="13"/>
      <c r="E166" s="13"/>
      <c r="F166" s="13"/>
      <c r="G166" s="13"/>
      <c r="H166" s="13"/>
      <c r="I166" s="13"/>
      <c r="J166" s="13"/>
      <c r="K166" s="13"/>
      <c r="L166" s="13"/>
      <c r="M166" s="13"/>
      <c r="N166" s="13"/>
      <c r="O166" s="13"/>
    </row>
    <row r="167" spans="2:15">
      <c r="B167" s="13"/>
      <c r="C167" s="13"/>
      <c r="D167" s="13"/>
      <c r="E167" s="13"/>
      <c r="F167" s="13"/>
      <c r="G167" s="13"/>
      <c r="H167" s="13"/>
      <c r="I167" s="13"/>
      <c r="J167" s="13"/>
      <c r="K167" s="13"/>
      <c r="L167" s="13"/>
      <c r="M167" s="13"/>
      <c r="N167" s="13"/>
      <c r="O167" s="13"/>
    </row>
    <row r="168" spans="2:15">
      <c r="B168" s="13"/>
      <c r="C168" s="13"/>
      <c r="D168" s="13"/>
      <c r="E168" s="13"/>
      <c r="F168" s="13"/>
      <c r="G168" s="13"/>
      <c r="H168" s="13"/>
      <c r="I168" s="13"/>
      <c r="J168" s="13"/>
      <c r="K168" s="13"/>
      <c r="L168" s="13"/>
      <c r="M168" s="13"/>
      <c r="N168" s="13"/>
      <c r="O168" s="13"/>
    </row>
    <row r="169" spans="2:15">
      <c r="B169" s="13"/>
      <c r="C169" s="13"/>
      <c r="D169" s="13"/>
      <c r="E169" s="13"/>
      <c r="F169" s="13"/>
      <c r="G169" s="13"/>
      <c r="H169" s="13"/>
      <c r="I169" s="13"/>
      <c r="J169" s="13"/>
      <c r="K169" s="13"/>
      <c r="L169" s="13"/>
      <c r="M169" s="13"/>
      <c r="N169" s="13"/>
      <c r="O169" s="13"/>
    </row>
    <row r="170" spans="2:15">
      <c r="B170" s="13"/>
      <c r="C170" s="13"/>
      <c r="D170" s="13"/>
      <c r="E170" s="13"/>
      <c r="F170" s="13"/>
      <c r="G170" s="13"/>
      <c r="H170" s="13"/>
      <c r="I170" s="13"/>
      <c r="J170" s="13"/>
      <c r="K170" s="13"/>
      <c r="L170" s="13"/>
      <c r="M170" s="13"/>
      <c r="N170" s="13"/>
      <c r="O170" s="13"/>
    </row>
    <row r="171" spans="2:15">
      <c r="B171" s="13"/>
      <c r="C171" s="13"/>
      <c r="D171" s="13"/>
      <c r="E171" s="13"/>
      <c r="F171" s="13"/>
      <c r="G171" s="13"/>
      <c r="H171" s="13"/>
      <c r="I171" s="13"/>
      <c r="J171" s="13"/>
      <c r="K171" s="13"/>
      <c r="L171" s="13"/>
      <c r="M171" s="13"/>
      <c r="N171" s="13"/>
      <c r="O171" s="13"/>
    </row>
    <row r="172" spans="2:15">
      <c r="B172" s="13"/>
      <c r="C172" s="13"/>
      <c r="D172" s="13"/>
      <c r="E172" s="13"/>
      <c r="F172" s="13"/>
      <c r="G172" s="13"/>
      <c r="H172" s="13"/>
      <c r="I172" s="13"/>
      <c r="J172" s="13"/>
      <c r="K172" s="13"/>
      <c r="L172" s="13"/>
      <c r="M172" s="13"/>
      <c r="N172" s="13"/>
      <c r="O172" s="13"/>
    </row>
    <row r="173" spans="2:15">
      <c r="B173" s="13"/>
      <c r="C173" s="13"/>
      <c r="D173" s="13"/>
      <c r="E173" s="13"/>
      <c r="F173" s="13"/>
      <c r="G173" s="13"/>
      <c r="H173" s="13"/>
      <c r="I173" s="13"/>
      <c r="J173" s="13"/>
      <c r="K173" s="13"/>
      <c r="L173" s="13"/>
      <c r="M173" s="13"/>
      <c r="N173" s="13"/>
      <c r="O173" s="13"/>
    </row>
    <row r="174" spans="2:15">
      <c r="B174" s="13"/>
      <c r="C174" s="13"/>
      <c r="D174" s="13"/>
      <c r="E174" s="13"/>
      <c r="F174" s="13"/>
      <c r="G174" s="13"/>
      <c r="H174" s="13"/>
      <c r="I174" s="13"/>
      <c r="J174" s="13"/>
      <c r="K174" s="13"/>
      <c r="L174" s="13"/>
      <c r="M174" s="13"/>
      <c r="N174" s="13"/>
      <c r="O174" s="13"/>
    </row>
    <row r="175" spans="2:15">
      <c r="B175" s="13"/>
      <c r="C175" s="13"/>
      <c r="D175" s="13"/>
      <c r="E175" s="13"/>
      <c r="F175" s="13"/>
      <c r="G175" s="13"/>
      <c r="H175" s="13"/>
      <c r="I175" s="13"/>
      <c r="J175" s="13"/>
      <c r="K175" s="13"/>
      <c r="L175" s="13"/>
      <c r="M175" s="13"/>
      <c r="N175" s="13"/>
      <c r="O175" s="13"/>
    </row>
    <row r="176" spans="2:15">
      <c r="B176" s="13"/>
      <c r="C176" s="13"/>
      <c r="D176" s="13"/>
      <c r="E176" s="13"/>
      <c r="F176" s="13"/>
      <c r="G176" s="13"/>
      <c r="H176" s="13"/>
      <c r="I176" s="13"/>
      <c r="J176" s="13"/>
      <c r="K176" s="13"/>
      <c r="L176" s="13"/>
      <c r="M176" s="13"/>
      <c r="N176" s="13"/>
      <c r="O176" s="13"/>
    </row>
    <row r="177" spans="2:15">
      <c r="B177" s="13"/>
      <c r="C177" s="13"/>
      <c r="D177" s="13"/>
      <c r="E177" s="13"/>
      <c r="F177" s="13"/>
      <c r="G177" s="13"/>
      <c r="H177" s="13"/>
      <c r="I177" s="13"/>
      <c r="J177" s="13"/>
      <c r="K177" s="13"/>
      <c r="L177" s="13"/>
      <c r="M177" s="13"/>
      <c r="N177" s="13"/>
      <c r="O177" s="13"/>
    </row>
    <row r="178" spans="2:15">
      <c r="B178" s="13"/>
      <c r="C178" s="13"/>
      <c r="D178" s="13"/>
      <c r="E178" s="13"/>
      <c r="F178" s="13"/>
      <c r="G178" s="13"/>
      <c r="H178" s="13"/>
      <c r="I178" s="13"/>
      <c r="J178" s="13"/>
      <c r="K178" s="13"/>
      <c r="L178" s="13"/>
      <c r="M178" s="13"/>
      <c r="N178" s="13"/>
      <c r="O178" s="13"/>
    </row>
    <row r="179" spans="2:15">
      <c r="B179" s="13"/>
      <c r="C179" s="13"/>
      <c r="D179" s="13"/>
      <c r="E179" s="13"/>
      <c r="F179" s="13"/>
      <c r="G179" s="13"/>
      <c r="H179" s="13"/>
      <c r="I179" s="13"/>
      <c r="J179" s="13"/>
      <c r="K179" s="13"/>
      <c r="L179" s="13"/>
      <c r="M179" s="13"/>
      <c r="N179" s="13"/>
      <c r="O179" s="13"/>
    </row>
    <row r="180" spans="2:15">
      <c r="B180" s="13"/>
      <c r="C180" s="13"/>
      <c r="D180" s="13"/>
      <c r="E180" s="13"/>
      <c r="F180" s="13"/>
      <c r="G180" s="13"/>
      <c r="H180" s="13"/>
      <c r="I180" s="13"/>
      <c r="J180" s="13"/>
      <c r="K180" s="13"/>
      <c r="L180" s="13"/>
      <c r="M180" s="13"/>
      <c r="N180" s="13"/>
      <c r="O180" s="13"/>
    </row>
    <row r="181" spans="2:15">
      <c r="B181" s="13"/>
      <c r="C181" s="13"/>
      <c r="D181" s="13"/>
      <c r="E181" s="13"/>
      <c r="F181" s="13"/>
      <c r="G181" s="13"/>
      <c r="H181" s="13"/>
      <c r="I181" s="13"/>
      <c r="J181" s="13"/>
      <c r="K181" s="13"/>
      <c r="L181" s="13"/>
      <c r="M181" s="13"/>
      <c r="N181" s="13"/>
      <c r="O181" s="13"/>
    </row>
    <row r="182" spans="2:15">
      <c r="B182" s="13"/>
      <c r="C182" s="13"/>
      <c r="D182" s="13"/>
      <c r="E182" s="13"/>
      <c r="F182" s="13"/>
      <c r="G182" s="13"/>
      <c r="H182" s="13"/>
      <c r="I182" s="13"/>
      <c r="J182" s="13"/>
      <c r="K182" s="13"/>
      <c r="L182" s="13"/>
      <c r="M182" s="13"/>
      <c r="N182" s="13"/>
      <c r="O182" s="13"/>
    </row>
    <row r="183" spans="2:15">
      <c r="B183" s="13"/>
      <c r="C183" s="13"/>
      <c r="D183" s="13"/>
      <c r="E183" s="13"/>
      <c r="F183" s="13"/>
      <c r="G183" s="13"/>
      <c r="H183" s="13"/>
      <c r="I183" s="13"/>
      <c r="J183" s="13"/>
      <c r="K183" s="13"/>
      <c r="L183" s="13"/>
      <c r="M183" s="13"/>
      <c r="N183" s="13"/>
      <c r="O183" s="13"/>
    </row>
    <row r="184" spans="2:15">
      <c r="B184" s="13"/>
      <c r="C184" s="13"/>
      <c r="D184" s="13"/>
      <c r="E184" s="13"/>
      <c r="F184" s="13"/>
      <c r="G184" s="13"/>
      <c r="H184" s="13"/>
      <c r="I184" s="13"/>
      <c r="J184" s="13"/>
      <c r="K184" s="13"/>
      <c r="L184" s="13"/>
      <c r="M184" s="13"/>
      <c r="N184" s="13"/>
      <c r="O184" s="13"/>
    </row>
    <row r="185" spans="2:15">
      <c r="B185" s="13"/>
      <c r="C185" s="13"/>
      <c r="D185" s="13"/>
      <c r="E185" s="13"/>
      <c r="F185" s="13"/>
      <c r="G185" s="13"/>
      <c r="H185" s="13"/>
      <c r="I185" s="13"/>
      <c r="J185" s="13"/>
      <c r="K185" s="13"/>
      <c r="L185" s="13"/>
      <c r="M185" s="13"/>
      <c r="N185" s="13"/>
      <c r="O185" s="13"/>
    </row>
    <row r="186" spans="2:15">
      <c r="B186" s="13"/>
      <c r="C186" s="13"/>
      <c r="D186" s="13"/>
      <c r="E186" s="13"/>
      <c r="F186" s="13"/>
      <c r="G186" s="13"/>
      <c r="H186" s="13"/>
      <c r="I186" s="13"/>
      <c r="J186" s="13"/>
      <c r="K186" s="13"/>
      <c r="L186" s="13"/>
      <c r="M186" s="13"/>
      <c r="N186" s="13"/>
      <c r="O186" s="13"/>
    </row>
    <row r="187" spans="2:15">
      <c r="B187" s="13"/>
      <c r="C187" s="13"/>
      <c r="D187" s="13"/>
      <c r="E187" s="13"/>
      <c r="F187" s="13"/>
      <c r="G187" s="13"/>
      <c r="H187" s="13"/>
      <c r="I187" s="13"/>
      <c r="J187" s="13"/>
      <c r="K187" s="13"/>
      <c r="L187" s="13"/>
      <c r="M187" s="13"/>
      <c r="N187" s="13"/>
      <c r="O187" s="13"/>
    </row>
    <row r="188" spans="2:15">
      <c r="B188" s="13"/>
      <c r="C188" s="13"/>
      <c r="D188" s="13"/>
      <c r="E188" s="13"/>
      <c r="F188" s="13"/>
      <c r="G188" s="13"/>
      <c r="H188" s="13"/>
      <c r="I188" s="13"/>
      <c r="J188" s="13"/>
      <c r="K188" s="13"/>
      <c r="L188" s="13"/>
      <c r="M188" s="13"/>
      <c r="N188" s="13"/>
      <c r="O188" s="13"/>
    </row>
    <row r="189" spans="2:15">
      <c r="B189" s="13"/>
      <c r="C189" s="13"/>
      <c r="D189" s="13"/>
      <c r="E189" s="13"/>
      <c r="F189" s="13"/>
      <c r="G189" s="13"/>
      <c r="H189" s="13"/>
      <c r="I189" s="13"/>
      <c r="J189" s="13"/>
      <c r="K189" s="13"/>
      <c r="L189" s="13"/>
      <c r="M189" s="13"/>
      <c r="N189" s="13"/>
      <c r="O189" s="13"/>
    </row>
    <row r="190" spans="2:15">
      <c r="B190" s="13"/>
      <c r="C190" s="13"/>
      <c r="D190" s="13"/>
      <c r="E190" s="13"/>
      <c r="F190" s="13"/>
      <c r="G190" s="13"/>
      <c r="H190" s="13"/>
      <c r="I190" s="13"/>
      <c r="J190" s="13"/>
      <c r="K190" s="13"/>
      <c r="L190" s="13"/>
      <c r="M190" s="13"/>
      <c r="N190" s="13"/>
      <c r="O190" s="13"/>
    </row>
    <row r="191" spans="2:15">
      <c r="B191" s="13"/>
      <c r="C191" s="13"/>
      <c r="D191" s="13"/>
      <c r="E191" s="13"/>
      <c r="F191" s="13"/>
      <c r="G191" s="13"/>
      <c r="H191" s="13"/>
      <c r="I191" s="13"/>
      <c r="J191" s="13"/>
      <c r="K191" s="13"/>
      <c r="L191" s="13"/>
      <c r="M191" s="13"/>
      <c r="N191" s="13"/>
      <c r="O191" s="13"/>
    </row>
    <row r="192" spans="2:15">
      <c r="B192" s="13"/>
      <c r="C192" s="13"/>
      <c r="D192" s="13"/>
      <c r="E192" s="13"/>
      <c r="F192" s="13"/>
      <c r="G192" s="13"/>
      <c r="H192" s="13"/>
      <c r="I192" s="13"/>
      <c r="J192" s="13"/>
      <c r="K192" s="13"/>
      <c r="L192" s="13"/>
      <c r="M192" s="13"/>
      <c r="N192" s="13"/>
      <c r="O192" s="13"/>
    </row>
    <row r="193" spans="2:15">
      <c r="B193" s="13"/>
      <c r="C193" s="13"/>
      <c r="D193" s="13"/>
      <c r="E193" s="13"/>
      <c r="F193" s="13"/>
      <c r="G193" s="13"/>
      <c r="H193" s="13"/>
      <c r="I193" s="13"/>
      <c r="J193" s="13"/>
      <c r="K193" s="13"/>
      <c r="L193" s="13"/>
      <c r="M193" s="13"/>
      <c r="N193" s="13"/>
      <c r="O193" s="13"/>
    </row>
    <row r="194" spans="2:15">
      <c r="B194" s="13"/>
      <c r="C194" s="13"/>
      <c r="D194" s="13"/>
      <c r="E194" s="13"/>
      <c r="F194" s="13"/>
      <c r="G194" s="13"/>
      <c r="H194" s="13"/>
      <c r="I194" s="13"/>
      <c r="J194" s="13"/>
      <c r="K194" s="13"/>
      <c r="L194" s="13"/>
      <c r="M194" s="13"/>
      <c r="N194" s="13"/>
      <c r="O194" s="13"/>
    </row>
    <row r="195" spans="2:15">
      <c r="B195" s="13"/>
      <c r="C195" s="13"/>
      <c r="D195" s="13"/>
      <c r="E195" s="13"/>
      <c r="F195" s="13"/>
      <c r="G195" s="13"/>
      <c r="H195" s="13"/>
      <c r="I195" s="13"/>
      <c r="J195" s="13"/>
      <c r="K195" s="13"/>
      <c r="L195" s="13"/>
      <c r="M195" s="13"/>
      <c r="N195" s="13"/>
      <c r="O195" s="13"/>
    </row>
    <row r="196" spans="2:15">
      <c r="B196" s="13"/>
      <c r="C196" s="13"/>
      <c r="D196" s="13"/>
      <c r="E196" s="13"/>
      <c r="F196" s="13"/>
      <c r="G196" s="13"/>
      <c r="H196" s="13"/>
      <c r="I196" s="13"/>
      <c r="J196" s="13"/>
      <c r="K196" s="13"/>
      <c r="L196" s="13"/>
      <c r="M196" s="13"/>
      <c r="N196" s="13"/>
      <c r="O196" s="13"/>
    </row>
    <row r="197" spans="2:15">
      <c r="B197" s="13"/>
      <c r="C197" s="13"/>
      <c r="D197" s="13"/>
      <c r="E197" s="13"/>
      <c r="F197" s="13"/>
      <c r="G197" s="13"/>
      <c r="H197" s="13"/>
      <c r="I197" s="13"/>
      <c r="J197" s="13"/>
      <c r="K197" s="13"/>
      <c r="L197" s="13"/>
      <c r="M197" s="13"/>
      <c r="N197" s="13"/>
      <c r="O197" s="13"/>
    </row>
    <row r="198" spans="2:15">
      <c r="B198" s="13"/>
      <c r="C198" s="13"/>
      <c r="D198" s="13"/>
      <c r="E198" s="13"/>
      <c r="F198" s="13"/>
      <c r="G198" s="13"/>
      <c r="H198" s="13"/>
      <c r="I198" s="13"/>
      <c r="J198" s="13"/>
      <c r="K198" s="13"/>
      <c r="L198" s="13"/>
      <c r="M198" s="13"/>
      <c r="N198" s="13"/>
      <c r="O198" s="13"/>
    </row>
    <row r="199" spans="2:15">
      <c r="B199" s="13"/>
      <c r="C199" s="13"/>
      <c r="D199" s="13"/>
      <c r="E199" s="13"/>
      <c r="F199" s="13"/>
      <c r="G199" s="13"/>
      <c r="H199" s="13"/>
      <c r="I199" s="13"/>
      <c r="J199" s="13"/>
      <c r="K199" s="13"/>
      <c r="L199" s="13"/>
      <c r="M199" s="13"/>
      <c r="N199" s="13"/>
      <c r="O199" s="13"/>
    </row>
    <row r="200" spans="2:15">
      <c r="B200" s="13"/>
      <c r="C200" s="13"/>
      <c r="D200" s="13"/>
      <c r="E200" s="13"/>
      <c r="F200" s="13"/>
      <c r="G200" s="13"/>
      <c r="H200" s="13"/>
      <c r="I200" s="13"/>
      <c r="J200" s="13"/>
      <c r="K200" s="13"/>
      <c r="L200" s="13"/>
      <c r="M200" s="13"/>
      <c r="N200" s="13"/>
      <c r="O200" s="13"/>
    </row>
    <row r="201" spans="2:15">
      <c r="B201" s="13"/>
      <c r="C201" s="13"/>
      <c r="D201" s="13"/>
      <c r="E201" s="13"/>
      <c r="F201" s="13"/>
      <c r="G201" s="13"/>
      <c r="H201" s="13"/>
      <c r="I201" s="13"/>
      <c r="J201" s="13"/>
      <c r="K201" s="13"/>
      <c r="L201" s="13"/>
      <c r="M201" s="13"/>
      <c r="N201" s="13"/>
      <c r="O201" s="13"/>
    </row>
    <row r="202" spans="2:15">
      <c r="B202" s="13"/>
      <c r="C202" s="13"/>
      <c r="D202" s="13"/>
      <c r="E202" s="13"/>
      <c r="F202" s="13"/>
      <c r="G202" s="13"/>
      <c r="H202" s="13"/>
      <c r="I202" s="13"/>
      <c r="J202" s="13"/>
      <c r="K202" s="13"/>
      <c r="L202" s="13"/>
      <c r="M202" s="13"/>
      <c r="N202" s="13"/>
      <c r="O202" s="13"/>
    </row>
    <row r="203" spans="2:15">
      <c r="B203" s="13"/>
      <c r="C203" s="13"/>
      <c r="D203" s="13"/>
      <c r="E203" s="13"/>
      <c r="F203" s="13"/>
      <c r="G203" s="13"/>
      <c r="H203" s="13"/>
      <c r="I203" s="13"/>
      <c r="J203" s="13"/>
      <c r="K203" s="13"/>
      <c r="L203" s="13"/>
      <c r="M203" s="13"/>
      <c r="N203" s="13"/>
      <c r="O203" s="13"/>
    </row>
    <row r="204" spans="2:15">
      <c r="B204" s="13"/>
      <c r="C204" s="13"/>
      <c r="D204" s="13"/>
      <c r="E204" s="13"/>
      <c r="F204" s="13"/>
      <c r="G204" s="13"/>
      <c r="H204" s="13"/>
      <c r="I204" s="13"/>
      <c r="J204" s="13"/>
      <c r="K204" s="13"/>
      <c r="L204" s="13"/>
      <c r="M204" s="13"/>
      <c r="N204" s="13"/>
      <c r="O204" s="13"/>
    </row>
    <row r="205" spans="2:15">
      <c r="B205" s="13"/>
      <c r="C205" s="13"/>
      <c r="D205" s="13"/>
      <c r="E205" s="13"/>
      <c r="F205" s="13"/>
      <c r="G205" s="13"/>
      <c r="H205" s="13"/>
      <c r="I205" s="13"/>
      <c r="J205" s="13"/>
      <c r="K205" s="13"/>
      <c r="L205" s="13"/>
      <c r="M205" s="13"/>
      <c r="N205" s="13"/>
      <c r="O205" s="13"/>
    </row>
    <row r="206" spans="2:15">
      <c r="B206" s="13"/>
      <c r="C206" s="13"/>
      <c r="D206" s="13"/>
      <c r="E206" s="13"/>
      <c r="F206" s="13"/>
      <c r="G206" s="13"/>
      <c r="H206" s="13"/>
      <c r="I206" s="13"/>
      <c r="J206" s="13"/>
      <c r="K206" s="13"/>
      <c r="L206" s="13"/>
      <c r="M206" s="13"/>
      <c r="N206" s="13"/>
      <c r="O206" s="13"/>
    </row>
    <row r="207" spans="2:15">
      <c r="B207" s="13"/>
      <c r="C207" s="13"/>
      <c r="D207" s="13"/>
      <c r="E207" s="13"/>
      <c r="F207" s="13"/>
      <c r="G207" s="13"/>
      <c r="H207" s="13"/>
      <c r="I207" s="13"/>
      <c r="J207" s="13"/>
      <c r="K207" s="13"/>
      <c r="L207" s="13"/>
      <c r="M207" s="13"/>
      <c r="N207" s="13"/>
      <c r="O207" s="13"/>
    </row>
    <row r="208" spans="2:15">
      <c r="B208" s="13"/>
      <c r="C208" s="13"/>
      <c r="D208" s="13"/>
      <c r="E208" s="13"/>
      <c r="F208" s="13"/>
      <c r="G208" s="13"/>
      <c r="H208" s="13"/>
      <c r="I208" s="13"/>
      <c r="J208" s="13"/>
      <c r="K208" s="13"/>
      <c r="L208" s="13"/>
      <c r="M208" s="13"/>
      <c r="N208" s="13"/>
      <c r="O208" s="13"/>
    </row>
    <row r="209" spans="2:15">
      <c r="B209" s="13"/>
      <c r="C209" s="13"/>
      <c r="D209" s="13"/>
      <c r="E209" s="13"/>
      <c r="F209" s="13"/>
      <c r="G209" s="13"/>
      <c r="H209" s="13"/>
      <c r="I209" s="13"/>
      <c r="J209" s="13"/>
      <c r="K209" s="13"/>
      <c r="L209" s="13"/>
      <c r="M209" s="13"/>
      <c r="N209" s="13"/>
      <c r="O209" s="13"/>
    </row>
    <row r="210" spans="2:15">
      <c r="B210" s="13"/>
      <c r="C210" s="13"/>
      <c r="D210" s="13"/>
      <c r="E210" s="13"/>
      <c r="F210" s="13"/>
      <c r="G210" s="13"/>
      <c r="H210" s="13"/>
      <c r="I210" s="13"/>
      <c r="J210" s="13"/>
      <c r="K210" s="13"/>
      <c r="L210" s="13"/>
      <c r="M210" s="13"/>
      <c r="N210" s="13"/>
      <c r="O210" s="13"/>
    </row>
    <row r="211" spans="2:15">
      <c r="B211" s="13"/>
      <c r="C211" s="13"/>
      <c r="D211" s="13"/>
      <c r="E211" s="13"/>
      <c r="F211" s="13"/>
      <c r="G211" s="13"/>
      <c r="H211" s="13"/>
      <c r="I211" s="13"/>
      <c r="J211" s="13"/>
      <c r="K211" s="13"/>
      <c r="L211" s="13"/>
      <c r="M211" s="13"/>
      <c r="N211" s="13"/>
      <c r="O211" s="13"/>
    </row>
    <row r="212" spans="2:15">
      <c r="B212" s="13"/>
      <c r="C212" s="13"/>
      <c r="D212" s="13"/>
      <c r="E212" s="13"/>
      <c r="F212" s="13"/>
      <c r="G212" s="13"/>
      <c r="H212" s="13"/>
      <c r="I212" s="13"/>
      <c r="J212" s="13"/>
      <c r="K212" s="13"/>
      <c r="L212" s="13"/>
      <c r="M212" s="13"/>
      <c r="N212" s="13"/>
      <c r="O212" s="13"/>
    </row>
    <row r="213" spans="2:15">
      <c r="B213" s="13"/>
      <c r="C213" s="13"/>
      <c r="D213" s="13"/>
      <c r="E213" s="13"/>
      <c r="F213" s="13"/>
      <c r="G213" s="13"/>
      <c r="H213" s="13"/>
      <c r="I213" s="13"/>
      <c r="J213" s="13"/>
      <c r="K213" s="13"/>
      <c r="L213" s="13"/>
      <c r="M213" s="13"/>
      <c r="N213" s="13"/>
      <c r="O213" s="13"/>
    </row>
    <row r="214" spans="2:15">
      <c r="B214" s="13"/>
      <c r="C214" s="13"/>
      <c r="D214" s="13"/>
      <c r="E214" s="13"/>
      <c r="F214" s="13"/>
      <c r="G214" s="13"/>
      <c r="H214" s="13"/>
      <c r="I214" s="13"/>
      <c r="J214" s="13"/>
      <c r="K214" s="13"/>
      <c r="L214" s="13"/>
      <c r="M214" s="13"/>
      <c r="N214" s="13"/>
      <c r="O214" s="13"/>
    </row>
    <row r="215" spans="2:15">
      <c r="B215" s="13"/>
      <c r="C215" s="13"/>
      <c r="D215" s="13"/>
      <c r="E215" s="13"/>
      <c r="F215" s="13"/>
      <c r="G215" s="13"/>
      <c r="H215" s="13"/>
      <c r="I215" s="13"/>
      <c r="J215" s="13"/>
      <c r="K215" s="13"/>
      <c r="L215" s="13"/>
      <c r="M215" s="13"/>
      <c r="N215" s="13"/>
      <c r="O215" s="13"/>
    </row>
    <row r="216" spans="2:15">
      <c r="B216" s="13"/>
      <c r="C216" s="13"/>
      <c r="D216" s="13"/>
      <c r="E216" s="13"/>
      <c r="F216" s="13"/>
      <c r="G216" s="13"/>
      <c r="H216" s="13"/>
      <c r="I216" s="13"/>
      <c r="J216" s="13"/>
      <c r="K216" s="13"/>
      <c r="L216" s="13"/>
      <c r="M216" s="13"/>
      <c r="N216" s="13"/>
      <c r="O216" s="13"/>
    </row>
    <row r="217" spans="2:15">
      <c r="B217" s="13"/>
      <c r="C217" s="13"/>
      <c r="D217" s="13"/>
      <c r="E217" s="13"/>
      <c r="F217" s="13"/>
      <c r="G217" s="13"/>
      <c r="H217" s="13"/>
      <c r="I217" s="13"/>
      <c r="J217" s="13"/>
      <c r="K217" s="13"/>
      <c r="L217" s="13"/>
      <c r="M217" s="13"/>
      <c r="N217" s="13"/>
      <c r="O217" s="13"/>
    </row>
    <row r="218" spans="2:15">
      <c r="B218" s="13"/>
      <c r="C218" s="13"/>
      <c r="D218" s="13"/>
      <c r="E218" s="13"/>
      <c r="F218" s="13"/>
      <c r="G218" s="13"/>
      <c r="H218" s="13"/>
      <c r="I218" s="13"/>
      <c r="J218" s="13"/>
      <c r="K218" s="13"/>
      <c r="L218" s="13"/>
      <c r="M218" s="13"/>
      <c r="N218" s="13"/>
      <c r="O218" s="13"/>
    </row>
    <row r="219" spans="2:15">
      <c r="B219" s="13"/>
      <c r="C219" s="13"/>
      <c r="D219" s="13"/>
      <c r="E219" s="13"/>
      <c r="F219" s="13"/>
      <c r="G219" s="13"/>
      <c r="H219" s="13"/>
      <c r="I219" s="13"/>
      <c r="J219" s="13"/>
      <c r="K219" s="13"/>
      <c r="L219" s="13"/>
      <c r="M219" s="13"/>
      <c r="N219" s="13"/>
      <c r="O219" s="13"/>
    </row>
    <row r="220" spans="2:15">
      <c r="B220" s="13"/>
      <c r="C220" s="13"/>
      <c r="D220" s="13"/>
      <c r="E220" s="13"/>
      <c r="F220" s="13"/>
      <c r="G220" s="13"/>
      <c r="H220" s="13"/>
      <c r="I220" s="13"/>
      <c r="J220" s="13"/>
      <c r="K220" s="13"/>
      <c r="L220" s="13"/>
      <c r="M220" s="13"/>
      <c r="N220" s="13"/>
      <c r="O220" s="13"/>
    </row>
    <row r="221" spans="2:15">
      <c r="B221" s="13"/>
      <c r="C221" s="13"/>
      <c r="D221" s="13"/>
      <c r="E221" s="13"/>
      <c r="F221" s="13"/>
      <c r="G221" s="13"/>
      <c r="H221" s="13"/>
      <c r="I221" s="13"/>
      <c r="J221" s="13"/>
      <c r="K221" s="13"/>
      <c r="L221" s="13"/>
      <c r="M221" s="13"/>
      <c r="N221" s="13"/>
      <c r="O221" s="13"/>
    </row>
    <row r="222" spans="2:15">
      <c r="B222" s="13"/>
      <c r="C222" s="13"/>
      <c r="D222" s="13"/>
      <c r="E222" s="13"/>
      <c r="F222" s="13"/>
      <c r="G222" s="13"/>
      <c r="H222" s="13"/>
      <c r="I222" s="13"/>
      <c r="J222" s="13"/>
      <c r="K222" s="13"/>
      <c r="L222" s="13"/>
      <c r="M222" s="13"/>
      <c r="N222" s="13"/>
      <c r="O222" s="13"/>
    </row>
    <row r="223" spans="2:15">
      <c r="B223" s="13"/>
      <c r="C223" s="13"/>
      <c r="D223" s="13"/>
      <c r="E223" s="13"/>
      <c r="F223" s="13"/>
      <c r="G223" s="13"/>
      <c r="H223" s="13"/>
      <c r="I223" s="13"/>
      <c r="J223" s="13"/>
      <c r="K223" s="13"/>
      <c r="L223" s="13"/>
      <c r="M223" s="13"/>
      <c r="N223" s="13"/>
      <c r="O223" s="13"/>
    </row>
    <row r="224" spans="2:15">
      <c r="B224" s="13"/>
      <c r="C224" s="13"/>
      <c r="D224" s="13"/>
      <c r="E224" s="13"/>
      <c r="F224" s="13"/>
      <c r="G224" s="13"/>
      <c r="H224" s="13"/>
      <c r="I224" s="13"/>
      <c r="J224" s="13"/>
      <c r="K224" s="13"/>
      <c r="L224" s="13"/>
      <c r="M224" s="13"/>
      <c r="N224" s="13"/>
      <c r="O224" s="13"/>
    </row>
    <row r="225" spans="2:15">
      <c r="B225" s="13"/>
      <c r="C225" s="13"/>
      <c r="D225" s="13"/>
      <c r="E225" s="13"/>
      <c r="F225" s="13"/>
      <c r="G225" s="13"/>
      <c r="H225" s="13"/>
      <c r="I225" s="13"/>
      <c r="J225" s="13"/>
      <c r="K225" s="13"/>
      <c r="L225" s="13"/>
      <c r="M225" s="13"/>
      <c r="N225" s="13"/>
      <c r="O225" s="13"/>
    </row>
    <row r="226" spans="2:15">
      <c r="B226" s="13"/>
      <c r="C226" s="13"/>
      <c r="D226" s="13"/>
      <c r="E226" s="13"/>
      <c r="F226" s="13"/>
      <c r="G226" s="13"/>
      <c r="H226" s="13"/>
      <c r="I226" s="13"/>
      <c r="J226" s="13"/>
      <c r="K226" s="13"/>
      <c r="L226" s="13"/>
      <c r="M226" s="13"/>
      <c r="N226" s="13"/>
      <c r="O226" s="13"/>
    </row>
    <row r="227" spans="2:15">
      <c r="B227" s="13"/>
      <c r="C227" s="13"/>
      <c r="D227" s="13"/>
      <c r="E227" s="13"/>
      <c r="F227" s="13"/>
      <c r="G227" s="13"/>
      <c r="H227" s="13"/>
      <c r="I227" s="13"/>
      <c r="J227" s="13"/>
      <c r="K227" s="13"/>
      <c r="L227" s="13"/>
      <c r="M227" s="13"/>
      <c r="N227" s="13"/>
      <c r="O227" s="13"/>
    </row>
    <row r="228" spans="2:15">
      <c r="B228" s="13"/>
      <c r="C228" s="13"/>
      <c r="D228" s="13"/>
      <c r="E228" s="13"/>
      <c r="F228" s="13"/>
      <c r="G228" s="13"/>
      <c r="H228" s="13"/>
      <c r="I228" s="13"/>
      <c r="J228" s="13"/>
      <c r="K228" s="13"/>
      <c r="L228" s="13"/>
      <c r="M228" s="13"/>
      <c r="N228" s="13"/>
      <c r="O228" s="13"/>
    </row>
    <row r="229" spans="2:15">
      <c r="B229" s="13"/>
      <c r="C229" s="13"/>
      <c r="D229" s="13"/>
      <c r="E229" s="13"/>
      <c r="F229" s="13"/>
      <c r="G229" s="13"/>
      <c r="H229" s="13"/>
      <c r="I229" s="13"/>
      <c r="J229" s="13"/>
      <c r="K229" s="13"/>
      <c r="L229" s="13"/>
      <c r="M229" s="13"/>
      <c r="N229" s="13"/>
      <c r="O229" s="13"/>
    </row>
    <row r="230" spans="2:15">
      <c r="B230" s="13"/>
      <c r="C230" s="13"/>
      <c r="D230" s="13"/>
      <c r="E230" s="13"/>
      <c r="F230" s="13"/>
      <c r="G230" s="13"/>
      <c r="H230" s="13"/>
      <c r="I230" s="13"/>
      <c r="J230" s="13"/>
      <c r="K230" s="13"/>
      <c r="L230" s="13"/>
      <c r="M230" s="13"/>
      <c r="N230" s="13"/>
      <c r="O230" s="13"/>
    </row>
    <row r="231" spans="2:15">
      <c r="B231" s="13"/>
      <c r="C231" s="13"/>
      <c r="D231" s="13"/>
      <c r="E231" s="13"/>
      <c r="F231" s="13"/>
      <c r="G231" s="13"/>
      <c r="H231" s="13"/>
      <c r="I231" s="13"/>
      <c r="J231" s="13"/>
      <c r="K231" s="13"/>
      <c r="L231" s="13"/>
      <c r="M231" s="13"/>
      <c r="N231" s="13"/>
      <c r="O231" s="13"/>
    </row>
    <row r="232" spans="2:15">
      <c r="B232" s="13"/>
      <c r="C232" s="13"/>
      <c r="D232" s="13"/>
      <c r="E232" s="13"/>
      <c r="F232" s="13"/>
      <c r="G232" s="13"/>
      <c r="H232" s="13"/>
      <c r="I232" s="13"/>
      <c r="J232" s="13"/>
      <c r="K232" s="13"/>
      <c r="L232" s="13"/>
      <c r="M232" s="13"/>
      <c r="N232" s="13"/>
      <c r="O232" s="13"/>
    </row>
    <row r="233" spans="2:15">
      <c r="B233" s="13"/>
      <c r="C233" s="13"/>
      <c r="D233" s="13"/>
      <c r="E233" s="13"/>
      <c r="F233" s="13"/>
      <c r="G233" s="13"/>
      <c r="H233" s="13"/>
      <c r="I233" s="13"/>
      <c r="J233" s="13"/>
      <c r="K233" s="13"/>
      <c r="L233" s="13"/>
      <c r="M233" s="13"/>
      <c r="N233" s="13"/>
      <c r="O233" s="13"/>
    </row>
    <row r="234" spans="2:15">
      <c r="B234" s="13"/>
      <c r="C234" s="13"/>
      <c r="D234" s="13"/>
      <c r="E234" s="13"/>
      <c r="F234" s="13"/>
      <c r="G234" s="13"/>
      <c r="H234" s="13"/>
      <c r="I234" s="13"/>
      <c r="J234" s="13"/>
      <c r="K234" s="13"/>
      <c r="L234" s="13"/>
      <c r="M234" s="13"/>
      <c r="N234" s="13"/>
      <c r="O234" s="13"/>
    </row>
    <row r="235" spans="2:15">
      <c r="B235" s="13"/>
      <c r="C235" s="13"/>
      <c r="D235" s="13"/>
      <c r="E235" s="13"/>
      <c r="F235" s="13"/>
      <c r="G235" s="13"/>
      <c r="H235" s="13"/>
      <c r="I235" s="13"/>
      <c r="J235" s="13"/>
      <c r="K235" s="13"/>
      <c r="L235" s="13"/>
      <c r="M235" s="13"/>
      <c r="N235" s="13"/>
      <c r="O235" s="13"/>
    </row>
    <row r="236" spans="2:15">
      <c r="B236" s="13"/>
      <c r="C236" s="13"/>
      <c r="D236" s="13"/>
      <c r="E236" s="13"/>
      <c r="F236" s="13"/>
      <c r="G236" s="13"/>
      <c r="H236" s="13"/>
      <c r="I236" s="13"/>
      <c r="J236" s="13"/>
      <c r="K236" s="13"/>
      <c r="L236" s="13"/>
      <c r="M236" s="13"/>
      <c r="N236" s="13"/>
      <c r="O236" s="13"/>
    </row>
    <row r="237" spans="2:15">
      <c r="B237" s="13"/>
      <c r="C237" s="13"/>
      <c r="D237" s="13"/>
      <c r="E237" s="13"/>
      <c r="F237" s="13"/>
      <c r="G237" s="13"/>
      <c r="H237" s="13"/>
      <c r="I237" s="13"/>
      <c r="J237" s="13"/>
      <c r="K237" s="13"/>
      <c r="L237" s="13"/>
      <c r="M237" s="13"/>
      <c r="N237" s="13"/>
      <c r="O237" s="13"/>
    </row>
    <row r="238" spans="2:15">
      <c r="B238" s="13"/>
      <c r="C238" s="13"/>
      <c r="D238" s="13"/>
      <c r="E238" s="13"/>
      <c r="F238" s="13"/>
      <c r="G238" s="13"/>
      <c r="H238" s="13"/>
      <c r="I238" s="13"/>
      <c r="J238" s="13"/>
      <c r="K238" s="13"/>
      <c r="L238" s="13"/>
      <c r="M238" s="13"/>
      <c r="N238" s="13"/>
      <c r="O238" s="13"/>
    </row>
    <row r="239" spans="2:15">
      <c r="B239" s="13"/>
      <c r="C239" s="13"/>
      <c r="D239" s="13"/>
      <c r="E239" s="13"/>
      <c r="F239" s="13"/>
      <c r="G239" s="13"/>
      <c r="H239" s="13"/>
      <c r="I239" s="13"/>
      <c r="J239" s="13"/>
      <c r="K239" s="13"/>
      <c r="L239" s="13"/>
      <c r="M239" s="13"/>
      <c r="N239" s="13"/>
      <c r="O239" s="13"/>
    </row>
    <row r="240" spans="2:15">
      <c r="B240" s="13"/>
      <c r="C240" s="13"/>
      <c r="D240" s="13"/>
      <c r="E240" s="13"/>
      <c r="F240" s="13"/>
      <c r="G240" s="13"/>
      <c r="H240" s="13"/>
      <c r="I240" s="13"/>
      <c r="J240" s="13"/>
      <c r="K240" s="13"/>
      <c r="L240" s="13"/>
      <c r="M240" s="13"/>
      <c r="N240" s="13"/>
      <c r="O240" s="13"/>
    </row>
    <row r="241" spans="2:15">
      <c r="B241" s="13"/>
      <c r="C241" s="13"/>
      <c r="D241" s="13"/>
      <c r="E241" s="13"/>
      <c r="F241" s="13"/>
      <c r="G241" s="13"/>
      <c r="H241" s="13"/>
      <c r="I241" s="13"/>
      <c r="J241" s="13"/>
      <c r="K241" s="13"/>
      <c r="L241" s="13"/>
      <c r="M241" s="13"/>
      <c r="N241" s="13"/>
      <c r="O241" s="13"/>
    </row>
    <row r="242" spans="2:15">
      <c r="B242" s="13"/>
      <c r="C242" s="13"/>
      <c r="D242" s="13"/>
      <c r="E242" s="13"/>
      <c r="F242" s="13"/>
      <c r="G242" s="13"/>
      <c r="H242" s="13"/>
      <c r="I242" s="13"/>
      <c r="J242" s="13"/>
      <c r="K242" s="13"/>
      <c r="L242" s="13"/>
      <c r="M242" s="13"/>
      <c r="N242" s="13"/>
      <c r="O242" s="13"/>
    </row>
    <row r="243" spans="2:15">
      <c r="B243" s="13"/>
      <c r="C243" s="13"/>
      <c r="D243" s="13"/>
      <c r="E243" s="13"/>
      <c r="F243" s="13"/>
      <c r="G243" s="13"/>
      <c r="H243" s="13"/>
      <c r="I243" s="13"/>
      <c r="J243" s="13"/>
      <c r="K243" s="13"/>
      <c r="L243" s="13"/>
      <c r="M243" s="13"/>
      <c r="N243" s="13"/>
      <c r="O243" s="13"/>
    </row>
    <row r="244" spans="2:15">
      <c r="B244" s="13"/>
      <c r="C244" s="13"/>
      <c r="D244" s="13"/>
      <c r="E244" s="13"/>
      <c r="F244" s="13"/>
      <c r="G244" s="13"/>
      <c r="H244" s="13"/>
      <c r="I244" s="13"/>
      <c r="J244" s="13"/>
      <c r="K244" s="13"/>
      <c r="L244" s="13"/>
      <c r="M244" s="13"/>
      <c r="N244" s="13"/>
      <c r="O244" s="13"/>
    </row>
    <row r="245" spans="2:15">
      <c r="B245" s="13"/>
      <c r="C245" s="13"/>
      <c r="D245" s="13"/>
      <c r="E245" s="13"/>
      <c r="F245" s="13"/>
      <c r="G245" s="13"/>
      <c r="H245" s="13"/>
      <c r="I245" s="13"/>
      <c r="J245" s="13"/>
      <c r="K245" s="13"/>
      <c r="L245" s="13"/>
      <c r="M245" s="13"/>
      <c r="N245" s="13"/>
      <c r="O245" s="13"/>
    </row>
    <row r="246" spans="2:15">
      <c r="B246" s="13"/>
      <c r="C246" s="13"/>
      <c r="D246" s="13"/>
      <c r="E246" s="13"/>
      <c r="F246" s="13"/>
      <c r="G246" s="13"/>
      <c r="H246" s="13"/>
      <c r="I246" s="13"/>
      <c r="J246" s="13"/>
      <c r="K246" s="13"/>
      <c r="L246" s="13"/>
      <c r="M246" s="13"/>
      <c r="N246" s="13"/>
      <c r="O246" s="13"/>
    </row>
    <row r="247" spans="2:15">
      <c r="B247" s="13"/>
      <c r="C247" s="13"/>
      <c r="D247" s="13"/>
      <c r="E247" s="13"/>
      <c r="F247" s="13"/>
      <c r="G247" s="13"/>
      <c r="H247" s="13"/>
      <c r="I247" s="13"/>
      <c r="J247" s="13"/>
      <c r="K247" s="13"/>
      <c r="L247" s="13"/>
      <c r="M247" s="13"/>
      <c r="N247" s="13"/>
      <c r="O247" s="13"/>
    </row>
    <row r="248" spans="2:15">
      <c r="B248" s="13"/>
      <c r="C248" s="13"/>
      <c r="D248" s="13"/>
      <c r="E248" s="13"/>
      <c r="F248" s="13"/>
      <c r="G248" s="13"/>
      <c r="H248" s="13"/>
      <c r="I248" s="13"/>
      <c r="J248" s="13"/>
      <c r="K248" s="13"/>
      <c r="L248" s="13"/>
      <c r="M248" s="13"/>
      <c r="N248" s="13"/>
      <c r="O248" s="13"/>
    </row>
    <row r="249" spans="2:15">
      <c r="B249" s="13"/>
      <c r="C249" s="13"/>
      <c r="D249" s="13"/>
      <c r="E249" s="13"/>
      <c r="F249" s="13"/>
      <c r="G249" s="13"/>
      <c r="H249" s="13"/>
      <c r="I249" s="13"/>
      <c r="J249" s="13"/>
      <c r="K249" s="13"/>
      <c r="L249" s="13"/>
      <c r="M249" s="13"/>
      <c r="N249" s="13"/>
      <c r="O249" s="13"/>
    </row>
    <row r="250" spans="2:15">
      <c r="B250" s="13"/>
      <c r="C250" s="13"/>
      <c r="D250" s="13"/>
      <c r="E250" s="13"/>
      <c r="F250" s="13"/>
      <c r="G250" s="13"/>
      <c r="H250" s="13"/>
      <c r="I250" s="13"/>
      <c r="J250" s="13"/>
      <c r="K250" s="13"/>
      <c r="L250" s="13"/>
      <c r="M250" s="13"/>
      <c r="N250" s="13"/>
      <c r="O250" s="13"/>
    </row>
    <row r="251" spans="2:15">
      <c r="B251" s="13"/>
      <c r="C251" s="13"/>
      <c r="D251" s="13"/>
      <c r="E251" s="13"/>
      <c r="F251" s="13"/>
      <c r="G251" s="13"/>
      <c r="H251" s="13"/>
      <c r="I251" s="13"/>
      <c r="J251" s="13"/>
      <c r="K251" s="13"/>
      <c r="L251" s="13"/>
      <c r="M251" s="13"/>
      <c r="N251" s="13"/>
      <c r="O251" s="13"/>
    </row>
    <row r="252" spans="2:15">
      <c r="B252" s="13"/>
      <c r="C252" s="13"/>
      <c r="D252" s="13"/>
      <c r="E252" s="13"/>
      <c r="F252" s="13"/>
      <c r="G252" s="13"/>
      <c r="H252" s="13"/>
      <c r="I252" s="13"/>
      <c r="J252" s="13"/>
      <c r="K252" s="13"/>
      <c r="L252" s="13"/>
      <c r="M252" s="13"/>
      <c r="N252" s="13"/>
      <c r="O252" s="13"/>
    </row>
    <row r="253" spans="2:15">
      <c r="B253" s="13"/>
      <c r="C253" s="13"/>
      <c r="D253" s="13"/>
      <c r="E253" s="13"/>
      <c r="F253" s="13"/>
      <c r="G253" s="13"/>
      <c r="H253" s="13"/>
      <c r="I253" s="13"/>
      <c r="J253" s="13"/>
      <c r="K253" s="13"/>
      <c r="L253" s="13"/>
      <c r="M253" s="13"/>
      <c r="N253" s="13"/>
      <c r="O253" s="13"/>
    </row>
    <row r="254" spans="2:15">
      <c r="B254" s="13"/>
      <c r="C254" s="13"/>
      <c r="D254" s="13"/>
      <c r="E254" s="13"/>
      <c r="F254" s="13"/>
      <c r="G254" s="13"/>
      <c r="H254" s="13"/>
      <c r="I254" s="13"/>
      <c r="J254" s="13"/>
      <c r="K254" s="13"/>
      <c r="L254" s="13"/>
      <c r="M254" s="13"/>
      <c r="N254" s="13"/>
      <c r="O254" s="13"/>
    </row>
    <row r="255" spans="2:15">
      <c r="B255" s="13"/>
      <c r="C255" s="13"/>
      <c r="D255" s="13"/>
      <c r="E255" s="13"/>
      <c r="F255" s="13"/>
      <c r="G255" s="13"/>
      <c r="H255" s="13"/>
      <c r="I255" s="13"/>
      <c r="J255" s="13"/>
      <c r="K255" s="13"/>
      <c r="L255" s="13"/>
      <c r="M255" s="13"/>
      <c r="N255" s="13"/>
      <c r="O255" s="13"/>
    </row>
    <row r="256" spans="2:15">
      <c r="B256" s="13"/>
      <c r="C256" s="13"/>
      <c r="D256" s="13"/>
      <c r="E256" s="13"/>
      <c r="F256" s="13"/>
      <c r="G256" s="13"/>
      <c r="H256" s="13"/>
      <c r="I256" s="13"/>
      <c r="J256" s="13"/>
      <c r="K256" s="13"/>
      <c r="L256" s="13"/>
      <c r="M256" s="13"/>
      <c r="N256" s="13"/>
      <c r="O256" s="13"/>
    </row>
    <row r="257" spans="2:15">
      <c r="B257" s="13"/>
      <c r="C257" s="13"/>
      <c r="D257" s="13"/>
      <c r="E257" s="13"/>
      <c r="F257" s="13"/>
      <c r="G257" s="13"/>
      <c r="H257" s="13"/>
      <c r="I257" s="13"/>
      <c r="J257" s="13"/>
      <c r="K257" s="13"/>
      <c r="L257" s="13"/>
      <c r="M257" s="13"/>
      <c r="N257" s="13"/>
      <c r="O257" s="13"/>
    </row>
    <row r="258" spans="2:15">
      <c r="B258" s="13"/>
      <c r="C258" s="13"/>
      <c r="D258" s="13"/>
      <c r="E258" s="13"/>
      <c r="F258" s="13"/>
      <c r="G258" s="13"/>
      <c r="H258" s="13"/>
      <c r="I258" s="13"/>
      <c r="J258" s="13"/>
      <c r="K258" s="13"/>
      <c r="L258" s="13"/>
      <c r="M258" s="13"/>
      <c r="N258" s="13"/>
      <c r="O258" s="13"/>
    </row>
    <row r="259" spans="2:15">
      <c r="B259" s="13"/>
      <c r="C259" s="13"/>
      <c r="D259" s="13"/>
      <c r="E259" s="13"/>
      <c r="F259" s="13"/>
      <c r="G259" s="13"/>
      <c r="H259" s="13"/>
      <c r="I259" s="13"/>
      <c r="J259" s="13"/>
      <c r="K259" s="13"/>
      <c r="L259" s="13"/>
      <c r="M259" s="13"/>
      <c r="N259" s="13"/>
      <c r="O259" s="13"/>
    </row>
    <row r="260" spans="2:15">
      <c r="B260" s="13"/>
      <c r="C260" s="13"/>
      <c r="D260" s="13"/>
      <c r="E260" s="13"/>
      <c r="F260" s="13"/>
      <c r="G260" s="13"/>
      <c r="H260" s="13"/>
      <c r="I260" s="13"/>
      <c r="J260" s="13"/>
      <c r="K260" s="13"/>
      <c r="L260" s="13"/>
      <c r="M260" s="13"/>
      <c r="N260" s="13"/>
      <c r="O260" s="13"/>
    </row>
    <row r="261" spans="2:15">
      <c r="B261" s="13"/>
      <c r="C261" s="13"/>
      <c r="D261" s="13"/>
      <c r="E261" s="13"/>
      <c r="F261" s="13"/>
      <c r="G261" s="13"/>
      <c r="H261" s="13"/>
      <c r="I261" s="13"/>
      <c r="J261" s="13"/>
      <c r="K261" s="13"/>
      <c r="L261" s="13"/>
      <c r="M261" s="13"/>
      <c r="N261" s="13"/>
      <c r="O261" s="13"/>
    </row>
    <row r="262" spans="2:15">
      <c r="B262" s="13"/>
      <c r="C262" s="13"/>
      <c r="D262" s="13"/>
      <c r="E262" s="13"/>
      <c r="F262" s="13"/>
      <c r="G262" s="13"/>
      <c r="H262" s="13"/>
      <c r="I262" s="13"/>
      <c r="J262" s="13"/>
      <c r="K262" s="13"/>
      <c r="L262" s="13"/>
      <c r="M262" s="13"/>
      <c r="N262" s="13"/>
      <c r="O262" s="13"/>
    </row>
    <row r="263" spans="2:15">
      <c r="B263" s="13"/>
      <c r="C263" s="13"/>
      <c r="D263" s="13"/>
      <c r="E263" s="13"/>
      <c r="F263" s="13"/>
      <c r="G263" s="13"/>
      <c r="H263" s="13"/>
      <c r="I263" s="13"/>
      <c r="J263" s="13"/>
      <c r="K263" s="13"/>
      <c r="L263" s="13"/>
      <c r="M263" s="13"/>
      <c r="N263" s="13"/>
      <c r="O263" s="13"/>
    </row>
    <row r="264" spans="2:15">
      <c r="B264" s="13"/>
      <c r="C264" s="13"/>
      <c r="D264" s="13"/>
      <c r="E264" s="13"/>
      <c r="F264" s="13"/>
      <c r="G264" s="13"/>
      <c r="H264" s="13"/>
      <c r="I264" s="13"/>
      <c r="J264" s="13"/>
      <c r="K264" s="13"/>
      <c r="L264" s="13"/>
      <c r="M264" s="13"/>
      <c r="N264" s="13"/>
      <c r="O264" s="13"/>
    </row>
    <row r="265" spans="2:15">
      <c r="B265" s="13"/>
      <c r="C265" s="13"/>
      <c r="D265" s="13"/>
      <c r="E265" s="13"/>
      <c r="F265" s="13"/>
      <c r="G265" s="13"/>
      <c r="H265" s="13"/>
      <c r="I265" s="13"/>
      <c r="J265" s="13"/>
      <c r="K265" s="13"/>
      <c r="L265" s="13"/>
      <c r="M265" s="13"/>
      <c r="N265" s="13"/>
      <c r="O265" s="13"/>
    </row>
    <row r="266" spans="2:15">
      <c r="B266" s="13"/>
      <c r="C266" s="13"/>
      <c r="D266" s="13"/>
      <c r="E266" s="13"/>
      <c r="F266" s="13"/>
      <c r="G266" s="13"/>
      <c r="H266" s="13"/>
      <c r="I266" s="13"/>
      <c r="J266" s="13"/>
      <c r="K266" s="13"/>
      <c r="L266" s="13"/>
      <c r="M266" s="13"/>
      <c r="N266" s="13"/>
      <c r="O266" s="13"/>
    </row>
    <row r="267" spans="2:15">
      <c r="B267" s="13"/>
      <c r="C267" s="13"/>
      <c r="D267" s="13"/>
      <c r="E267" s="13"/>
      <c r="F267" s="13"/>
      <c r="G267" s="13"/>
      <c r="H267" s="13"/>
      <c r="I267" s="13"/>
      <c r="J267" s="13"/>
      <c r="K267" s="13"/>
      <c r="L267" s="13"/>
      <c r="M267" s="13"/>
      <c r="N267" s="13"/>
      <c r="O267" s="13"/>
    </row>
    <row r="268" spans="2:15">
      <c r="B268" s="13"/>
      <c r="C268" s="13"/>
      <c r="D268" s="13"/>
      <c r="E268" s="13"/>
      <c r="F268" s="13"/>
      <c r="G268" s="13"/>
      <c r="H268" s="13"/>
      <c r="I268" s="13"/>
      <c r="J268" s="13"/>
      <c r="K268" s="13"/>
      <c r="L268" s="13"/>
      <c r="M268" s="13"/>
      <c r="N268" s="13"/>
      <c r="O268" s="13"/>
    </row>
    <row r="269" spans="2:15">
      <c r="B269" s="13"/>
      <c r="C269" s="13"/>
      <c r="D269" s="13"/>
      <c r="E269" s="13"/>
      <c r="F269" s="13"/>
      <c r="G269" s="13"/>
      <c r="H269" s="13"/>
      <c r="I269" s="13"/>
      <c r="J269" s="13"/>
      <c r="K269" s="13"/>
      <c r="L269" s="13"/>
      <c r="M269" s="13"/>
      <c r="N269" s="13"/>
      <c r="O269" s="13"/>
    </row>
    <row r="270" spans="2:15">
      <c r="B270" s="13"/>
      <c r="C270" s="13"/>
      <c r="D270" s="13"/>
      <c r="E270" s="13"/>
      <c r="F270" s="13"/>
      <c r="G270" s="13"/>
      <c r="H270" s="13"/>
      <c r="I270" s="13"/>
      <c r="J270" s="13"/>
      <c r="K270" s="13"/>
      <c r="L270" s="13"/>
      <c r="M270" s="13"/>
      <c r="N270" s="13"/>
      <c r="O270" s="13"/>
    </row>
    <row r="271" spans="2:15">
      <c r="B271" s="13"/>
      <c r="C271" s="13"/>
      <c r="D271" s="13"/>
      <c r="E271" s="13"/>
      <c r="F271" s="13"/>
      <c r="G271" s="13"/>
      <c r="H271" s="13"/>
      <c r="I271" s="13"/>
      <c r="J271" s="13"/>
      <c r="K271" s="13"/>
      <c r="L271" s="13"/>
      <c r="M271" s="13"/>
      <c r="N271" s="13"/>
      <c r="O271" s="13"/>
    </row>
    <row r="272" spans="2:15">
      <c r="B272" s="13"/>
      <c r="C272" s="13"/>
      <c r="D272" s="13"/>
      <c r="E272" s="13"/>
      <c r="F272" s="13"/>
      <c r="G272" s="13"/>
      <c r="H272" s="13"/>
      <c r="I272" s="13"/>
      <c r="J272" s="13"/>
      <c r="K272" s="13"/>
      <c r="L272" s="13"/>
      <c r="M272" s="13"/>
      <c r="N272" s="13"/>
      <c r="O272" s="13"/>
    </row>
    <row r="273" spans="2:15">
      <c r="B273" s="13"/>
      <c r="C273" s="13"/>
      <c r="D273" s="13"/>
      <c r="E273" s="13"/>
      <c r="F273" s="13"/>
      <c r="G273" s="13"/>
      <c r="H273" s="13"/>
      <c r="I273" s="13"/>
      <c r="J273" s="13"/>
      <c r="K273" s="13"/>
      <c r="L273" s="13"/>
      <c r="M273" s="13"/>
      <c r="N273" s="13"/>
      <c r="O273" s="13"/>
    </row>
    <row r="274" spans="2:15">
      <c r="B274" s="13"/>
      <c r="C274" s="13"/>
      <c r="D274" s="13"/>
      <c r="E274" s="13"/>
      <c r="F274" s="13"/>
      <c r="G274" s="13"/>
      <c r="H274" s="13"/>
      <c r="I274" s="13"/>
      <c r="J274" s="13"/>
      <c r="K274" s="13"/>
      <c r="L274" s="13"/>
      <c r="M274" s="13"/>
      <c r="N274" s="13"/>
      <c r="O274" s="13"/>
    </row>
    <row r="275" spans="2:15">
      <c r="B275" s="13"/>
      <c r="C275" s="13"/>
      <c r="D275" s="13"/>
      <c r="E275" s="13"/>
      <c r="F275" s="13"/>
      <c r="G275" s="13"/>
      <c r="H275" s="13"/>
      <c r="I275" s="13"/>
      <c r="J275" s="13"/>
      <c r="K275" s="13"/>
      <c r="L275" s="13"/>
      <c r="M275" s="13"/>
      <c r="N275" s="13"/>
      <c r="O275" s="13"/>
    </row>
    <row r="276" spans="2:15">
      <c r="B276" s="13"/>
      <c r="C276" s="13"/>
      <c r="D276" s="13"/>
      <c r="E276" s="13"/>
      <c r="F276" s="13"/>
      <c r="G276" s="13"/>
      <c r="H276" s="13"/>
      <c r="I276" s="13"/>
      <c r="J276" s="13"/>
      <c r="K276" s="13"/>
      <c r="L276" s="13"/>
      <c r="M276" s="13"/>
      <c r="N276" s="13"/>
      <c r="O276" s="13"/>
    </row>
    <row r="277" spans="2:15">
      <c r="B277" s="13"/>
      <c r="C277" s="13"/>
      <c r="D277" s="13"/>
      <c r="E277" s="13"/>
      <c r="F277" s="13"/>
      <c r="G277" s="13"/>
      <c r="H277" s="13"/>
      <c r="I277" s="13"/>
      <c r="J277" s="13"/>
      <c r="K277" s="13"/>
      <c r="L277" s="13"/>
      <c r="M277" s="13"/>
      <c r="N277" s="13"/>
      <c r="O277" s="13"/>
    </row>
    <row r="278" spans="2:15">
      <c r="B278" s="13"/>
      <c r="C278" s="13"/>
      <c r="D278" s="13"/>
      <c r="E278" s="13"/>
      <c r="F278" s="13"/>
      <c r="G278" s="13"/>
      <c r="H278" s="13"/>
      <c r="I278" s="13"/>
      <c r="J278" s="13"/>
      <c r="K278" s="13"/>
      <c r="L278" s="13"/>
      <c r="M278" s="13"/>
      <c r="N278" s="13"/>
      <c r="O278" s="13"/>
    </row>
    <row r="279" spans="2:15">
      <c r="B279" s="13"/>
      <c r="C279" s="13"/>
      <c r="D279" s="13"/>
      <c r="E279" s="13"/>
      <c r="F279" s="13"/>
      <c r="G279" s="13"/>
      <c r="H279" s="13"/>
      <c r="I279" s="13"/>
      <c r="J279" s="13"/>
      <c r="K279" s="13"/>
      <c r="L279" s="13"/>
      <c r="M279" s="13"/>
      <c r="N279" s="13"/>
      <c r="O279" s="13"/>
    </row>
    <row r="280" spans="2:15">
      <c r="B280" s="13"/>
      <c r="C280" s="13"/>
      <c r="D280" s="13"/>
      <c r="E280" s="13"/>
      <c r="F280" s="13"/>
      <c r="G280" s="13"/>
      <c r="H280" s="13"/>
      <c r="I280" s="13"/>
      <c r="J280" s="13"/>
      <c r="K280" s="13"/>
      <c r="L280" s="13"/>
      <c r="M280" s="13"/>
      <c r="N280" s="13"/>
      <c r="O280" s="13"/>
    </row>
    <row r="281" spans="2:15">
      <c r="B281" s="13"/>
      <c r="C281" s="13"/>
      <c r="D281" s="13"/>
      <c r="E281" s="13"/>
      <c r="F281" s="13"/>
      <c r="G281" s="13"/>
      <c r="H281" s="13"/>
      <c r="I281" s="13"/>
      <c r="J281" s="13"/>
      <c r="K281" s="13"/>
      <c r="L281" s="13"/>
      <c r="M281" s="13"/>
      <c r="N281" s="13"/>
      <c r="O281" s="13"/>
    </row>
    <row r="282" spans="2:15">
      <c r="B282" s="13"/>
      <c r="C282" s="13"/>
      <c r="D282" s="13"/>
      <c r="E282" s="13"/>
      <c r="F282" s="13"/>
      <c r="G282" s="13"/>
      <c r="H282" s="13"/>
      <c r="I282" s="13"/>
      <c r="J282" s="13"/>
      <c r="K282" s="13"/>
      <c r="L282" s="13"/>
      <c r="M282" s="13"/>
      <c r="N282" s="13"/>
      <c r="O282" s="13"/>
    </row>
    <row r="283" spans="2:15">
      <c r="B283" s="13"/>
      <c r="C283" s="13"/>
      <c r="D283" s="13"/>
      <c r="E283" s="13"/>
      <c r="F283" s="13"/>
      <c r="G283" s="13"/>
      <c r="H283" s="13"/>
      <c r="I283" s="13"/>
      <c r="J283" s="13"/>
      <c r="K283" s="13"/>
      <c r="L283" s="13"/>
      <c r="M283" s="13"/>
      <c r="N283" s="13"/>
      <c r="O283" s="13"/>
    </row>
    <row r="284" spans="2:15">
      <c r="B284" s="13"/>
      <c r="C284" s="13"/>
      <c r="D284" s="13"/>
      <c r="E284" s="13"/>
      <c r="F284" s="13"/>
      <c r="G284" s="13"/>
      <c r="H284" s="13"/>
      <c r="I284" s="13"/>
      <c r="J284" s="13"/>
      <c r="K284" s="13"/>
      <c r="L284" s="13"/>
      <c r="M284" s="13"/>
      <c r="N284" s="13"/>
      <c r="O284" s="13"/>
    </row>
    <row r="285" spans="2:15">
      <c r="B285" s="13"/>
      <c r="C285" s="13"/>
      <c r="D285" s="13"/>
      <c r="E285" s="13"/>
      <c r="F285" s="13"/>
      <c r="G285" s="13"/>
      <c r="H285" s="13"/>
      <c r="I285" s="13"/>
      <c r="J285" s="13"/>
      <c r="K285" s="13"/>
      <c r="L285" s="13"/>
      <c r="M285" s="13"/>
      <c r="N285" s="13"/>
      <c r="O285" s="13"/>
    </row>
    <row r="286" spans="2:15">
      <c r="B286" s="13"/>
      <c r="C286" s="13"/>
      <c r="D286" s="13"/>
      <c r="E286" s="13"/>
      <c r="F286" s="13"/>
      <c r="G286" s="13"/>
      <c r="H286" s="13"/>
      <c r="I286" s="13"/>
      <c r="J286" s="13"/>
      <c r="K286" s="13"/>
      <c r="L286" s="13"/>
      <c r="M286" s="13"/>
      <c r="N286" s="13"/>
      <c r="O286" s="13"/>
    </row>
    <row r="287" spans="2:15">
      <c r="B287" s="13"/>
      <c r="C287" s="13"/>
      <c r="D287" s="13"/>
      <c r="E287" s="13"/>
      <c r="F287" s="13"/>
      <c r="G287" s="13"/>
      <c r="H287" s="13"/>
      <c r="I287" s="13"/>
      <c r="J287" s="13"/>
      <c r="K287" s="13"/>
      <c r="L287" s="13"/>
      <c r="M287" s="13"/>
      <c r="N287" s="13"/>
      <c r="O287" s="13"/>
    </row>
    <row r="288" spans="2:15">
      <c r="B288" s="13"/>
      <c r="C288" s="13"/>
      <c r="D288" s="13"/>
      <c r="E288" s="13"/>
      <c r="F288" s="13"/>
      <c r="G288" s="13"/>
      <c r="H288" s="13"/>
      <c r="I288" s="13"/>
      <c r="J288" s="13"/>
      <c r="K288" s="13"/>
      <c r="L288" s="13"/>
      <c r="M288" s="13"/>
      <c r="N288" s="13"/>
      <c r="O288" s="13"/>
    </row>
    <row r="289" spans="2:15">
      <c r="B289" s="13"/>
      <c r="C289" s="13"/>
      <c r="D289" s="13"/>
      <c r="E289" s="13"/>
      <c r="F289" s="13"/>
      <c r="G289" s="13"/>
      <c r="H289" s="13"/>
      <c r="I289" s="13"/>
      <c r="J289" s="13"/>
      <c r="K289" s="13"/>
      <c r="L289" s="13"/>
      <c r="M289" s="13"/>
      <c r="N289" s="13"/>
      <c r="O289" s="13"/>
    </row>
    <row r="290" spans="2:15">
      <c r="B290" s="13"/>
      <c r="C290" s="13"/>
      <c r="D290" s="13"/>
      <c r="E290" s="13"/>
      <c r="F290" s="13"/>
      <c r="G290" s="13"/>
      <c r="H290" s="13"/>
      <c r="I290" s="13"/>
      <c r="J290" s="13"/>
      <c r="K290" s="13"/>
      <c r="L290" s="13"/>
      <c r="M290" s="13"/>
      <c r="N290" s="13"/>
      <c r="O290" s="13"/>
    </row>
    <row r="291" spans="2:15">
      <c r="B291" s="13"/>
      <c r="C291" s="13"/>
      <c r="D291" s="13"/>
      <c r="E291" s="13"/>
      <c r="F291" s="13"/>
      <c r="G291" s="13"/>
      <c r="H291" s="13"/>
      <c r="I291" s="13"/>
      <c r="J291" s="13"/>
      <c r="K291" s="13"/>
      <c r="L291" s="13"/>
      <c r="M291" s="13"/>
      <c r="N291" s="13"/>
      <c r="O291" s="13"/>
    </row>
    <row r="292" spans="2:15">
      <c r="B292" s="13"/>
      <c r="C292" s="13"/>
      <c r="D292" s="13"/>
      <c r="E292" s="13"/>
      <c r="F292" s="13"/>
      <c r="G292" s="13"/>
      <c r="H292" s="13"/>
      <c r="I292" s="13"/>
      <c r="J292" s="13"/>
      <c r="K292" s="13"/>
      <c r="L292" s="13"/>
      <c r="M292" s="13"/>
      <c r="N292" s="13"/>
      <c r="O292" s="13"/>
    </row>
    <row r="293" spans="2:15">
      <c r="B293" s="13"/>
      <c r="C293" s="13"/>
      <c r="D293" s="13"/>
      <c r="E293" s="13"/>
      <c r="F293" s="13"/>
      <c r="G293" s="13"/>
      <c r="H293" s="13"/>
      <c r="I293" s="13"/>
      <c r="J293" s="13"/>
      <c r="K293" s="13"/>
      <c r="L293" s="13"/>
      <c r="M293" s="13"/>
      <c r="N293" s="13"/>
      <c r="O293" s="13"/>
    </row>
    <row r="294" spans="2:15">
      <c r="B294" s="13"/>
      <c r="C294" s="13"/>
      <c r="D294" s="13"/>
      <c r="E294" s="13"/>
      <c r="F294" s="13"/>
      <c r="G294" s="13"/>
      <c r="H294" s="13"/>
      <c r="I294" s="13"/>
      <c r="J294" s="13"/>
      <c r="K294" s="13"/>
      <c r="L294" s="13"/>
      <c r="M294" s="13"/>
      <c r="N294" s="13"/>
      <c r="O294" s="13"/>
    </row>
    <row r="295" spans="2:15">
      <c r="B295" s="13"/>
      <c r="C295" s="13"/>
      <c r="D295" s="13"/>
      <c r="E295" s="13"/>
      <c r="F295" s="13"/>
      <c r="G295" s="13"/>
      <c r="H295" s="13"/>
      <c r="I295" s="13"/>
      <c r="J295" s="13"/>
      <c r="K295" s="13"/>
      <c r="L295" s="13"/>
      <c r="M295" s="13"/>
      <c r="N295" s="13"/>
      <c r="O295" s="13"/>
    </row>
    <row r="296" spans="2:15">
      <c r="B296" s="13"/>
      <c r="C296" s="13"/>
      <c r="D296" s="13"/>
      <c r="E296" s="13"/>
      <c r="F296" s="13"/>
      <c r="G296" s="13"/>
      <c r="H296" s="13"/>
      <c r="I296" s="13"/>
      <c r="J296" s="13"/>
      <c r="K296" s="13"/>
      <c r="L296" s="13"/>
      <c r="M296" s="13"/>
      <c r="N296" s="13"/>
      <c r="O296" s="13"/>
    </row>
    <row r="297" spans="2:15">
      <c r="B297" s="13"/>
      <c r="C297" s="13"/>
      <c r="D297" s="13"/>
      <c r="E297" s="13"/>
      <c r="F297" s="13"/>
      <c r="G297" s="13"/>
      <c r="H297" s="13"/>
      <c r="I297" s="13"/>
      <c r="J297" s="13"/>
      <c r="K297" s="13"/>
      <c r="L297" s="13"/>
      <c r="M297" s="13"/>
      <c r="N297" s="13"/>
      <c r="O297" s="13"/>
    </row>
    <row r="298" spans="2:15">
      <c r="B298" s="13"/>
      <c r="C298" s="13"/>
      <c r="D298" s="13"/>
      <c r="E298" s="13"/>
      <c r="F298" s="13"/>
      <c r="G298" s="13"/>
      <c r="H298" s="13"/>
      <c r="I298" s="13"/>
      <c r="J298" s="13"/>
      <c r="K298" s="13"/>
      <c r="L298" s="13"/>
      <c r="M298" s="13"/>
      <c r="N298" s="13"/>
      <c r="O298" s="13"/>
    </row>
    <row r="299" spans="2:15">
      <c r="B299" s="13"/>
      <c r="C299" s="13"/>
      <c r="D299" s="13"/>
      <c r="E299" s="13"/>
      <c r="F299" s="13"/>
      <c r="G299" s="13"/>
      <c r="H299" s="13"/>
      <c r="I299" s="13"/>
      <c r="J299" s="13"/>
      <c r="K299" s="13"/>
      <c r="L299" s="13"/>
      <c r="M299" s="13"/>
      <c r="N299" s="13"/>
      <c r="O299" s="13"/>
    </row>
    <row r="300" spans="2:15">
      <c r="B300" s="13"/>
      <c r="C300" s="13"/>
      <c r="D300" s="13"/>
      <c r="E300" s="13"/>
      <c r="F300" s="13"/>
      <c r="G300" s="13"/>
      <c r="H300" s="13"/>
      <c r="I300" s="13"/>
      <c r="J300" s="13"/>
      <c r="K300" s="13"/>
      <c r="L300" s="13"/>
      <c r="M300" s="13"/>
      <c r="N300" s="13"/>
      <c r="O300" s="13"/>
    </row>
    <row r="301" spans="2:15">
      <c r="B301" s="13"/>
      <c r="C301" s="13"/>
      <c r="D301" s="13"/>
      <c r="E301" s="13"/>
      <c r="F301" s="13"/>
      <c r="G301" s="13"/>
      <c r="H301" s="13"/>
      <c r="I301" s="13"/>
      <c r="J301" s="13"/>
      <c r="K301" s="13"/>
      <c r="L301" s="13"/>
      <c r="M301" s="13"/>
      <c r="N301" s="13"/>
      <c r="O301" s="13"/>
    </row>
    <row r="302" spans="2:15">
      <c r="B302" s="13"/>
      <c r="C302" s="13"/>
      <c r="D302" s="13"/>
      <c r="E302" s="13"/>
      <c r="F302" s="13"/>
      <c r="G302" s="13"/>
      <c r="H302" s="13"/>
      <c r="I302" s="13"/>
      <c r="J302" s="13"/>
      <c r="K302" s="13"/>
      <c r="L302" s="13"/>
      <c r="M302" s="13"/>
      <c r="N302" s="13"/>
      <c r="O302" s="13"/>
    </row>
    <row r="303" spans="2:15">
      <c r="B303" s="13"/>
      <c r="C303" s="13"/>
      <c r="D303" s="13"/>
      <c r="E303" s="13"/>
      <c r="F303" s="13"/>
      <c r="G303" s="13"/>
      <c r="H303" s="13"/>
      <c r="I303" s="13"/>
      <c r="J303" s="13"/>
      <c r="K303" s="13"/>
      <c r="L303" s="13"/>
      <c r="M303" s="13"/>
      <c r="N303" s="13"/>
      <c r="O303" s="13"/>
    </row>
    <row r="304" spans="2:15">
      <c r="B304" s="13"/>
      <c r="C304" s="13"/>
      <c r="D304" s="13"/>
      <c r="E304" s="13"/>
      <c r="F304" s="13"/>
      <c r="G304" s="13"/>
      <c r="H304" s="13"/>
      <c r="I304" s="13"/>
      <c r="J304" s="13"/>
      <c r="K304" s="13"/>
      <c r="L304" s="13"/>
      <c r="M304" s="13"/>
      <c r="N304" s="13"/>
      <c r="O304" s="13"/>
    </row>
    <row r="305" spans="2:15">
      <c r="B305" s="13"/>
      <c r="C305" s="13"/>
      <c r="D305" s="13"/>
      <c r="E305" s="13"/>
      <c r="F305" s="13"/>
      <c r="G305" s="13"/>
      <c r="H305" s="13"/>
      <c r="I305" s="13"/>
      <c r="J305" s="13"/>
      <c r="K305" s="13"/>
      <c r="L305" s="13"/>
      <c r="M305" s="13"/>
      <c r="N305" s="13"/>
      <c r="O305" s="13"/>
    </row>
    <row r="306" spans="2:15">
      <c r="B306" s="13"/>
      <c r="C306" s="13"/>
      <c r="D306" s="13"/>
      <c r="E306" s="13"/>
      <c r="F306" s="13"/>
      <c r="G306" s="13"/>
      <c r="H306" s="13"/>
      <c r="I306" s="13"/>
      <c r="J306" s="13"/>
      <c r="K306" s="13"/>
      <c r="L306" s="13"/>
      <c r="M306" s="13"/>
      <c r="N306" s="13"/>
      <c r="O306" s="13"/>
    </row>
    <row r="307" spans="2:15">
      <c r="B307" s="13"/>
      <c r="C307" s="13"/>
      <c r="D307" s="13"/>
      <c r="E307" s="13"/>
      <c r="F307" s="13"/>
      <c r="G307" s="13"/>
      <c r="H307" s="13"/>
      <c r="I307" s="13"/>
      <c r="J307" s="13"/>
      <c r="K307" s="13"/>
      <c r="L307" s="13"/>
      <c r="M307" s="13"/>
      <c r="N307" s="13"/>
      <c r="O307" s="13"/>
    </row>
    <row r="308" spans="2:15">
      <c r="B308" s="13"/>
      <c r="C308" s="13"/>
      <c r="D308" s="13"/>
      <c r="E308" s="13"/>
      <c r="F308" s="13"/>
      <c r="G308" s="13"/>
      <c r="H308" s="13"/>
      <c r="I308" s="13"/>
      <c r="J308" s="13"/>
      <c r="K308" s="13"/>
      <c r="L308" s="13"/>
      <c r="M308" s="13"/>
      <c r="N308" s="13"/>
      <c r="O308" s="13"/>
    </row>
    <row r="309" spans="2:15">
      <c r="B309" s="13"/>
      <c r="C309" s="13"/>
      <c r="D309" s="13"/>
      <c r="E309" s="13"/>
      <c r="F309" s="13"/>
      <c r="G309" s="13"/>
      <c r="H309" s="13"/>
      <c r="I309" s="13"/>
      <c r="J309" s="13"/>
      <c r="K309" s="13"/>
      <c r="L309" s="13"/>
      <c r="M309" s="13"/>
      <c r="N309" s="13"/>
      <c r="O309" s="13"/>
    </row>
    <row r="310" spans="2:15">
      <c r="B310" s="13"/>
      <c r="C310" s="13"/>
      <c r="D310" s="13"/>
      <c r="E310" s="13"/>
      <c r="F310" s="13"/>
      <c r="G310" s="13"/>
      <c r="H310" s="13"/>
      <c r="I310" s="13"/>
      <c r="J310" s="13"/>
      <c r="K310" s="13"/>
      <c r="L310" s="13"/>
      <c r="M310" s="13"/>
      <c r="N310" s="13"/>
      <c r="O310" s="13"/>
    </row>
    <row r="311" spans="2:15">
      <c r="B311" s="13"/>
      <c r="C311" s="13"/>
      <c r="D311" s="13"/>
      <c r="E311" s="13"/>
      <c r="F311" s="13"/>
      <c r="G311" s="13"/>
      <c r="H311" s="13"/>
      <c r="I311" s="13"/>
      <c r="J311" s="13"/>
      <c r="K311" s="13"/>
      <c r="L311" s="13"/>
      <c r="M311" s="13"/>
      <c r="N311" s="13"/>
      <c r="O311" s="13"/>
    </row>
    <row r="312" spans="2:15">
      <c r="B312" s="13"/>
      <c r="C312" s="13"/>
      <c r="D312" s="13"/>
      <c r="E312" s="13"/>
      <c r="F312" s="13"/>
      <c r="G312" s="13"/>
      <c r="H312" s="13"/>
      <c r="I312" s="13"/>
      <c r="J312" s="13"/>
      <c r="K312" s="13"/>
      <c r="L312" s="13"/>
      <c r="M312" s="13"/>
      <c r="N312" s="13"/>
      <c r="O312" s="13"/>
    </row>
    <row r="313" spans="2:15">
      <c r="B313" s="13"/>
      <c r="C313" s="13"/>
      <c r="D313" s="13"/>
      <c r="E313" s="13"/>
      <c r="F313" s="13"/>
      <c r="G313" s="13"/>
      <c r="H313" s="13"/>
      <c r="I313" s="13"/>
      <c r="J313" s="13"/>
      <c r="K313" s="13"/>
      <c r="L313" s="13"/>
      <c r="M313" s="13"/>
      <c r="N313" s="13"/>
      <c r="O313" s="13"/>
    </row>
    <row r="314" spans="2:15">
      <c r="B314" s="13"/>
      <c r="C314" s="13"/>
      <c r="D314" s="13"/>
      <c r="E314" s="13"/>
      <c r="F314" s="13"/>
      <c r="G314" s="13"/>
      <c r="H314" s="13"/>
      <c r="I314" s="13"/>
      <c r="J314" s="13"/>
      <c r="K314" s="13"/>
      <c r="L314" s="13"/>
      <c r="M314" s="13"/>
      <c r="N314" s="13"/>
      <c r="O314" s="13"/>
    </row>
    <row r="315" spans="2:15">
      <c r="B315" s="13"/>
      <c r="C315" s="13"/>
      <c r="D315" s="13"/>
      <c r="E315" s="13"/>
      <c r="F315" s="13"/>
      <c r="G315" s="13"/>
      <c r="H315" s="13"/>
      <c r="I315" s="13"/>
      <c r="J315" s="13"/>
      <c r="K315" s="13"/>
      <c r="L315" s="13"/>
      <c r="M315" s="13"/>
      <c r="N315" s="13"/>
      <c r="O315" s="13"/>
    </row>
    <row r="316" spans="2:15">
      <c r="B316" s="13"/>
      <c r="C316" s="13"/>
      <c r="D316" s="13"/>
      <c r="E316" s="13"/>
      <c r="F316" s="13"/>
      <c r="G316" s="13"/>
      <c r="H316" s="13"/>
      <c r="I316" s="13"/>
      <c r="J316" s="13"/>
      <c r="K316" s="13"/>
      <c r="L316" s="13"/>
      <c r="M316" s="13"/>
      <c r="N316" s="13"/>
      <c r="O316" s="13"/>
    </row>
    <row r="317" spans="2:15">
      <c r="B317" s="13"/>
      <c r="C317" s="13"/>
      <c r="D317" s="13"/>
      <c r="E317" s="13"/>
      <c r="F317" s="13"/>
      <c r="G317" s="13"/>
      <c r="H317" s="13"/>
      <c r="I317" s="13"/>
      <c r="J317" s="13"/>
      <c r="K317" s="13"/>
      <c r="L317" s="13"/>
      <c r="M317" s="13"/>
      <c r="N317" s="13"/>
      <c r="O317" s="13"/>
    </row>
    <row r="318" spans="2:15">
      <c r="B318" s="13"/>
      <c r="C318" s="13"/>
      <c r="D318" s="13"/>
      <c r="E318" s="13"/>
      <c r="F318" s="13"/>
      <c r="G318" s="13"/>
      <c r="H318" s="13"/>
      <c r="I318" s="13"/>
      <c r="J318" s="13"/>
      <c r="K318" s="13"/>
      <c r="L318" s="13"/>
      <c r="M318" s="13"/>
      <c r="N318" s="13"/>
      <c r="O318" s="13"/>
    </row>
    <row r="319" spans="2:15">
      <c r="B319" s="13"/>
      <c r="C319" s="13"/>
      <c r="D319" s="13"/>
      <c r="E319" s="13"/>
      <c r="F319" s="13"/>
      <c r="G319" s="13"/>
      <c r="H319" s="13"/>
      <c r="I319" s="13"/>
      <c r="J319" s="13"/>
      <c r="K319" s="13"/>
      <c r="L319" s="13"/>
      <c r="M319" s="13"/>
      <c r="N319" s="13"/>
      <c r="O319" s="13"/>
    </row>
    <row r="320" spans="2:15">
      <c r="B320" s="13"/>
      <c r="C320" s="13"/>
      <c r="D320" s="13"/>
      <c r="E320" s="13"/>
      <c r="F320" s="13"/>
      <c r="G320" s="13"/>
      <c r="H320" s="13"/>
      <c r="I320" s="13"/>
      <c r="J320" s="13"/>
      <c r="K320" s="13"/>
      <c r="L320" s="13"/>
      <c r="M320" s="13"/>
      <c r="N320" s="13"/>
      <c r="O320" s="13"/>
    </row>
    <row r="321" spans="2:15">
      <c r="B321" s="13"/>
      <c r="C321" s="13"/>
      <c r="D321" s="13"/>
      <c r="E321" s="13"/>
      <c r="F321" s="13"/>
      <c r="G321" s="13"/>
      <c r="H321" s="13"/>
      <c r="I321" s="13"/>
      <c r="J321" s="13"/>
      <c r="K321" s="13"/>
      <c r="L321" s="13"/>
      <c r="M321" s="13"/>
      <c r="N321" s="13"/>
      <c r="O321" s="13"/>
    </row>
    <row r="322" spans="2:15">
      <c r="B322" s="13"/>
      <c r="C322" s="13"/>
      <c r="D322" s="13"/>
      <c r="E322" s="13"/>
      <c r="F322" s="13"/>
      <c r="G322" s="13"/>
      <c r="H322" s="13"/>
      <c r="I322" s="13"/>
      <c r="J322" s="13"/>
      <c r="K322" s="13"/>
      <c r="L322" s="13"/>
      <c r="M322" s="13"/>
      <c r="N322" s="13"/>
      <c r="O322" s="13"/>
    </row>
    <row r="323" spans="2:15">
      <c r="B323" s="13"/>
      <c r="C323" s="13"/>
      <c r="D323" s="13"/>
      <c r="E323" s="13"/>
      <c r="F323" s="13"/>
      <c r="G323" s="13"/>
      <c r="H323" s="13"/>
      <c r="I323" s="13"/>
      <c r="J323" s="13"/>
      <c r="K323" s="13"/>
      <c r="L323" s="13"/>
      <c r="M323" s="13"/>
      <c r="N323" s="13"/>
      <c r="O323" s="13"/>
    </row>
    <row r="324" spans="2:15">
      <c r="B324" s="13"/>
      <c r="C324" s="13"/>
      <c r="D324" s="13"/>
      <c r="E324" s="13"/>
      <c r="F324" s="13"/>
      <c r="G324" s="13"/>
      <c r="H324" s="13"/>
      <c r="I324" s="13"/>
      <c r="J324" s="13"/>
      <c r="K324" s="13"/>
      <c r="L324" s="13"/>
      <c r="M324" s="13"/>
      <c r="N324" s="13"/>
      <c r="O324" s="13"/>
    </row>
    <row r="325" spans="2:15">
      <c r="B325" s="13"/>
      <c r="C325" s="13"/>
      <c r="D325" s="13"/>
      <c r="E325" s="13"/>
      <c r="F325" s="13"/>
      <c r="G325" s="13"/>
      <c r="H325" s="13"/>
      <c r="I325" s="13"/>
      <c r="J325" s="13"/>
      <c r="K325" s="13"/>
      <c r="L325" s="13"/>
      <c r="M325" s="13"/>
      <c r="N325" s="13"/>
      <c r="O325" s="13"/>
    </row>
    <row r="326" spans="2:15">
      <c r="B326" s="13"/>
      <c r="C326" s="13"/>
      <c r="D326" s="13"/>
      <c r="E326" s="13"/>
      <c r="F326" s="13"/>
      <c r="G326" s="13"/>
      <c r="H326" s="13"/>
      <c r="I326" s="13"/>
      <c r="J326" s="13"/>
      <c r="K326" s="13"/>
      <c r="L326" s="13"/>
      <c r="M326" s="13"/>
      <c r="N326" s="13"/>
      <c r="O326" s="13"/>
    </row>
    <row r="327" spans="2:15">
      <c r="B327" s="13"/>
      <c r="C327" s="13"/>
      <c r="D327" s="13"/>
      <c r="E327" s="13"/>
      <c r="F327" s="13"/>
      <c r="G327" s="13"/>
      <c r="H327" s="13"/>
      <c r="I327" s="13"/>
      <c r="J327" s="13"/>
      <c r="K327" s="13"/>
      <c r="L327" s="13"/>
      <c r="M327" s="13"/>
      <c r="N327" s="13"/>
      <c r="O327" s="13"/>
    </row>
    <row r="328" spans="2:15">
      <c r="B328" s="13"/>
      <c r="C328" s="13"/>
      <c r="D328" s="13"/>
      <c r="E328" s="13"/>
      <c r="F328" s="13"/>
      <c r="G328" s="13"/>
      <c r="H328" s="13"/>
      <c r="I328" s="13"/>
      <c r="J328" s="13"/>
      <c r="K328" s="13"/>
      <c r="L328" s="13"/>
      <c r="M328" s="13"/>
      <c r="N328" s="13"/>
      <c r="O328" s="13"/>
    </row>
    <row r="329" spans="2:15">
      <c r="B329" s="13"/>
      <c r="C329" s="13"/>
      <c r="D329" s="13"/>
      <c r="E329" s="13"/>
      <c r="F329" s="13"/>
      <c r="G329" s="13"/>
      <c r="H329" s="13"/>
      <c r="I329" s="13"/>
      <c r="J329" s="13"/>
      <c r="K329" s="13"/>
      <c r="L329" s="13"/>
      <c r="M329" s="13"/>
      <c r="N329" s="13"/>
      <c r="O329" s="13"/>
    </row>
    <row r="330" spans="2:15">
      <c r="B330" s="13"/>
      <c r="C330" s="13"/>
      <c r="D330" s="13"/>
      <c r="E330" s="13"/>
      <c r="F330" s="13"/>
      <c r="G330" s="13"/>
      <c r="H330" s="13"/>
      <c r="I330" s="13"/>
      <c r="J330" s="13"/>
      <c r="K330" s="13"/>
      <c r="L330" s="13"/>
      <c r="M330" s="13"/>
      <c r="N330" s="13"/>
      <c r="O330" s="13"/>
    </row>
    <row r="331" spans="2:15">
      <c r="B331" s="13"/>
      <c r="C331" s="13"/>
      <c r="D331" s="13"/>
      <c r="E331" s="13"/>
      <c r="F331" s="13"/>
      <c r="G331" s="13"/>
      <c r="H331" s="13"/>
      <c r="I331" s="13"/>
      <c r="J331" s="13"/>
      <c r="K331" s="13"/>
      <c r="L331" s="13"/>
      <c r="M331" s="13"/>
      <c r="N331" s="13"/>
      <c r="O331" s="13"/>
    </row>
    <row r="332" spans="2:15">
      <c r="B332" s="13"/>
      <c r="C332" s="13"/>
      <c r="D332" s="13"/>
      <c r="E332" s="13"/>
      <c r="F332" s="13"/>
      <c r="G332" s="13"/>
      <c r="H332" s="13"/>
      <c r="I332" s="13"/>
      <c r="J332" s="13"/>
      <c r="K332" s="13"/>
      <c r="L332" s="13"/>
      <c r="M332" s="13"/>
      <c r="N332" s="13"/>
      <c r="O332" s="13"/>
    </row>
    <row r="333" spans="2:15">
      <c r="B333" s="13"/>
      <c r="C333" s="13"/>
      <c r="D333" s="13"/>
      <c r="E333" s="13"/>
      <c r="F333" s="13"/>
      <c r="G333" s="13"/>
      <c r="H333" s="13"/>
      <c r="I333" s="13"/>
      <c r="J333" s="13"/>
      <c r="K333" s="13"/>
      <c r="L333" s="13"/>
      <c r="M333" s="13"/>
      <c r="N333" s="13"/>
      <c r="O333" s="13"/>
    </row>
    <row r="334" spans="2:15">
      <c r="B334" s="13"/>
      <c r="C334" s="13"/>
      <c r="D334" s="13"/>
      <c r="E334" s="13"/>
      <c r="F334" s="13"/>
      <c r="G334" s="13"/>
      <c r="H334" s="13"/>
      <c r="I334" s="13"/>
      <c r="J334" s="13"/>
      <c r="K334" s="13"/>
      <c r="L334" s="13"/>
      <c r="M334" s="13"/>
      <c r="N334" s="13"/>
      <c r="O334" s="13"/>
    </row>
    <row r="335" spans="2:15">
      <c r="B335" s="13"/>
      <c r="C335" s="13"/>
      <c r="D335" s="13"/>
      <c r="E335" s="13"/>
      <c r="F335" s="13"/>
      <c r="G335" s="13"/>
      <c r="H335" s="13"/>
      <c r="I335" s="13"/>
      <c r="J335" s="13"/>
      <c r="K335" s="13"/>
      <c r="L335" s="13"/>
      <c r="M335" s="13"/>
      <c r="N335" s="13"/>
      <c r="O335" s="13"/>
    </row>
    <row r="336" spans="2:15">
      <c r="B336" s="13"/>
      <c r="C336" s="13"/>
      <c r="D336" s="13"/>
      <c r="E336" s="13"/>
      <c r="F336" s="13"/>
      <c r="G336" s="13"/>
      <c r="H336" s="13"/>
      <c r="I336" s="13"/>
      <c r="J336" s="13"/>
      <c r="K336" s="13"/>
      <c r="L336" s="13"/>
      <c r="M336" s="13"/>
      <c r="N336" s="13"/>
      <c r="O336" s="13"/>
    </row>
    <row r="337" spans="2:15">
      <c r="B337" s="13"/>
      <c r="C337" s="13"/>
      <c r="D337" s="13"/>
      <c r="E337" s="13"/>
      <c r="F337" s="13"/>
      <c r="G337" s="13"/>
      <c r="H337" s="13"/>
      <c r="I337" s="13"/>
      <c r="J337" s="13"/>
      <c r="K337" s="13"/>
      <c r="L337" s="13"/>
      <c r="M337" s="13"/>
      <c r="N337" s="13"/>
      <c r="O337" s="13"/>
    </row>
    <row r="338" spans="2:15">
      <c r="B338" s="13"/>
      <c r="C338" s="13"/>
      <c r="D338" s="13"/>
      <c r="E338" s="13"/>
      <c r="F338" s="13"/>
      <c r="G338" s="13"/>
      <c r="H338" s="13"/>
      <c r="I338" s="13"/>
      <c r="J338" s="13"/>
      <c r="K338" s="13"/>
      <c r="L338" s="13"/>
      <c r="M338" s="13"/>
      <c r="N338" s="13"/>
      <c r="O338" s="13"/>
    </row>
    <row r="339" spans="2:15">
      <c r="B339" s="13"/>
      <c r="C339" s="13"/>
      <c r="D339" s="13"/>
      <c r="E339" s="13"/>
      <c r="F339" s="13"/>
      <c r="G339" s="13"/>
      <c r="H339" s="13"/>
      <c r="I339" s="13"/>
      <c r="J339" s="13"/>
      <c r="K339" s="13"/>
      <c r="L339" s="13"/>
      <c r="M339" s="13"/>
      <c r="N339" s="13"/>
      <c r="O339" s="13"/>
    </row>
    <row r="340" spans="2:15">
      <c r="B340" s="13"/>
      <c r="C340" s="13"/>
      <c r="D340" s="13"/>
      <c r="E340" s="13"/>
      <c r="F340" s="13"/>
      <c r="G340" s="13"/>
      <c r="H340" s="13"/>
      <c r="I340" s="13"/>
      <c r="J340" s="13"/>
      <c r="K340" s="13"/>
      <c r="L340" s="13"/>
      <c r="M340" s="13"/>
      <c r="N340" s="13"/>
      <c r="O340" s="13"/>
    </row>
    <row r="341" spans="2:15">
      <c r="B341" s="13"/>
      <c r="C341" s="13"/>
      <c r="D341" s="13"/>
      <c r="E341" s="13"/>
      <c r="F341" s="13"/>
      <c r="G341" s="13"/>
      <c r="H341" s="13"/>
      <c r="I341" s="13"/>
      <c r="J341" s="13"/>
      <c r="K341" s="13"/>
      <c r="L341" s="13"/>
      <c r="M341" s="13"/>
      <c r="N341" s="13"/>
      <c r="O341" s="13"/>
    </row>
    <row r="342" spans="2:15">
      <c r="B342" s="13"/>
      <c r="C342" s="13"/>
      <c r="D342" s="13"/>
      <c r="E342" s="13"/>
      <c r="F342" s="13"/>
      <c r="G342" s="13"/>
      <c r="H342" s="13"/>
      <c r="I342" s="13"/>
      <c r="J342" s="13"/>
      <c r="K342" s="13"/>
      <c r="L342" s="13"/>
      <c r="M342" s="13"/>
      <c r="N342" s="13"/>
      <c r="O342" s="13"/>
    </row>
    <row r="343" spans="2:15">
      <c r="B343" s="13"/>
      <c r="C343" s="13"/>
      <c r="D343" s="13"/>
      <c r="E343" s="13"/>
      <c r="F343" s="13"/>
      <c r="G343" s="13"/>
      <c r="H343" s="13"/>
      <c r="I343" s="13"/>
      <c r="J343" s="13"/>
      <c r="K343" s="13"/>
      <c r="L343" s="13"/>
      <c r="M343" s="13"/>
      <c r="N343" s="13"/>
      <c r="O343" s="13"/>
    </row>
    <row r="344" spans="2:15">
      <c r="B344" s="13"/>
      <c r="C344" s="13"/>
      <c r="D344" s="13"/>
      <c r="E344" s="13"/>
      <c r="F344" s="13"/>
      <c r="G344" s="13"/>
      <c r="H344" s="13"/>
      <c r="I344" s="13"/>
      <c r="J344" s="13"/>
      <c r="K344" s="13"/>
      <c r="L344" s="13"/>
      <c r="M344" s="13"/>
      <c r="N344" s="13"/>
      <c r="O344" s="13"/>
    </row>
    <row r="345" spans="2:15">
      <c r="B345" s="13"/>
      <c r="C345" s="13"/>
      <c r="D345" s="13"/>
      <c r="E345" s="13"/>
      <c r="F345" s="13"/>
      <c r="G345" s="13"/>
      <c r="H345" s="13"/>
      <c r="I345" s="13"/>
      <c r="J345" s="13"/>
      <c r="K345" s="13"/>
      <c r="L345" s="13"/>
      <c r="M345" s="13"/>
      <c r="N345" s="13"/>
      <c r="O345" s="13"/>
    </row>
    <row r="346" spans="2:15">
      <c r="B346" s="13"/>
      <c r="C346" s="13"/>
      <c r="D346" s="13"/>
      <c r="E346" s="13"/>
      <c r="F346" s="13"/>
      <c r="G346" s="13"/>
      <c r="H346" s="13"/>
      <c r="I346" s="13"/>
      <c r="J346" s="13"/>
      <c r="K346" s="13"/>
      <c r="L346" s="13"/>
      <c r="M346" s="13"/>
      <c r="N346" s="13"/>
      <c r="O346" s="13"/>
    </row>
    <row r="347" spans="2:15">
      <c r="B347" s="13"/>
      <c r="C347" s="13"/>
      <c r="D347" s="13"/>
      <c r="E347" s="13"/>
      <c r="F347" s="13"/>
      <c r="G347" s="13"/>
      <c r="H347" s="13"/>
      <c r="I347" s="13"/>
      <c r="J347" s="13"/>
      <c r="K347" s="13"/>
      <c r="L347" s="13"/>
      <c r="M347" s="13"/>
      <c r="N347" s="13"/>
      <c r="O347" s="13"/>
    </row>
    <row r="348" spans="2:15">
      <c r="B348" s="13"/>
      <c r="C348" s="13"/>
      <c r="D348" s="13"/>
      <c r="E348" s="13"/>
      <c r="F348" s="13"/>
      <c r="G348" s="13"/>
      <c r="H348" s="13"/>
      <c r="I348" s="13"/>
      <c r="J348" s="13"/>
      <c r="K348" s="13"/>
      <c r="L348" s="13"/>
      <c r="M348" s="13"/>
      <c r="N348" s="13"/>
      <c r="O348" s="13"/>
    </row>
    <row r="349" spans="2:15">
      <c r="B349" s="13"/>
      <c r="C349" s="13"/>
      <c r="D349" s="13"/>
      <c r="E349" s="13"/>
      <c r="F349" s="13"/>
      <c r="G349" s="13"/>
      <c r="H349" s="13"/>
      <c r="I349" s="13"/>
      <c r="J349" s="13"/>
      <c r="K349" s="13"/>
      <c r="L349" s="13"/>
      <c r="M349" s="13"/>
      <c r="N349" s="13"/>
      <c r="O349" s="13"/>
    </row>
    <row r="350" spans="2:15">
      <c r="B350" s="13"/>
      <c r="C350" s="13"/>
      <c r="D350" s="13"/>
      <c r="E350" s="13"/>
      <c r="F350" s="13"/>
      <c r="G350" s="13"/>
      <c r="H350" s="13"/>
      <c r="I350" s="13"/>
      <c r="J350" s="13"/>
      <c r="K350" s="13"/>
      <c r="L350" s="13"/>
      <c r="M350" s="13"/>
      <c r="N350" s="13"/>
      <c r="O350" s="13"/>
    </row>
    <row r="351" spans="2:15">
      <c r="B351" s="13"/>
      <c r="C351" s="13"/>
      <c r="D351" s="13"/>
      <c r="E351" s="13"/>
      <c r="F351" s="13"/>
      <c r="G351" s="13"/>
      <c r="H351" s="13"/>
      <c r="I351" s="13"/>
      <c r="J351" s="13"/>
      <c r="K351" s="13"/>
      <c r="L351" s="13"/>
      <c r="M351" s="13"/>
      <c r="N351" s="13"/>
      <c r="O351" s="13"/>
    </row>
    <row r="352" spans="2:15">
      <c r="B352" s="13"/>
      <c r="C352" s="13"/>
      <c r="D352" s="13"/>
      <c r="E352" s="13"/>
      <c r="F352" s="13"/>
      <c r="G352" s="13"/>
      <c r="H352" s="13"/>
      <c r="I352" s="13"/>
      <c r="J352" s="13"/>
      <c r="K352" s="13"/>
      <c r="L352" s="13"/>
      <c r="M352" s="13"/>
      <c r="N352" s="13"/>
      <c r="O352" s="13"/>
    </row>
    <row r="353" spans="2:15">
      <c r="B353" s="13"/>
      <c r="C353" s="13"/>
      <c r="D353" s="13"/>
      <c r="E353" s="13"/>
      <c r="F353" s="13"/>
      <c r="G353" s="13"/>
      <c r="H353" s="13"/>
      <c r="I353" s="13"/>
      <c r="J353" s="13"/>
      <c r="K353" s="13"/>
      <c r="L353" s="13"/>
      <c r="M353" s="13"/>
      <c r="N353" s="13"/>
      <c r="O353" s="13"/>
    </row>
    <row r="354" spans="2:15">
      <c r="B354" s="13"/>
      <c r="C354" s="13"/>
      <c r="D354" s="13"/>
      <c r="E354" s="13"/>
      <c r="F354" s="13"/>
      <c r="G354" s="13"/>
      <c r="H354" s="13"/>
      <c r="I354" s="13"/>
      <c r="J354" s="13"/>
      <c r="K354" s="13"/>
      <c r="L354" s="13"/>
      <c r="M354" s="13"/>
      <c r="N354" s="13"/>
      <c r="O354" s="13"/>
    </row>
    <row r="355" spans="2:15">
      <c r="B355" s="13"/>
      <c r="C355" s="13"/>
      <c r="D355" s="13"/>
      <c r="E355" s="13"/>
      <c r="F355" s="13"/>
      <c r="G355" s="13"/>
      <c r="H355" s="13"/>
      <c r="I355" s="13"/>
      <c r="J355" s="13"/>
      <c r="K355" s="13"/>
      <c r="L355" s="13"/>
      <c r="M355" s="13"/>
      <c r="N355" s="13"/>
      <c r="O355" s="13"/>
    </row>
    <row r="356" spans="2:15">
      <c r="B356" s="13"/>
      <c r="C356" s="13"/>
      <c r="D356" s="13"/>
      <c r="E356" s="13"/>
      <c r="F356" s="13"/>
      <c r="G356" s="13"/>
      <c r="H356" s="13"/>
      <c r="I356" s="13"/>
      <c r="J356" s="13"/>
      <c r="K356" s="13"/>
      <c r="L356" s="13"/>
      <c r="M356" s="13"/>
      <c r="N356" s="13"/>
      <c r="O356" s="13"/>
    </row>
    <row r="357" spans="2:15">
      <c r="B357" s="13"/>
      <c r="C357" s="13"/>
      <c r="D357" s="13"/>
      <c r="E357" s="13"/>
      <c r="F357" s="13"/>
      <c r="G357" s="13"/>
      <c r="H357" s="13"/>
      <c r="I357" s="13"/>
      <c r="J357" s="13"/>
      <c r="K357" s="13"/>
      <c r="L357" s="13"/>
      <c r="M357" s="13"/>
      <c r="N357" s="13"/>
      <c r="O357" s="13"/>
    </row>
    <row r="358" spans="2:15">
      <c r="B358" s="13"/>
      <c r="C358" s="13"/>
      <c r="D358" s="13"/>
      <c r="E358" s="13"/>
      <c r="F358" s="13"/>
      <c r="G358" s="13"/>
      <c r="H358" s="13"/>
      <c r="I358" s="13"/>
      <c r="J358" s="13"/>
      <c r="K358" s="13"/>
      <c r="L358" s="13"/>
      <c r="M358" s="13"/>
      <c r="N358" s="13"/>
      <c r="O358" s="13"/>
    </row>
    <row r="359" spans="2:15">
      <c r="B359" s="13"/>
      <c r="C359" s="13"/>
      <c r="D359" s="13"/>
      <c r="E359" s="13"/>
      <c r="F359" s="13"/>
      <c r="G359" s="13"/>
      <c r="H359" s="13"/>
      <c r="I359" s="13"/>
      <c r="J359" s="13"/>
      <c r="K359" s="13"/>
      <c r="L359" s="13"/>
      <c r="M359" s="13"/>
      <c r="N359" s="13"/>
      <c r="O359" s="13"/>
    </row>
    <row r="360" spans="2:15">
      <c r="B360" s="13"/>
      <c r="C360" s="13"/>
      <c r="D360" s="13"/>
      <c r="E360" s="13"/>
      <c r="F360" s="13"/>
      <c r="G360" s="13"/>
      <c r="H360" s="13"/>
      <c r="I360" s="13"/>
      <c r="J360" s="13"/>
      <c r="K360" s="13"/>
      <c r="L360" s="13"/>
      <c r="M360" s="13"/>
      <c r="N360" s="13"/>
      <c r="O360" s="13"/>
    </row>
    <row r="361" spans="2:15">
      <c r="B361" s="13"/>
      <c r="C361" s="13"/>
      <c r="D361" s="13"/>
      <c r="E361" s="13"/>
      <c r="F361" s="13"/>
      <c r="G361" s="13"/>
      <c r="H361" s="13"/>
      <c r="I361" s="13"/>
      <c r="J361" s="13"/>
      <c r="K361" s="13"/>
      <c r="L361" s="13"/>
      <c r="M361" s="13"/>
      <c r="N361" s="13"/>
      <c r="O361" s="13"/>
    </row>
    <row r="362" spans="2:15">
      <c r="B362" s="13"/>
      <c r="C362" s="13"/>
      <c r="D362" s="13"/>
      <c r="E362" s="13"/>
      <c r="F362" s="13"/>
      <c r="G362" s="13"/>
      <c r="H362" s="13"/>
      <c r="I362" s="13"/>
      <c r="J362" s="13"/>
      <c r="K362" s="13"/>
      <c r="L362" s="13"/>
      <c r="M362" s="13"/>
      <c r="N362" s="13"/>
      <c r="O362" s="13"/>
    </row>
    <row r="363" spans="2:15">
      <c r="B363" s="13"/>
      <c r="C363" s="13"/>
      <c r="D363" s="13"/>
      <c r="E363" s="13"/>
      <c r="F363" s="13"/>
      <c r="G363" s="13"/>
      <c r="H363" s="13"/>
      <c r="I363" s="13"/>
      <c r="J363" s="13"/>
      <c r="K363" s="13"/>
      <c r="L363" s="13"/>
      <c r="M363" s="13"/>
      <c r="N363" s="13"/>
      <c r="O363" s="13"/>
    </row>
    <row r="364" spans="2:15">
      <c r="B364" s="13"/>
      <c r="C364" s="13"/>
      <c r="D364" s="13"/>
      <c r="E364" s="13"/>
      <c r="F364" s="13"/>
      <c r="G364" s="13"/>
      <c r="H364" s="13"/>
      <c r="I364" s="13"/>
      <c r="J364" s="13"/>
      <c r="K364" s="13"/>
      <c r="L364" s="13"/>
      <c r="M364" s="13"/>
      <c r="N364" s="13"/>
      <c r="O364" s="13"/>
    </row>
    <row r="365" spans="2:15">
      <c r="B365" s="13"/>
      <c r="C365" s="13"/>
      <c r="D365" s="13"/>
      <c r="E365" s="13"/>
      <c r="F365" s="13"/>
      <c r="G365" s="13"/>
      <c r="H365" s="13"/>
      <c r="I365" s="13"/>
      <c r="J365" s="13"/>
      <c r="K365" s="13"/>
      <c r="L365" s="13"/>
      <c r="M365" s="13"/>
      <c r="N365" s="13"/>
      <c r="O365" s="13"/>
    </row>
    <row r="366" spans="2:15">
      <c r="B366" s="13"/>
      <c r="C366" s="13"/>
      <c r="D366" s="13"/>
      <c r="E366" s="13"/>
      <c r="F366" s="13"/>
      <c r="G366" s="13"/>
      <c r="H366" s="13"/>
      <c r="I366" s="13"/>
      <c r="J366" s="13"/>
      <c r="K366" s="13"/>
      <c r="L366" s="13"/>
      <c r="M366" s="13"/>
      <c r="N366" s="13"/>
      <c r="O366" s="13"/>
    </row>
    <row r="367" spans="2:15">
      <c r="B367" s="13"/>
      <c r="C367" s="13"/>
      <c r="D367" s="13"/>
      <c r="E367" s="13"/>
      <c r="F367" s="13"/>
      <c r="G367" s="13"/>
      <c r="H367" s="13"/>
      <c r="I367" s="13"/>
      <c r="J367" s="13"/>
      <c r="K367" s="13"/>
      <c r="L367" s="13"/>
      <c r="M367" s="13"/>
      <c r="N367" s="13"/>
      <c r="O367" s="13"/>
    </row>
    <row r="368" spans="2:15">
      <c r="B368" s="13"/>
      <c r="C368" s="13"/>
      <c r="D368" s="13"/>
      <c r="E368" s="13"/>
      <c r="F368" s="13"/>
      <c r="G368" s="13"/>
      <c r="H368" s="13"/>
      <c r="I368" s="13"/>
      <c r="J368" s="13"/>
      <c r="K368" s="13"/>
      <c r="L368" s="13"/>
      <c r="M368" s="13"/>
      <c r="N368" s="13"/>
      <c r="O368" s="13"/>
    </row>
    <row r="369" spans="2:15">
      <c r="B369" s="13"/>
      <c r="C369" s="13"/>
      <c r="D369" s="13"/>
      <c r="E369" s="13"/>
      <c r="F369" s="13"/>
      <c r="G369" s="13"/>
      <c r="H369" s="13"/>
      <c r="I369" s="13"/>
      <c r="J369" s="13"/>
      <c r="K369" s="13"/>
      <c r="L369" s="13"/>
      <c r="M369" s="13"/>
      <c r="N369" s="13"/>
      <c r="O369" s="13"/>
    </row>
    <row r="370" spans="2:15">
      <c r="B370" s="13"/>
      <c r="C370" s="13"/>
      <c r="D370" s="13"/>
      <c r="E370" s="13"/>
      <c r="F370" s="13"/>
      <c r="G370" s="13"/>
      <c r="H370" s="13"/>
      <c r="I370" s="13"/>
      <c r="J370" s="13"/>
      <c r="K370" s="13"/>
      <c r="L370" s="13"/>
      <c r="M370" s="13"/>
      <c r="N370" s="13"/>
      <c r="O370" s="13"/>
    </row>
    <row r="371" spans="2:15">
      <c r="B371" s="13"/>
      <c r="C371" s="13"/>
      <c r="D371" s="13"/>
      <c r="E371" s="13"/>
      <c r="F371" s="13"/>
      <c r="G371" s="13"/>
      <c r="H371" s="13"/>
      <c r="I371" s="13"/>
      <c r="J371" s="13"/>
      <c r="K371" s="13"/>
      <c r="L371" s="13"/>
      <c r="M371" s="13"/>
      <c r="N371" s="13"/>
      <c r="O371" s="13"/>
    </row>
    <row r="372" spans="2:15">
      <c r="B372" s="13"/>
      <c r="C372" s="13"/>
      <c r="D372" s="13"/>
      <c r="E372" s="13"/>
      <c r="F372" s="13"/>
      <c r="G372" s="13"/>
      <c r="H372" s="13"/>
      <c r="I372" s="13"/>
      <c r="J372" s="13"/>
      <c r="K372" s="13"/>
      <c r="L372" s="13"/>
      <c r="M372" s="13"/>
      <c r="N372" s="13"/>
      <c r="O372" s="13"/>
    </row>
    <row r="373" spans="2:15">
      <c r="B373" s="13"/>
      <c r="C373" s="13"/>
      <c r="D373" s="13"/>
      <c r="E373" s="13"/>
      <c r="F373" s="13"/>
      <c r="G373" s="13"/>
      <c r="H373" s="13"/>
      <c r="I373" s="13"/>
      <c r="J373" s="13"/>
      <c r="K373" s="13"/>
      <c r="L373" s="13"/>
      <c r="M373" s="13"/>
      <c r="N373" s="13"/>
      <c r="O373" s="13"/>
    </row>
    <row r="374" spans="2:15">
      <c r="B374" s="13"/>
      <c r="C374" s="13"/>
      <c r="D374" s="13"/>
      <c r="E374" s="13"/>
      <c r="F374" s="13"/>
      <c r="G374" s="13"/>
      <c r="H374" s="13"/>
      <c r="I374" s="13"/>
      <c r="J374" s="13"/>
      <c r="K374" s="13"/>
      <c r="L374" s="13"/>
      <c r="M374" s="13"/>
      <c r="N374" s="13"/>
      <c r="O374" s="13"/>
    </row>
    <row r="375" spans="2:15">
      <c r="B375" s="13"/>
      <c r="C375" s="13"/>
      <c r="D375" s="13"/>
      <c r="E375" s="13"/>
      <c r="F375" s="13"/>
      <c r="G375" s="13"/>
      <c r="H375" s="13"/>
      <c r="I375" s="13"/>
      <c r="J375" s="13"/>
      <c r="K375" s="13"/>
      <c r="L375" s="13"/>
      <c r="M375" s="13"/>
      <c r="N375" s="13"/>
      <c r="O375" s="13"/>
    </row>
    <row r="376" spans="2:15">
      <c r="B376" s="13"/>
      <c r="C376" s="13"/>
      <c r="D376" s="13"/>
      <c r="E376" s="13"/>
      <c r="F376" s="13"/>
      <c r="G376" s="13"/>
      <c r="H376" s="13"/>
      <c r="I376" s="13"/>
      <c r="J376" s="13"/>
      <c r="K376" s="13"/>
      <c r="L376" s="13"/>
      <c r="M376" s="13"/>
      <c r="N376" s="13"/>
      <c r="O376" s="13"/>
    </row>
    <row r="377" spans="2:15">
      <c r="B377" s="13"/>
      <c r="C377" s="13"/>
      <c r="D377" s="13"/>
      <c r="E377" s="13"/>
      <c r="F377" s="13"/>
      <c r="G377" s="13"/>
      <c r="H377" s="13"/>
      <c r="I377" s="13"/>
      <c r="J377" s="13"/>
      <c r="K377" s="13"/>
      <c r="L377" s="13"/>
      <c r="M377" s="13"/>
      <c r="N377" s="13"/>
      <c r="O377" s="13"/>
    </row>
    <row r="378" spans="2:15">
      <c r="B378" s="13"/>
      <c r="C378" s="13"/>
      <c r="D378" s="13"/>
      <c r="E378" s="13"/>
      <c r="F378" s="13"/>
      <c r="G378" s="13"/>
      <c r="H378" s="13"/>
      <c r="I378" s="13"/>
      <c r="J378" s="13"/>
      <c r="K378" s="13"/>
      <c r="L378" s="13"/>
      <c r="M378" s="13"/>
      <c r="N378" s="13"/>
      <c r="O378" s="13"/>
    </row>
    <row r="379" spans="2:15">
      <c r="B379" s="13"/>
      <c r="C379" s="13"/>
      <c r="D379" s="13"/>
      <c r="E379" s="13"/>
      <c r="F379" s="13"/>
      <c r="G379" s="13"/>
      <c r="H379" s="13"/>
      <c r="I379" s="13"/>
      <c r="J379" s="13"/>
      <c r="K379" s="13"/>
      <c r="L379" s="13"/>
      <c r="M379" s="13"/>
      <c r="N379" s="13"/>
      <c r="O379" s="13"/>
    </row>
    <row r="380" spans="2:15">
      <c r="B380" s="13"/>
      <c r="C380" s="13"/>
      <c r="D380" s="13"/>
      <c r="E380" s="13"/>
      <c r="F380" s="13"/>
      <c r="G380" s="13"/>
      <c r="H380" s="13"/>
      <c r="I380" s="13"/>
      <c r="J380" s="13"/>
      <c r="K380" s="13"/>
      <c r="L380" s="13"/>
      <c r="M380" s="13"/>
      <c r="N380" s="13"/>
      <c r="O380" s="13"/>
    </row>
    <row r="381" spans="2:15">
      <c r="B381" s="13"/>
      <c r="C381" s="13"/>
      <c r="D381" s="13"/>
      <c r="E381" s="13"/>
      <c r="F381" s="13"/>
      <c r="G381" s="13"/>
      <c r="H381" s="13"/>
      <c r="I381" s="13"/>
      <c r="J381" s="13"/>
      <c r="K381" s="13"/>
      <c r="L381" s="13"/>
      <c r="M381" s="13"/>
      <c r="N381" s="13"/>
      <c r="O381" s="13"/>
    </row>
    <row r="382" spans="2:15">
      <c r="B382" s="13"/>
      <c r="C382" s="13"/>
      <c r="D382" s="13"/>
      <c r="E382" s="13"/>
      <c r="F382" s="13"/>
      <c r="G382" s="13"/>
      <c r="H382" s="13"/>
      <c r="I382" s="13"/>
      <c r="J382" s="13"/>
      <c r="K382" s="13"/>
      <c r="L382" s="13"/>
      <c r="M382" s="13"/>
      <c r="N382" s="13"/>
      <c r="O382" s="13"/>
    </row>
    <row r="383" spans="2:15">
      <c r="B383" s="13"/>
      <c r="C383" s="13"/>
      <c r="D383" s="13"/>
      <c r="E383" s="13"/>
      <c r="F383" s="13"/>
      <c r="G383" s="13"/>
      <c r="H383" s="13"/>
      <c r="I383" s="13"/>
      <c r="J383" s="13"/>
      <c r="K383" s="13"/>
      <c r="L383" s="13"/>
      <c r="M383" s="13"/>
      <c r="N383" s="13"/>
      <c r="O383" s="13"/>
    </row>
    <row r="384" spans="2:15">
      <c r="B384" s="13"/>
      <c r="C384" s="13"/>
      <c r="D384" s="13"/>
      <c r="E384" s="13"/>
      <c r="F384" s="13"/>
      <c r="G384" s="13"/>
      <c r="H384" s="13"/>
      <c r="I384" s="13"/>
      <c r="J384" s="13"/>
      <c r="K384" s="13"/>
      <c r="L384" s="13"/>
      <c r="M384" s="13"/>
      <c r="N384" s="13"/>
      <c r="O384" s="13"/>
    </row>
    <row r="385" spans="2:15">
      <c r="B385" s="13"/>
      <c r="C385" s="13"/>
      <c r="D385" s="13"/>
      <c r="E385" s="13"/>
      <c r="F385" s="13"/>
      <c r="G385" s="13"/>
      <c r="H385" s="13"/>
      <c r="I385" s="13"/>
      <c r="J385" s="13"/>
      <c r="K385" s="13"/>
      <c r="L385" s="13"/>
      <c r="M385" s="13"/>
      <c r="N385" s="13"/>
      <c r="O385" s="13"/>
    </row>
    <row r="386" spans="2:15">
      <c r="B386" s="13"/>
      <c r="C386" s="13"/>
      <c r="D386" s="13"/>
      <c r="E386" s="13"/>
      <c r="F386" s="13"/>
      <c r="G386" s="13"/>
      <c r="H386" s="13"/>
      <c r="I386" s="13"/>
      <c r="J386" s="13"/>
      <c r="K386" s="13"/>
      <c r="L386" s="13"/>
      <c r="M386" s="13"/>
      <c r="N386" s="13"/>
      <c r="O386" s="13"/>
    </row>
    <row r="387" spans="2:15">
      <c r="B387" s="13"/>
      <c r="C387" s="13"/>
      <c r="D387" s="13"/>
      <c r="E387" s="13"/>
      <c r="F387" s="13"/>
      <c r="G387" s="13"/>
      <c r="H387" s="13"/>
      <c r="I387" s="13"/>
      <c r="J387" s="13"/>
      <c r="K387" s="13"/>
      <c r="L387" s="13"/>
      <c r="M387" s="13"/>
      <c r="N387" s="13"/>
      <c r="O387" s="13"/>
    </row>
    <row r="388" spans="2:15">
      <c r="B388" s="13"/>
      <c r="C388" s="13"/>
      <c r="D388" s="13"/>
      <c r="E388" s="13"/>
      <c r="F388" s="13"/>
      <c r="G388" s="13"/>
      <c r="H388" s="13"/>
      <c r="I388" s="13"/>
      <c r="J388" s="13"/>
      <c r="K388" s="13"/>
      <c r="L388" s="13"/>
      <c r="M388" s="13"/>
      <c r="N388" s="13"/>
      <c r="O388" s="13"/>
    </row>
    <row r="389" spans="2:15">
      <c r="B389" s="13"/>
      <c r="C389" s="13"/>
      <c r="D389" s="13"/>
      <c r="E389" s="13"/>
      <c r="F389" s="13"/>
      <c r="G389" s="13"/>
      <c r="H389" s="13"/>
      <c r="I389" s="13"/>
      <c r="J389" s="13"/>
      <c r="K389" s="13"/>
      <c r="L389" s="13"/>
      <c r="M389" s="13"/>
      <c r="N389" s="13"/>
      <c r="O389" s="13"/>
    </row>
    <row r="390" spans="2:15">
      <c r="B390" s="13"/>
      <c r="C390" s="13"/>
      <c r="D390" s="13"/>
      <c r="E390" s="13"/>
      <c r="F390" s="13"/>
      <c r="G390" s="13"/>
      <c r="H390" s="13"/>
      <c r="I390" s="13"/>
      <c r="J390" s="13"/>
      <c r="K390" s="13"/>
      <c r="L390" s="13"/>
      <c r="M390" s="13"/>
      <c r="N390" s="13"/>
      <c r="O390" s="13"/>
    </row>
    <row r="391" spans="2:15">
      <c r="B391" s="13"/>
      <c r="C391" s="13"/>
      <c r="D391" s="13"/>
      <c r="E391" s="13"/>
      <c r="F391" s="13"/>
      <c r="G391" s="13"/>
      <c r="H391" s="13"/>
      <c r="I391" s="13"/>
      <c r="J391" s="13"/>
      <c r="K391" s="13"/>
      <c r="L391" s="13"/>
      <c r="M391" s="13"/>
      <c r="N391" s="13"/>
      <c r="O391" s="13"/>
    </row>
    <row r="392" spans="2:15">
      <c r="B392" s="13"/>
      <c r="C392" s="13"/>
      <c r="D392" s="13"/>
      <c r="E392" s="13"/>
      <c r="F392" s="13"/>
      <c r="G392" s="13"/>
      <c r="H392" s="13"/>
      <c r="I392" s="13"/>
      <c r="J392" s="13"/>
      <c r="K392" s="13"/>
      <c r="L392" s="13"/>
      <c r="M392" s="13"/>
      <c r="N392" s="13"/>
      <c r="O392" s="13"/>
    </row>
    <row r="393" spans="2:15">
      <c r="B393" s="13"/>
      <c r="C393" s="13"/>
      <c r="D393" s="13"/>
      <c r="E393" s="13"/>
      <c r="F393" s="13"/>
      <c r="G393" s="13"/>
      <c r="H393" s="13"/>
      <c r="I393" s="13"/>
      <c r="J393" s="13"/>
      <c r="K393" s="13"/>
      <c r="L393" s="13"/>
      <c r="M393" s="13"/>
      <c r="N393" s="13"/>
      <c r="O393" s="13"/>
    </row>
    <row r="394" spans="2:15">
      <c r="B394" s="13"/>
      <c r="C394" s="13"/>
      <c r="D394" s="13"/>
      <c r="E394" s="13"/>
      <c r="F394" s="13"/>
      <c r="G394" s="13"/>
      <c r="H394" s="13"/>
      <c r="I394" s="13"/>
      <c r="J394" s="13"/>
      <c r="K394" s="13"/>
      <c r="L394" s="13"/>
      <c r="M394" s="13"/>
      <c r="N394" s="13"/>
      <c r="O394" s="13"/>
    </row>
    <row r="395" spans="2:15">
      <c r="B395" s="13"/>
      <c r="C395" s="13"/>
      <c r="D395" s="13"/>
      <c r="E395" s="13"/>
      <c r="F395" s="13"/>
      <c r="G395" s="13"/>
      <c r="H395" s="13"/>
      <c r="I395" s="13"/>
      <c r="J395" s="13"/>
      <c r="K395" s="13"/>
      <c r="L395" s="13"/>
      <c r="M395" s="13"/>
      <c r="N395" s="13"/>
      <c r="O395" s="13"/>
    </row>
    <row r="396" spans="2:15">
      <c r="B396" s="13"/>
      <c r="C396" s="13"/>
      <c r="D396" s="13"/>
      <c r="E396" s="13"/>
      <c r="F396" s="13"/>
      <c r="G396" s="13"/>
      <c r="H396" s="13"/>
      <c r="I396" s="13"/>
      <c r="J396" s="13"/>
      <c r="K396" s="13"/>
      <c r="L396" s="13"/>
      <c r="M396" s="13"/>
      <c r="N396" s="13"/>
      <c r="O396" s="13"/>
    </row>
    <row r="397" spans="2:15">
      <c r="B397" s="13"/>
      <c r="C397" s="13"/>
      <c r="D397" s="13"/>
      <c r="E397" s="13"/>
      <c r="F397" s="13"/>
      <c r="G397" s="13"/>
      <c r="H397" s="13"/>
      <c r="I397" s="13"/>
      <c r="J397" s="13"/>
      <c r="K397" s="13"/>
      <c r="L397" s="13"/>
      <c r="M397" s="13"/>
      <c r="N397" s="13"/>
      <c r="O397" s="13"/>
    </row>
    <row r="398" spans="2:15">
      <c r="B398" s="13"/>
      <c r="C398" s="13"/>
      <c r="D398" s="13"/>
      <c r="E398" s="13"/>
      <c r="F398" s="13"/>
      <c r="G398" s="13"/>
      <c r="H398" s="13"/>
      <c r="I398" s="13"/>
      <c r="J398" s="13"/>
      <c r="K398" s="13"/>
      <c r="L398" s="13"/>
      <c r="M398" s="13"/>
      <c r="N398" s="13"/>
      <c r="O398" s="13"/>
    </row>
    <row r="399" spans="2:15">
      <c r="B399" s="13"/>
      <c r="C399" s="13"/>
      <c r="D399" s="13"/>
      <c r="E399" s="13"/>
      <c r="F399" s="13"/>
      <c r="G399" s="13"/>
      <c r="H399" s="13"/>
      <c r="I399" s="13"/>
      <c r="J399" s="13"/>
      <c r="K399" s="13"/>
      <c r="L399" s="13"/>
      <c r="M399" s="13"/>
      <c r="N399" s="13"/>
      <c r="O399" s="13"/>
    </row>
    <row r="400" spans="2:15">
      <c r="B400" s="13"/>
      <c r="C400" s="13"/>
      <c r="D400" s="13"/>
      <c r="E400" s="13"/>
      <c r="F400" s="13"/>
      <c r="G400" s="13"/>
      <c r="H400" s="13"/>
      <c r="I400" s="13"/>
      <c r="J400" s="13"/>
      <c r="K400" s="13"/>
      <c r="L400" s="13"/>
      <c r="M400" s="13"/>
      <c r="N400" s="13"/>
      <c r="O400" s="13"/>
    </row>
    <row r="401" spans="2:15">
      <c r="B401" s="13"/>
      <c r="C401" s="13"/>
      <c r="D401" s="13"/>
      <c r="E401" s="13"/>
      <c r="F401" s="13"/>
      <c r="G401" s="13"/>
      <c r="H401" s="13"/>
      <c r="I401" s="13"/>
      <c r="J401" s="13"/>
      <c r="K401" s="13"/>
      <c r="L401" s="13"/>
      <c r="M401" s="13"/>
      <c r="N401" s="13"/>
      <c r="O401" s="13"/>
    </row>
    <row r="402" spans="2:15">
      <c r="B402" s="13"/>
      <c r="C402" s="13"/>
      <c r="D402" s="13"/>
      <c r="E402" s="13"/>
      <c r="F402" s="13"/>
      <c r="G402" s="13"/>
      <c r="H402" s="13"/>
      <c r="I402" s="13"/>
      <c r="J402" s="13"/>
      <c r="K402" s="13"/>
      <c r="L402" s="13"/>
      <c r="M402" s="13"/>
      <c r="N402" s="13"/>
      <c r="O402" s="13"/>
    </row>
    <row r="403" spans="2:15">
      <c r="B403" s="13"/>
      <c r="C403" s="13"/>
      <c r="D403" s="13"/>
      <c r="E403" s="13"/>
      <c r="F403" s="13"/>
      <c r="G403" s="13"/>
      <c r="H403" s="13"/>
      <c r="I403" s="13"/>
      <c r="J403" s="13"/>
      <c r="K403" s="13"/>
      <c r="L403" s="13"/>
      <c r="M403" s="13"/>
      <c r="N403" s="13"/>
      <c r="O403" s="13"/>
    </row>
    <row r="404" spans="2:15">
      <c r="B404" s="13"/>
      <c r="C404" s="13"/>
      <c r="D404" s="13"/>
      <c r="E404" s="13"/>
      <c r="F404" s="13"/>
      <c r="G404" s="13"/>
      <c r="H404" s="13"/>
      <c r="I404" s="13"/>
      <c r="J404" s="13"/>
      <c r="K404" s="13"/>
      <c r="L404" s="13"/>
      <c r="M404" s="13"/>
      <c r="N404" s="13"/>
      <c r="O404" s="13"/>
    </row>
    <row r="405" spans="2:15">
      <c r="B405" s="13"/>
      <c r="C405" s="13"/>
      <c r="D405" s="13"/>
      <c r="E405" s="13"/>
      <c r="F405" s="13"/>
      <c r="G405" s="13"/>
      <c r="H405" s="13"/>
      <c r="I405" s="13"/>
      <c r="J405" s="13"/>
      <c r="K405" s="13"/>
      <c r="L405" s="13"/>
      <c r="M405" s="13"/>
      <c r="N405" s="13"/>
      <c r="O405" s="13"/>
    </row>
    <row r="406" spans="2:15">
      <c r="B406" s="13"/>
      <c r="C406" s="13"/>
      <c r="D406" s="13"/>
      <c r="E406" s="13"/>
      <c r="F406" s="13"/>
      <c r="G406" s="13"/>
      <c r="H406" s="13"/>
      <c r="I406" s="13"/>
      <c r="J406" s="13"/>
      <c r="K406" s="13"/>
      <c r="L406" s="13"/>
      <c r="M406" s="13"/>
      <c r="N406" s="13"/>
      <c r="O406" s="13"/>
    </row>
    <row r="407" spans="2:15">
      <c r="B407" s="13"/>
      <c r="C407" s="13"/>
      <c r="D407" s="13"/>
      <c r="E407" s="13"/>
      <c r="F407" s="13"/>
      <c r="G407" s="13"/>
      <c r="H407" s="13"/>
      <c r="I407" s="13"/>
      <c r="J407" s="13"/>
      <c r="K407" s="13"/>
      <c r="L407" s="13"/>
      <c r="M407" s="13"/>
      <c r="N407" s="13"/>
      <c r="O407" s="13"/>
    </row>
    <row r="408" spans="2:15">
      <c r="B408" s="13"/>
      <c r="C408" s="13"/>
      <c r="D408" s="13"/>
      <c r="E408" s="13"/>
      <c r="F408" s="13"/>
      <c r="G408" s="13"/>
      <c r="H408" s="13"/>
      <c r="I408" s="13"/>
      <c r="J408" s="13"/>
      <c r="K408" s="13"/>
      <c r="L408" s="13"/>
      <c r="M408" s="13"/>
      <c r="N408" s="13"/>
      <c r="O408" s="13"/>
    </row>
    <row r="409" spans="2:15">
      <c r="B409" s="13"/>
      <c r="C409" s="13"/>
      <c r="D409" s="13"/>
      <c r="E409" s="13"/>
      <c r="F409" s="13"/>
      <c r="G409" s="13"/>
      <c r="H409" s="13"/>
      <c r="I409" s="13"/>
      <c r="J409" s="13"/>
      <c r="K409" s="13"/>
      <c r="L409" s="13"/>
      <c r="M409" s="13"/>
      <c r="N409" s="13"/>
      <c r="O409" s="13"/>
    </row>
    <row r="410" spans="2:15">
      <c r="B410" s="13"/>
      <c r="C410" s="13"/>
      <c r="D410" s="13"/>
      <c r="E410" s="13"/>
      <c r="F410" s="13"/>
      <c r="G410" s="13"/>
      <c r="H410" s="13"/>
      <c r="I410" s="13"/>
      <c r="J410" s="13"/>
      <c r="K410" s="13"/>
      <c r="L410" s="13"/>
      <c r="M410" s="13"/>
      <c r="N410" s="13"/>
      <c r="O410" s="13"/>
    </row>
    <row r="411" spans="2:15">
      <c r="B411" s="13"/>
      <c r="C411" s="13"/>
      <c r="D411" s="13"/>
      <c r="E411" s="13"/>
      <c r="F411" s="13"/>
      <c r="G411" s="13"/>
      <c r="H411" s="13"/>
      <c r="I411" s="13"/>
      <c r="J411" s="13"/>
      <c r="K411" s="13"/>
      <c r="L411" s="13"/>
      <c r="M411" s="13"/>
      <c r="N411" s="13"/>
      <c r="O411" s="13"/>
    </row>
    <row r="412" spans="2:15">
      <c r="B412" s="13"/>
      <c r="C412" s="13"/>
      <c r="D412" s="13"/>
      <c r="E412" s="13"/>
      <c r="F412" s="13"/>
      <c r="G412" s="13"/>
      <c r="H412" s="13"/>
      <c r="I412" s="13"/>
      <c r="J412" s="13"/>
      <c r="K412" s="13"/>
      <c r="L412" s="13"/>
      <c r="M412" s="13"/>
      <c r="N412" s="13"/>
      <c r="O412" s="13"/>
    </row>
    <row r="413" spans="2:15">
      <c r="B413" s="13"/>
      <c r="C413" s="13"/>
      <c r="D413" s="13"/>
      <c r="E413" s="13"/>
      <c r="F413" s="13"/>
      <c r="G413" s="13"/>
      <c r="H413" s="13"/>
      <c r="I413" s="13"/>
      <c r="J413" s="13"/>
      <c r="K413" s="13"/>
      <c r="L413" s="13"/>
      <c r="M413" s="13"/>
      <c r="N413" s="13"/>
      <c r="O413" s="13"/>
    </row>
    <row r="414" spans="2:15">
      <c r="B414" s="13"/>
      <c r="C414" s="13"/>
      <c r="D414" s="13"/>
      <c r="E414" s="13"/>
      <c r="F414" s="13"/>
      <c r="G414" s="13"/>
      <c r="H414" s="13"/>
      <c r="I414" s="13"/>
      <c r="J414" s="13"/>
      <c r="K414" s="13"/>
      <c r="L414" s="13"/>
      <c r="M414" s="13"/>
      <c r="N414" s="13"/>
      <c r="O414" s="13"/>
    </row>
    <row r="415" spans="2:15">
      <c r="B415" s="13"/>
      <c r="C415" s="13"/>
      <c r="D415" s="13"/>
      <c r="E415" s="13"/>
      <c r="F415" s="13"/>
      <c r="G415" s="13"/>
      <c r="H415" s="13"/>
      <c r="I415" s="13"/>
      <c r="J415" s="13"/>
      <c r="K415" s="13"/>
      <c r="L415" s="13"/>
      <c r="M415" s="13"/>
      <c r="N415" s="13"/>
      <c r="O415" s="13"/>
    </row>
    <row r="416" spans="2:15">
      <c r="B416" s="13"/>
      <c r="C416" s="13"/>
      <c r="D416" s="13"/>
      <c r="E416" s="13"/>
      <c r="F416" s="13"/>
      <c r="G416" s="13"/>
      <c r="H416" s="13"/>
      <c r="I416" s="13"/>
      <c r="J416" s="13"/>
      <c r="K416" s="13"/>
      <c r="L416" s="13"/>
      <c r="M416" s="13"/>
      <c r="N416" s="13"/>
      <c r="O416" s="13"/>
    </row>
    <row r="417" spans="2:15">
      <c r="B417" s="13"/>
      <c r="C417" s="13"/>
      <c r="D417" s="13"/>
      <c r="E417" s="13"/>
      <c r="F417" s="13"/>
      <c r="G417" s="13"/>
      <c r="H417" s="13"/>
      <c r="I417" s="13"/>
      <c r="J417" s="13"/>
      <c r="K417" s="13"/>
      <c r="L417" s="13"/>
      <c r="M417" s="13"/>
      <c r="N417" s="13"/>
      <c r="O417" s="13"/>
    </row>
    <row r="418" spans="2:15">
      <c r="B418" s="13"/>
      <c r="C418" s="13"/>
      <c r="D418" s="13"/>
      <c r="E418" s="13"/>
      <c r="F418" s="13"/>
      <c r="G418" s="13"/>
      <c r="H418" s="13"/>
      <c r="I418" s="13"/>
      <c r="J418" s="13"/>
      <c r="K418" s="13"/>
      <c r="L418" s="13"/>
      <c r="M418" s="13"/>
      <c r="N418" s="13"/>
      <c r="O418" s="13"/>
    </row>
    <row r="419" spans="2:15">
      <c r="B419" s="13"/>
      <c r="C419" s="13"/>
      <c r="D419" s="13"/>
      <c r="E419" s="13"/>
      <c r="F419" s="13"/>
      <c r="G419" s="13"/>
      <c r="H419" s="13"/>
      <c r="I419" s="13"/>
      <c r="J419" s="13"/>
      <c r="K419" s="13"/>
      <c r="L419" s="13"/>
      <c r="M419" s="13"/>
      <c r="N419" s="13"/>
      <c r="O419" s="13"/>
    </row>
    <row r="420" spans="2:15">
      <c r="B420" s="13"/>
      <c r="C420" s="13"/>
      <c r="D420" s="13"/>
      <c r="E420" s="13"/>
      <c r="F420" s="13"/>
      <c r="G420" s="13"/>
      <c r="H420" s="13"/>
      <c r="I420" s="13"/>
      <c r="J420" s="13"/>
      <c r="K420" s="13"/>
      <c r="L420" s="13"/>
      <c r="M420" s="13"/>
      <c r="N420" s="13"/>
      <c r="O420" s="13"/>
    </row>
    <row r="421" spans="2:15">
      <c r="B421" s="13"/>
      <c r="C421" s="13"/>
      <c r="D421" s="13"/>
      <c r="E421" s="13"/>
      <c r="F421" s="13"/>
      <c r="G421" s="13"/>
      <c r="H421" s="13"/>
      <c r="I421" s="13"/>
      <c r="J421" s="13"/>
      <c r="K421" s="13"/>
      <c r="L421" s="13"/>
      <c r="M421" s="13"/>
      <c r="N421" s="13"/>
      <c r="O421" s="13"/>
    </row>
    <row r="422" spans="2:15">
      <c r="B422" s="13"/>
      <c r="C422" s="13"/>
      <c r="D422" s="13"/>
      <c r="E422" s="13"/>
      <c r="F422" s="13"/>
      <c r="G422" s="13"/>
      <c r="H422" s="13"/>
      <c r="I422" s="13"/>
      <c r="J422" s="13"/>
      <c r="K422" s="13"/>
      <c r="L422" s="13"/>
      <c r="M422" s="13"/>
      <c r="N422" s="13"/>
      <c r="O422" s="13"/>
    </row>
    <row r="423" spans="2:15">
      <c r="B423" s="13"/>
      <c r="C423" s="13"/>
      <c r="D423" s="13"/>
      <c r="E423" s="13"/>
      <c r="F423" s="13"/>
      <c r="G423" s="13"/>
      <c r="H423" s="13"/>
      <c r="I423" s="13"/>
      <c r="J423" s="13"/>
      <c r="K423" s="13"/>
      <c r="L423" s="13"/>
      <c r="M423" s="13"/>
      <c r="N423" s="13"/>
      <c r="O423" s="13"/>
    </row>
    <row r="424" spans="2:15">
      <c r="B424" s="13"/>
      <c r="C424" s="13"/>
      <c r="D424" s="13"/>
      <c r="E424" s="13"/>
      <c r="F424" s="13"/>
      <c r="G424" s="13"/>
      <c r="H424" s="13"/>
      <c r="I424" s="13"/>
      <c r="J424" s="13"/>
      <c r="K424" s="13"/>
      <c r="L424" s="13"/>
      <c r="M424" s="13"/>
      <c r="N424" s="13"/>
      <c r="O424" s="13"/>
    </row>
    <row r="425" spans="2:15">
      <c r="B425" s="13"/>
      <c r="C425" s="13"/>
      <c r="D425" s="13"/>
      <c r="E425" s="13"/>
      <c r="F425" s="13"/>
      <c r="G425" s="13"/>
      <c r="H425" s="13"/>
      <c r="I425" s="13"/>
      <c r="J425" s="13"/>
      <c r="K425" s="13"/>
      <c r="L425" s="13"/>
      <c r="M425" s="13"/>
      <c r="N425" s="13"/>
      <c r="O425" s="13"/>
    </row>
    <row r="426" spans="2:15">
      <c r="B426" s="13"/>
      <c r="C426" s="13"/>
      <c r="D426" s="13"/>
      <c r="E426" s="13"/>
      <c r="F426" s="13"/>
      <c r="G426" s="13"/>
      <c r="H426" s="13"/>
      <c r="I426" s="13"/>
      <c r="J426" s="13"/>
      <c r="K426" s="13"/>
      <c r="L426" s="13"/>
      <c r="M426" s="13"/>
      <c r="N426" s="13"/>
      <c r="O426" s="13"/>
    </row>
    <row r="427" spans="2:15">
      <c r="B427" s="13"/>
      <c r="C427" s="13"/>
      <c r="D427" s="13"/>
      <c r="E427" s="13"/>
      <c r="F427" s="13"/>
      <c r="G427" s="13"/>
      <c r="H427" s="13"/>
      <c r="I427" s="13"/>
      <c r="J427" s="13"/>
      <c r="K427" s="13"/>
      <c r="L427" s="13"/>
      <c r="M427" s="13"/>
      <c r="N427" s="13"/>
      <c r="O427" s="13"/>
    </row>
    <row r="428" spans="2:15">
      <c r="B428" s="13"/>
      <c r="C428" s="13"/>
      <c r="D428" s="13"/>
      <c r="E428" s="13"/>
      <c r="F428" s="13"/>
      <c r="G428" s="13"/>
      <c r="H428" s="13"/>
      <c r="I428" s="13"/>
      <c r="J428" s="13"/>
      <c r="K428" s="13"/>
      <c r="L428" s="13"/>
      <c r="M428" s="13"/>
      <c r="N428" s="13"/>
      <c r="O428" s="13"/>
    </row>
    <row r="429" spans="2:15">
      <c r="B429" s="13"/>
      <c r="C429" s="13"/>
      <c r="D429" s="13"/>
      <c r="E429" s="13"/>
      <c r="F429" s="13"/>
      <c r="G429" s="13"/>
      <c r="H429" s="13"/>
      <c r="I429" s="13"/>
      <c r="J429" s="13"/>
      <c r="K429" s="13"/>
      <c r="L429" s="13"/>
      <c r="M429" s="13"/>
      <c r="N429" s="13"/>
      <c r="O429" s="13"/>
    </row>
    <row r="430" spans="2:15">
      <c r="B430" s="13"/>
      <c r="C430" s="13"/>
      <c r="D430" s="13"/>
      <c r="E430" s="13"/>
      <c r="F430" s="13"/>
      <c r="G430" s="13"/>
      <c r="H430" s="13"/>
      <c r="I430" s="13"/>
      <c r="J430" s="13"/>
      <c r="K430" s="13"/>
      <c r="L430" s="13"/>
      <c r="M430" s="13"/>
      <c r="N430" s="13"/>
      <c r="O430" s="13"/>
    </row>
    <row r="431" spans="2:15">
      <c r="B431" s="13"/>
      <c r="C431" s="13"/>
      <c r="D431" s="13"/>
      <c r="E431" s="13"/>
      <c r="F431" s="13"/>
      <c r="G431" s="13"/>
      <c r="H431" s="13"/>
      <c r="I431" s="13"/>
      <c r="J431" s="13"/>
      <c r="K431" s="13"/>
      <c r="L431" s="13"/>
      <c r="M431" s="13"/>
      <c r="N431" s="13"/>
      <c r="O431" s="13"/>
    </row>
    <row r="432" spans="2:15">
      <c r="B432" s="13"/>
      <c r="C432" s="13"/>
      <c r="D432" s="13"/>
      <c r="E432" s="13"/>
      <c r="F432" s="13"/>
      <c r="G432" s="13"/>
      <c r="H432" s="13"/>
      <c r="I432" s="13"/>
      <c r="J432" s="13"/>
      <c r="K432" s="13"/>
      <c r="L432" s="13"/>
      <c r="M432" s="13"/>
      <c r="N432" s="13"/>
      <c r="O432" s="13"/>
    </row>
    <row r="433" spans="2:15">
      <c r="B433" s="13"/>
      <c r="C433" s="13"/>
      <c r="D433" s="13"/>
      <c r="E433" s="13"/>
      <c r="F433" s="13"/>
      <c r="G433" s="13"/>
      <c r="H433" s="13"/>
      <c r="I433" s="13"/>
      <c r="J433" s="13"/>
      <c r="K433" s="13"/>
      <c r="L433" s="13"/>
      <c r="M433" s="13"/>
      <c r="N433" s="13"/>
      <c r="O433" s="13"/>
    </row>
    <row r="434" spans="2:15">
      <c r="B434" s="13"/>
      <c r="C434" s="13"/>
      <c r="D434" s="13"/>
      <c r="E434" s="13"/>
      <c r="F434" s="13"/>
      <c r="G434" s="13"/>
      <c r="H434" s="13"/>
      <c r="I434" s="13"/>
      <c r="J434" s="13"/>
      <c r="K434" s="13"/>
      <c r="L434" s="13"/>
      <c r="M434" s="13"/>
      <c r="N434" s="13"/>
      <c r="O434" s="13"/>
    </row>
    <row r="435" spans="2:15">
      <c r="B435" s="13"/>
      <c r="C435" s="13"/>
      <c r="D435" s="13"/>
      <c r="E435" s="13"/>
      <c r="F435" s="13"/>
      <c r="G435" s="13"/>
      <c r="H435" s="13"/>
      <c r="I435" s="13"/>
      <c r="J435" s="13"/>
      <c r="K435" s="13"/>
      <c r="L435" s="13"/>
      <c r="M435" s="13"/>
      <c r="N435" s="13"/>
      <c r="O435" s="13"/>
    </row>
    <row r="436" spans="2:15">
      <c r="B436" s="13"/>
      <c r="C436" s="13"/>
      <c r="D436" s="13"/>
      <c r="E436" s="13"/>
      <c r="F436" s="13"/>
      <c r="G436" s="13"/>
      <c r="H436" s="13"/>
      <c r="I436" s="13"/>
      <c r="J436" s="13"/>
      <c r="K436" s="13"/>
      <c r="L436" s="13"/>
      <c r="M436" s="13"/>
      <c r="N436" s="13"/>
      <c r="O436" s="13"/>
    </row>
    <row r="437" spans="2:15">
      <c r="B437" s="13"/>
      <c r="C437" s="13"/>
      <c r="D437" s="13"/>
      <c r="E437" s="13"/>
      <c r="F437" s="13"/>
      <c r="G437" s="13"/>
      <c r="H437" s="13"/>
      <c r="I437" s="13"/>
      <c r="J437" s="13"/>
      <c r="K437" s="13"/>
      <c r="L437" s="13"/>
      <c r="M437" s="13"/>
      <c r="N437" s="13"/>
      <c r="O437" s="13"/>
    </row>
    <row r="438" spans="2:15">
      <c r="B438" s="13"/>
      <c r="C438" s="13"/>
      <c r="D438" s="13"/>
      <c r="E438" s="13"/>
      <c r="F438" s="13"/>
      <c r="G438" s="13"/>
      <c r="H438" s="13"/>
      <c r="I438" s="13"/>
      <c r="J438" s="13"/>
      <c r="K438" s="13"/>
      <c r="L438" s="13"/>
      <c r="M438" s="13"/>
      <c r="N438" s="13"/>
      <c r="O438" s="13"/>
    </row>
    <row r="439" spans="2:15">
      <c r="B439" s="13"/>
      <c r="C439" s="13"/>
      <c r="D439" s="13"/>
      <c r="E439" s="13"/>
      <c r="F439" s="13"/>
      <c r="G439" s="13"/>
      <c r="H439" s="13"/>
      <c r="I439" s="13"/>
      <c r="J439" s="13"/>
      <c r="K439" s="13"/>
      <c r="L439" s="13"/>
      <c r="M439" s="13"/>
      <c r="N439" s="13"/>
      <c r="O439" s="13"/>
    </row>
    <row r="440" spans="2:15">
      <c r="B440" s="13"/>
      <c r="C440" s="13"/>
      <c r="D440" s="13"/>
      <c r="E440" s="13"/>
      <c r="F440" s="13"/>
      <c r="G440" s="13"/>
      <c r="H440" s="13"/>
      <c r="I440" s="13"/>
      <c r="J440" s="13"/>
      <c r="K440" s="13"/>
      <c r="L440" s="13"/>
      <c r="M440" s="13"/>
      <c r="N440" s="13"/>
      <c r="O440" s="13"/>
    </row>
    <row r="441" spans="2:15">
      <c r="B441" s="13"/>
      <c r="C441" s="13"/>
      <c r="D441" s="13"/>
      <c r="E441" s="13"/>
      <c r="F441" s="13"/>
      <c r="G441" s="13"/>
      <c r="H441" s="13"/>
      <c r="I441" s="13"/>
      <c r="J441" s="13"/>
      <c r="K441" s="13"/>
      <c r="L441" s="13"/>
      <c r="M441" s="13"/>
      <c r="N441" s="13"/>
      <c r="O441" s="13"/>
    </row>
    <row r="442" spans="2:15">
      <c r="B442" s="13"/>
      <c r="C442" s="13"/>
      <c r="D442" s="13"/>
      <c r="E442" s="13"/>
      <c r="F442" s="13"/>
      <c r="G442" s="13"/>
      <c r="H442" s="13"/>
      <c r="I442" s="13"/>
      <c r="J442" s="13"/>
      <c r="K442" s="13"/>
      <c r="L442" s="13"/>
      <c r="M442" s="13"/>
      <c r="N442" s="13"/>
      <c r="O442" s="13"/>
    </row>
    <row r="443" spans="2:15">
      <c r="B443" s="13"/>
      <c r="C443" s="13"/>
      <c r="D443" s="13"/>
      <c r="E443" s="13"/>
      <c r="F443" s="13"/>
      <c r="G443" s="13"/>
      <c r="H443" s="13"/>
      <c r="I443" s="13"/>
      <c r="J443" s="13"/>
      <c r="K443" s="13"/>
      <c r="L443" s="13"/>
      <c r="M443" s="13"/>
      <c r="N443" s="13"/>
      <c r="O443" s="13"/>
    </row>
    <row r="444" spans="2:15">
      <c r="B444" s="13"/>
      <c r="C444" s="13"/>
      <c r="D444" s="13"/>
      <c r="E444" s="13"/>
      <c r="F444" s="13"/>
      <c r="G444" s="13"/>
      <c r="H444" s="13"/>
      <c r="I444" s="13"/>
      <c r="J444" s="13"/>
      <c r="K444" s="13"/>
      <c r="L444" s="13"/>
      <c r="M444" s="13"/>
      <c r="N444" s="13"/>
      <c r="O444" s="13"/>
    </row>
    <row r="445" spans="2:15">
      <c r="B445" s="13"/>
      <c r="C445" s="13"/>
      <c r="D445" s="13"/>
      <c r="E445" s="13"/>
      <c r="F445" s="13"/>
      <c r="G445" s="13"/>
      <c r="H445" s="13"/>
      <c r="I445" s="13"/>
      <c r="J445" s="13"/>
      <c r="K445" s="13"/>
      <c r="L445" s="13"/>
      <c r="M445" s="13"/>
      <c r="N445" s="13"/>
      <c r="O445" s="13"/>
    </row>
    <row r="446" spans="2:15">
      <c r="B446" s="13"/>
      <c r="C446" s="13"/>
      <c r="D446" s="13"/>
      <c r="E446" s="13"/>
      <c r="F446" s="13"/>
      <c r="G446" s="13"/>
      <c r="H446" s="13"/>
      <c r="I446" s="13"/>
      <c r="J446" s="13"/>
      <c r="K446" s="13"/>
      <c r="L446" s="13"/>
      <c r="M446" s="13"/>
      <c r="N446" s="13"/>
      <c r="O446" s="13"/>
    </row>
    <row r="447" spans="2:15">
      <c r="B447" s="13"/>
      <c r="C447" s="13"/>
      <c r="D447" s="13"/>
      <c r="E447" s="13"/>
      <c r="F447" s="13"/>
      <c r="G447" s="13"/>
      <c r="H447" s="13"/>
      <c r="I447" s="13"/>
      <c r="J447" s="13"/>
      <c r="K447" s="13"/>
      <c r="L447" s="13"/>
      <c r="M447" s="13"/>
      <c r="N447" s="13"/>
      <c r="O447" s="13"/>
    </row>
    <row r="448" spans="2:15">
      <c r="B448" s="13"/>
      <c r="C448" s="13"/>
      <c r="D448" s="13"/>
      <c r="E448" s="13"/>
      <c r="F448" s="13"/>
      <c r="G448" s="13"/>
      <c r="H448" s="13"/>
      <c r="I448" s="13"/>
      <c r="J448" s="13"/>
      <c r="K448" s="13"/>
      <c r="L448" s="13"/>
      <c r="M448" s="13"/>
      <c r="N448" s="13"/>
      <c r="O448" s="13"/>
    </row>
    <row r="449" spans="2:15">
      <c r="B449" s="13"/>
      <c r="C449" s="13"/>
      <c r="D449" s="13"/>
      <c r="E449" s="13"/>
      <c r="F449" s="13"/>
      <c r="G449" s="13"/>
      <c r="H449" s="13"/>
      <c r="I449" s="13"/>
      <c r="J449" s="13"/>
      <c r="K449" s="13"/>
      <c r="L449" s="13"/>
      <c r="M449" s="13"/>
      <c r="N449" s="13"/>
      <c r="O449" s="13"/>
    </row>
    <row r="450" spans="2:15">
      <c r="B450" s="13"/>
      <c r="C450" s="13"/>
      <c r="D450" s="13"/>
      <c r="E450" s="13"/>
      <c r="F450" s="13"/>
      <c r="G450" s="13"/>
      <c r="H450" s="13"/>
      <c r="I450" s="13"/>
      <c r="J450" s="13"/>
      <c r="K450" s="13"/>
      <c r="L450" s="13"/>
      <c r="M450" s="13"/>
      <c r="N450" s="13"/>
      <c r="O450" s="13"/>
    </row>
    <row r="451" spans="2:15">
      <c r="B451" s="13"/>
      <c r="C451" s="13"/>
      <c r="D451" s="13"/>
      <c r="E451" s="13"/>
      <c r="F451" s="13"/>
      <c r="G451" s="13"/>
      <c r="H451" s="13"/>
      <c r="I451" s="13"/>
      <c r="J451" s="13"/>
      <c r="K451" s="13"/>
      <c r="L451" s="13"/>
      <c r="M451" s="13"/>
      <c r="N451" s="13"/>
      <c r="O451" s="13"/>
    </row>
    <row r="452" spans="2:15">
      <c r="B452" s="13"/>
      <c r="C452" s="13"/>
      <c r="D452" s="13"/>
      <c r="E452" s="13"/>
      <c r="F452" s="13"/>
      <c r="G452" s="13"/>
      <c r="H452" s="13"/>
      <c r="I452" s="13"/>
      <c r="J452" s="13"/>
      <c r="K452" s="13"/>
      <c r="L452" s="13"/>
      <c r="M452" s="13"/>
      <c r="N452" s="13"/>
      <c r="O452" s="13"/>
    </row>
    <row r="453" spans="2:15">
      <c r="B453" s="13"/>
      <c r="C453" s="13"/>
      <c r="D453" s="13"/>
      <c r="E453" s="13"/>
      <c r="F453" s="13"/>
      <c r="G453" s="13"/>
      <c r="H453" s="13"/>
      <c r="I453" s="13"/>
      <c r="J453" s="13"/>
      <c r="K453" s="13"/>
      <c r="L453" s="13"/>
      <c r="M453" s="13"/>
      <c r="N453" s="13"/>
      <c r="O453" s="13"/>
    </row>
    <row r="454" spans="2:15">
      <c r="B454" s="13"/>
      <c r="C454" s="13"/>
      <c r="D454" s="13"/>
      <c r="E454" s="13"/>
      <c r="F454" s="13"/>
      <c r="G454" s="13"/>
      <c r="H454" s="13"/>
      <c r="I454" s="13"/>
      <c r="J454" s="13"/>
      <c r="K454" s="13"/>
      <c r="L454" s="13"/>
      <c r="M454" s="13"/>
      <c r="N454" s="13"/>
      <c r="O454" s="13"/>
    </row>
    <row r="455" spans="2:15">
      <c r="B455" s="13"/>
      <c r="C455" s="13"/>
      <c r="D455" s="13"/>
      <c r="E455" s="13"/>
      <c r="F455" s="13"/>
      <c r="G455" s="13"/>
      <c r="H455" s="13"/>
      <c r="I455" s="13"/>
      <c r="J455" s="13"/>
      <c r="K455" s="13"/>
      <c r="L455" s="13"/>
      <c r="M455" s="13"/>
      <c r="N455" s="13"/>
      <c r="O455" s="13"/>
    </row>
    <row r="456" spans="2:15">
      <c r="B456" s="13"/>
      <c r="C456" s="13"/>
      <c r="D456" s="13"/>
      <c r="E456" s="13"/>
      <c r="F456" s="13"/>
      <c r="G456" s="13"/>
      <c r="H456" s="13"/>
      <c r="I456" s="13"/>
      <c r="J456" s="13"/>
      <c r="K456" s="13"/>
      <c r="L456" s="13"/>
      <c r="M456" s="13"/>
      <c r="N456" s="13"/>
      <c r="O456" s="13"/>
    </row>
    <row r="457" spans="2:15">
      <c r="B457" s="13"/>
      <c r="C457" s="13"/>
      <c r="D457" s="13"/>
      <c r="E457" s="13"/>
      <c r="F457" s="13"/>
      <c r="G457" s="13"/>
      <c r="H457" s="13"/>
      <c r="I457" s="13"/>
      <c r="J457" s="13"/>
      <c r="K457" s="13"/>
      <c r="L457" s="13"/>
      <c r="M457" s="13"/>
      <c r="N457" s="13"/>
      <c r="O457" s="13"/>
    </row>
    <row r="458" spans="2:15">
      <c r="B458" s="13"/>
      <c r="C458" s="13"/>
      <c r="D458" s="13"/>
      <c r="E458" s="13"/>
      <c r="F458" s="13"/>
      <c r="G458" s="13"/>
      <c r="H458" s="13"/>
      <c r="I458" s="13"/>
      <c r="J458" s="13"/>
      <c r="K458" s="13"/>
      <c r="L458" s="13"/>
      <c r="M458" s="13"/>
      <c r="N458" s="13"/>
      <c r="O458" s="13"/>
    </row>
    <row r="459" spans="2:15">
      <c r="B459" s="13"/>
      <c r="C459" s="13"/>
      <c r="D459" s="13"/>
      <c r="E459" s="13"/>
      <c r="F459" s="13"/>
      <c r="G459" s="13"/>
      <c r="H459" s="13"/>
      <c r="I459" s="13"/>
      <c r="J459" s="13"/>
      <c r="K459" s="13"/>
      <c r="L459" s="13"/>
      <c r="M459" s="13"/>
      <c r="N459" s="13"/>
      <c r="O459" s="13"/>
    </row>
    <row r="460" spans="2:15">
      <c r="B460" s="13"/>
      <c r="C460" s="13"/>
      <c r="D460" s="13"/>
      <c r="E460" s="13"/>
      <c r="F460" s="13"/>
      <c r="G460" s="13"/>
      <c r="H460" s="13"/>
      <c r="I460" s="13"/>
      <c r="J460" s="13"/>
      <c r="K460" s="13"/>
      <c r="L460" s="13"/>
      <c r="M460" s="13"/>
      <c r="N460" s="13"/>
      <c r="O460" s="13"/>
    </row>
    <row r="461" spans="2:15">
      <c r="B461" s="13"/>
      <c r="C461" s="13"/>
      <c r="D461" s="13"/>
      <c r="E461" s="13"/>
      <c r="F461" s="13"/>
      <c r="G461" s="13"/>
      <c r="H461" s="13"/>
      <c r="I461" s="13"/>
      <c r="J461" s="13"/>
      <c r="K461" s="13"/>
      <c r="L461" s="13"/>
      <c r="M461" s="13"/>
      <c r="N461" s="13"/>
      <c r="O461" s="13"/>
    </row>
    <row r="462" spans="2:15">
      <c r="B462" s="13"/>
      <c r="C462" s="13"/>
      <c r="D462" s="13"/>
      <c r="E462" s="13"/>
      <c r="F462" s="13"/>
      <c r="G462" s="13"/>
      <c r="H462" s="13"/>
      <c r="I462" s="13"/>
      <c r="J462" s="13"/>
      <c r="K462" s="13"/>
      <c r="L462" s="13"/>
      <c r="M462" s="13"/>
      <c r="N462" s="13"/>
      <c r="O462" s="13"/>
    </row>
    <row r="463" spans="2:15">
      <c r="B463" s="13"/>
      <c r="C463" s="13"/>
      <c r="D463" s="13"/>
      <c r="E463" s="13"/>
      <c r="F463" s="13"/>
      <c r="G463" s="13"/>
      <c r="H463" s="13"/>
      <c r="I463" s="13"/>
      <c r="J463" s="13"/>
      <c r="K463" s="13"/>
      <c r="L463" s="13"/>
      <c r="M463" s="13"/>
      <c r="N463" s="13"/>
      <c r="O463" s="13"/>
    </row>
    <row r="464" spans="2:15">
      <c r="B464" s="13"/>
      <c r="C464" s="13"/>
      <c r="D464" s="13"/>
      <c r="E464" s="13"/>
      <c r="F464" s="13"/>
      <c r="G464" s="13"/>
      <c r="H464" s="13"/>
      <c r="I464" s="13"/>
      <c r="J464" s="13"/>
      <c r="K464" s="13"/>
      <c r="L464" s="13"/>
      <c r="M464" s="13"/>
      <c r="N464" s="13"/>
      <c r="O464" s="13"/>
    </row>
    <row r="465" spans="2:15">
      <c r="B465" s="13"/>
      <c r="C465" s="13"/>
      <c r="D465" s="13"/>
      <c r="E465" s="13"/>
      <c r="F465" s="13"/>
      <c r="G465" s="13"/>
      <c r="H465" s="13"/>
      <c r="I465" s="13"/>
      <c r="J465" s="13"/>
      <c r="K465" s="13"/>
      <c r="L465" s="13"/>
      <c r="M465" s="13"/>
      <c r="N465" s="13"/>
      <c r="O465" s="13"/>
    </row>
    <row r="466" spans="2:15">
      <c r="B466" s="13"/>
      <c r="C466" s="13"/>
      <c r="D466" s="13"/>
      <c r="E466" s="13"/>
      <c r="F466" s="13"/>
      <c r="G466" s="13"/>
      <c r="H466" s="13"/>
      <c r="I466" s="13"/>
      <c r="J466" s="13"/>
      <c r="K466" s="13"/>
      <c r="L466" s="13"/>
      <c r="M466" s="13"/>
      <c r="N466" s="13"/>
      <c r="O466" s="13"/>
    </row>
    <row r="467" spans="2:15">
      <c r="B467" s="13"/>
      <c r="C467" s="13"/>
      <c r="D467" s="13"/>
      <c r="E467" s="13"/>
      <c r="F467" s="13"/>
      <c r="G467" s="13"/>
      <c r="H467" s="13"/>
      <c r="I467" s="13"/>
      <c r="J467" s="13"/>
      <c r="K467" s="13"/>
      <c r="L467" s="13"/>
      <c r="M467" s="13"/>
      <c r="N467" s="13"/>
      <c r="O467" s="13"/>
    </row>
    <row r="468" spans="2:15">
      <c r="B468" s="13"/>
      <c r="C468" s="13"/>
      <c r="D468" s="13"/>
      <c r="E468" s="13"/>
      <c r="F468" s="13"/>
      <c r="G468" s="13"/>
      <c r="H468" s="13"/>
      <c r="I468" s="13"/>
      <c r="J468" s="13"/>
      <c r="K468" s="13"/>
      <c r="L468" s="13"/>
      <c r="M468" s="13"/>
      <c r="N468" s="13"/>
      <c r="O468" s="13"/>
    </row>
    <row r="469" spans="2:15">
      <c r="B469" s="13"/>
      <c r="C469" s="13"/>
      <c r="D469" s="13"/>
      <c r="E469" s="13"/>
      <c r="F469" s="13"/>
      <c r="G469" s="13"/>
      <c r="H469" s="13"/>
      <c r="I469" s="13"/>
      <c r="J469" s="13"/>
      <c r="K469" s="13"/>
      <c r="L469" s="13"/>
      <c r="M469" s="13"/>
      <c r="N469" s="13"/>
      <c r="O469" s="13"/>
    </row>
    <row r="470" spans="2:15">
      <c r="B470" s="13"/>
      <c r="C470" s="13"/>
      <c r="D470" s="13"/>
      <c r="E470" s="13"/>
      <c r="F470" s="13"/>
      <c r="G470" s="13"/>
      <c r="H470" s="13"/>
      <c r="I470" s="13"/>
      <c r="J470" s="13"/>
      <c r="K470" s="13"/>
      <c r="L470" s="13"/>
      <c r="M470" s="13"/>
      <c r="N470" s="13"/>
      <c r="O470" s="13"/>
    </row>
    <row r="471" spans="2:15">
      <c r="B471" s="13"/>
      <c r="C471" s="13"/>
      <c r="D471" s="13"/>
      <c r="E471" s="13"/>
      <c r="F471" s="13"/>
      <c r="G471" s="13"/>
      <c r="H471" s="13"/>
      <c r="I471" s="13"/>
      <c r="J471" s="13"/>
      <c r="K471" s="13"/>
      <c r="L471" s="13"/>
      <c r="M471" s="13"/>
      <c r="N471" s="13"/>
      <c r="O471" s="13"/>
    </row>
    <row r="472" spans="2:15">
      <c r="B472" s="13"/>
      <c r="C472" s="13"/>
      <c r="D472" s="13"/>
      <c r="E472" s="13"/>
      <c r="F472" s="13"/>
      <c r="G472" s="13"/>
      <c r="H472" s="13"/>
      <c r="I472" s="13"/>
      <c r="J472" s="13"/>
      <c r="K472" s="13"/>
      <c r="L472" s="13"/>
      <c r="M472" s="13"/>
      <c r="N472" s="13"/>
      <c r="O472" s="13"/>
    </row>
    <row r="473" spans="2:15">
      <c r="B473" s="13"/>
      <c r="C473" s="13"/>
      <c r="D473" s="13"/>
      <c r="E473" s="13"/>
      <c r="F473" s="13"/>
      <c r="G473" s="13"/>
      <c r="H473" s="13"/>
      <c r="I473" s="13"/>
      <c r="J473" s="13"/>
      <c r="K473" s="13"/>
      <c r="L473" s="13"/>
      <c r="M473" s="13"/>
      <c r="N473" s="13"/>
      <c r="O473" s="13"/>
    </row>
    <row r="474" spans="2:15">
      <c r="B474" s="13"/>
      <c r="C474" s="13"/>
      <c r="D474" s="13"/>
      <c r="E474" s="13"/>
      <c r="F474" s="13"/>
      <c r="G474" s="13"/>
      <c r="H474" s="13"/>
      <c r="I474" s="13"/>
      <c r="J474" s="13"/>
      <c r="K474" s="13"/>
      <c r="L474" s="13"/>
      <c r="M474" s="13"/>
      <c r="N474" s="13"/>
      <c r="O474" s="13"/>
    </row>
    <row r="475" spans="2:15">
      <c r="B475" s="13"/>
      <c r="C475" s="13"/>
      <c r="D475" s="13"/>
      <c r="E475" s="13"/>
      <c r="F475" s="13"/>
      <c r="G475" s="13"/>
      <c r="H475" s="13"/>
      <c r="I475" s="13"/>
      <c r="J475" s="13"/>
      <c r="K475" s="13"/>
      <c r="L475" s="13"/>
      <c r="M475" s="13"/>
      <c r="N475" s="13"/>
      <c r="O475" s="13"/>
    </row>
    <row r="476" spans="2:15">
      <c r="B476" s="13"/>
      <c r="C476" s="13"/>
      <c r="D476" s="13"/>
      <c r="E476" s="13"/>
      <c r="F476" s="13"/>
      <c r="G476" s="13"/>
      <c r="H476" s="13"/>
      <c r="I476" s="13"/>
      <c r="J476" s="13"/>
      <c r="K476" s="13"/>
      <c r="L476" s="13"/>
      <c r="M476" s="13"/>
      <c r="N476" s="13"/>
      <c r="O476" s="13"/>
    </row>
    <row r="477" spans="2:15">
      <c r="B477" s="13"/>
      <c r="C477" s="13"/>
      <c r="D477" s="13"/>
      <c r="E477" s="13"/>
      <c r="F477" s="13"/>
      <c r="G477" s="13"/>
      <c r="H477" s="13"/>
      <c r="I477" s="13"/>
      <c r="J477" s="13"/>
      <c r="K477" s="13"/>
      <c r="L477" s="13"/>
      <c r="M477" s="13"/>
      <c r="N477" s="13"/>
      <c r="O477" s="13"/>
    </row>
    <row r="478" spans="2:15">
      <c r="B478" s="13"/>
      <c r="C478" s="13"/>
      <c r="D478" s="13"/>
      <c r="E478" s="13"/>
      <c r="F478" s="13"/>
      <c r="G478" s="13"/>
      <c r="H478" s="13"/>
      <c r="I478" s="13"/>
      <c r="J478" s="13"/>
      <c r="K478" s="13"/>
      <c r="L478" s="13"/>
      <c r="M478" s="13"/>
      <c r="N478" s="13"/>
      <c r="O478" s="13"/>
    </row>
    <row r="479" spans="2:15">
      <c r="B479" s="13"/>
      <c r="C479" s="13"/>
      <c r="D479" s="13"/>
      <c r="E479" s="13"/>
      <c r="F479" s="13"/>
      <c r="G479" s="13"/>
      <c r="H479" s="13"/>
      <c r="I479" s="13"/>
      <c r="J479" s="13"/>
      <c r="K479" s="13"/>
      <c r="L479" s="13"/>
      <c r="M479" s="13"/>
      <c r="N479" s="13"/>
      <c r="O479" s="13"/>
    </row>
    <row r="480" spans="2:15">
      <c r="B480" s="13"/>
      <c r="C480" s="13"/>
      <c r="D480" s="13"/>
      <c r="E480" s="13"/>
      <c r="F480" s="13"/>
      <c r="G480" s="13"/>
      <c r="H480" s="13"/>
      <c r="I480" s="13"/>
      <c r="J480" s="13"/>
      <c r="K480" s="13"/>
      <c r="L480" s="13"/>
      <c r="M480" s="13"/>
      <c r="N480" s="13"/>
      <c r="O480" s="13"/>
    </row>
    <row r="481" spans="2:15">
      <c r="B481" s="13"/>
      <c r="C481" s="13"/>
      <c r="D481" s="13"/>
      <c r="E481" s="13"/>
      <c r="F481" s="13"/>
      <c r="G481" s="13"/>
      <c r="H481" s="13"/>
      <c r="I481" s="13"/>
      <c r="J481" s="13"/>
      <c r="K481" s="13"/>
      <c r="L481" s="13"/>
      <c r="M481" s="13"/>
      <c r="N481" s="13"/>
      <c r="O481" s="13"/>
    </row>
    <row r="482" spans="2:15">
      <c r="B482" s="13"/>
      <c r="C482" s="13"/>
      <c r="D482" s="13"/>
      <c r="E482" s="13"/>
      <c r="F482" s="13"/>
      <c r="G482" s="13"/>
      <c r="H482" s="13"/>
      <c r="I482" s="13"/>
      <c r="J482" s="13"/>
      <c r="K482" s="13"/>
      <c r="L482" s="13"/>
      <c r="M482" s="13"/>
      <c r="N482" s="13"/>
      <c r="O482" s="13"/>
    </row>
    <row r="483" spans="2:15">
      <c r="B483" s="13"/>
      <c r="C483" s="13"/>
      <c r="D483" s="13"/>
      <c r="E483" s="13"/>
      <c r="F483" s="13"/>
      <c r="G483" s="13"/>
      <c r="H483" s="13"/>
      <c r="I483" s="13"/>
      <c r="J483" s="13"/>
      <c r="K483" s="13"/>
      <c r="L483" s="13"/>
      <c r="M483" s="13"/>
      <c r="N483" s="13"/>
      <c r="O483" s="13"/>
    </row>
    <row r="484" spans="2:15">
      <c r="B484" s="13"/>
      <c r="C484" s="13"/>
      <c r="D484" s="13"/>
      <c r="E484" s="13"/>
      <c r="F484" s="13"/>
      <c r="G484" s="13"/>
      <c r="H484" s="13"/>
      <c r="I484" s="13"/>
      <c r="J484" s="13"/>
      <c r="K484" s="13"/>
      <c r="L484" s="13"/>
      <c r="M484" s="13"/>
      <c r="N484" s="13"/>
      <c r="O484" s="13"/>
    </row>
    <row r="485" spans="2:15">
      <c r="B485" s="13"/>
      <c r="C485" s="13"/>
      <c r="D485" s="13"/>
      <c r="E485" s="13"/>
      <c r="F485" s="13"/>
      <c r="G485" s="13"/>
      <c r="H485" s="13"/>
      <c r="I485" s="13"/>
      <c r="J485" s="13"/>
      <c r="K485" s="13"/>
      <c r="L485" s="13"/>
      <c r="M485" s="13"/>
      <c r="N485" s="13"/>
      <c r="O485" s="13"/>
    </row>
    <row r="486" spans="2:15">
      <c r="B486" s="13"/>
      <c r="C486" s="13"/>
      <c r="D486" s="13"/>
      <c r="E486" s="13"/>
      <c r="F486" s="13"/>
      <c r="G486" s="13"/>
      <c r="H486" s="13"/>
      <c r="I486" s="13"/>
      <c r="J486" s="13"/>
      <c r="K486" s="13"/>
      <c r="L486" s="13"/>
      <c r="M486" s="13"/>
      <c r="N486" s="13"/>
      <c r="O486" s="13"/>
    </row>
    <row r="487" spans="2:15">
      <c r="B487" s="13"/>
      <c r="C487" s="13"/>
      <c r="D487" s="13"/>
      <c r="E487" s="13"/>
      <c r="F487" s="13"/>
      <c r="G487" s="13"/>
      <c r="H487" s="13"/>
      <c r="I487" s="13"/>
      <c r="J487" s="13"/>
      <c r="K487" s="13"/>
      <c r="L487" s="13"/>
      <c r="M487" s="13"/>
      <c r="N487" s="13"/>
      <c r="O487" s="13"/>
    </row>
    <row r="488" spans="2:15">
      <c r="B488" s="13"/>
      <c r="C488" s="13"/>
      <c r="D488" s="13"/>
      <c r="E488" s="13"/>
      <c r="F488" s="13"/>
      <c r="G488" s="13"/>
      <c r="H488" s="13"/>
      <c r="I488" s="13"/>
      <c r="J488" s="13"/>
      <c r="K488" s="13"/>
      <c r="L488" s="13"/>
      <c r="M488" s="13"/>
      <c r="N488" s="13"/>
      <c r="O488" s="13"/>
    </row>
    <row r="489" spans="2:15">
      <c r="B489" s="13"/>
      <c r="C489" s="13"/>
      <c r="D489" s="13"/>
      <c r="E489" s="13"/>
      <c r="F489" s="13"/>
      <c r="G489" s="13"/>
      <c r="H489" s="13"/>
      <c r="I489" s="13"/>
      <c r="J489" s="13"/>
      <c r="K489" s="13"/>
      <c r="L489" s="13"/>
      <c r="M489" s="13"/>
      <c r="N489" s="13"/>
      <c r="O489" s="13"/>
    </row>
    <row r="490" spans="2:15">
      <c r="B490" s="13"/>
      <c r="C490" s="13"/>
      <c r="D490" s="13"/>
      <c r="E490" s="13"/>
      <c r="F490" s="13"/>
      <c r="G490" s="13"/>
      <c r="H490" s="13"/>
      <c r="I490" s="13"/>
      <c r="J490" s="13"/>
      <c r="K490" s="13"/>
      <c r="L490" s="13"/>
      <c r="M490" s="13"/>
      <c r="N490" s="13"/>
      <c r="O490" s="13"/>
    </row>
    <row r="491" spans="2:15">
      <c r="B491" s="13"/>
      <c r="C491" s="13"/>
      <c r="D491" s="13"/>
      <c r="E491" s="13"/>
      <c r="F491" s="13"/>
      <c r="G491" s="13"/>
      <c r="H491" s="13"/>
      <c r="I491" s="13"/>
      <c r="J491" s="13"/>
      <c r="K491" s="13"/>
      <c r="L491" s="13"/>
      <c r="M491" s="13"/>
      <c r="N491" s="13"/>
      <c r="O491" s="13"/>
    </row>
    <row r="492" spans="2:15">
      <c r="B492" s="13"/>
      <c r="C492" s="13"/>
      <c r="D492" s="13"/>
      <c r="E492" s="13"/>
      <c r="F492" s="13"/>
      <c r="G492" s="13"/>
      <c r="H492" s="13"/>
      <c r="I492" s="13"/>
      <c r="J492" s="13"/>
      <c r="K492" s="13"/>
      <c r="L492" s="13"/>
      <c r="M492" s="13"/>
      <c r="N492" s="13"/>
      <c r="O492" s="13"/>
    </row>
    <row r="493" spans="2:15">
      <c r="B493" s="13"/>
      <c r="C493" s="13"/>
      <c r="D493" s="13"/>
      <c r="E493" s="13"/>
      <c r="F493" s="13"/>
      <c r="G493" s="13"/>
      <c r="H493" s="13"/>
      <c r="I493" s="13"/>
      <c r="J493" s="13"/>
      <c r="K493" s="13"/>
      <c r="L493" s="13"/>
      <c r="M493" s="13"/>
      <c r="N493" s="13"/>
      <c r="O493" s="13"/>
    </row>
    <row r="494" spans="2:15">
      <c r="B494" s="13"/>
      <c r="C494" s="13"/>
      <c r="D494" s="13"/>
      <c r="E494" s="13"/>
      <c r="F494" s="13"/>
      <c r="G494" s="13"/>
      <c r="H494" s="13"/>
      <c r="I494" s="13"/>
      <c r="J494" s="13"/>
      <c r="K494" s="13"/>
      <c r="L494" s="13"/>
      <c r="M494" s="13"/>
      <c r="N494" s="13"/>
      <c r="O494" s="13"/>
    </row>
    <row r="495" spans="2:15">
      <c r="B495" s="13"/>
      <c r="C495" s="13"/>
      <c r="D495" s="13"/>
      <c r="E495" s="13"/>
      <c r="F495" s="13"/>
      <c r="G495" s="13"/>
      <c r="H495" s="13"/>
      <c r="I495" s="13"/>
      <c r="J495" s="13"/>
      <c r="K495" s="13"/>
      <c r="L495" s="13"/>
      <c r="M495" s="13"/>
      <c r="N495" s="13"/>
      <c r="O495" s="13"/>
    </row>
    <row r="496" spans="2:15">
      <c r="B496" s="13"/>
      <c r="C496" s="13"/>
      <c r="D496" s="13"/>
      <c r="E496" s="13"/>
      <c r="F496" s="13"/>
      <c r="G496" s="13"/>
      <c r="H496" s="13"/>
      <c r="I496" s="13"/>
      <c r="J496" s="13"/>
      <c r="K496" s="13"/>
      <c r="L496" s="13"/>
      <c r="M496" s="13"/>
      <c r="N496" s="13"/>
      <c r="O496" s="13"/>
    </row>
    <row r="497" spans="2:15">
      <c r="B497" s="13"/>
      <c r="C497" s="13"/>
      <c r="D497" s="13"/>
      <c r="E497" s="13"/>
      <c r="F497" s="13"/>
      <c r="G497" s="13"/>
      <c r="H497" s="13"/>
      <c r="I497" s="13"/>
      <c r="J497" s="13"/>
      <c r="K497" s="13"/>
      <c r="L497" s="13"/>
      <c r="M497" s="13"/>
      <c r="N497" s="13"/>
      <c r="O497" s="13"/>
    </row>
    <row r="498" spans="2:15">
      <c r="B498" s="13"/>
      <c r="C498" s="13"/>
      <c r="D498" s="13"/>
      <c r="E498" s="13"/>
      <c r="F498" s="13"/>
      <c r="G498" s="13"/>
      <c r="H498" s="13"/>
      <c r="I498" s="13"/>
      <c r="J498" s="13"/>
      <c r="K498" s="13"/>
      <c r="L498" s="13"/>
      <c r="M498" s="13"/>
      <c r="N498" s="13"/>
      <c r="O498" s="13"/>
    </row>
    <row r="499" spans="2:15">
      <c r="B499" s="13"/>
      <c r="C499" s="13"/>
      <c r="D499" s="13"/>
      <c r="E499" s="13"/>
      <c r="F499" s="13"/>
      <c r="G499" s="13"/>
      <c r="H499" s="13"/>
      <c r="I499" s="13"/>
      <c r="J499" s="13"/>
      <c r="K499" s="13"/>
      <c r="L499" s="13"/>
      <c r="M499" s="13"/>
      <c r="N499" s="13"/>
      <c r="O499" s="13"/>
    </row>
    <row r="500" spans="2:15">
      <c r="B500" s="13"/>
      <c r="C500" s="13"/>
      <c r="D500" s="13"/>
      <c r="E500" s="13"/>
      <c r="F500" s="13"/>
      <c r="G500" s="13"/>
      <c r="H500" s="13"/>
      <c r="I500" s="13"/>
      <c r="J500" s="13"/>
      <c r="K500" s="13"/>
      <c r="L500" s="13"/>
      <c r="M500" s="13"/>
      <c r="N500" s="13"/>
      <c r="O500" s="13"/>
    </row>
    <row r="501" spans="2:15">
      <c r="B501" s="13"/>
      <c r="C501" s="13"/>
      <c r="D501" s="13"/>
      <c r="E501" s="13"/>
      <c r="F501" s="13"/>
      <c r="G501" s="13"/>
      <c r="H501" s="13"/>
      <c r="I501" s="13"/>
      <c r="J501" s="13"/>
      <c r="K501" s="13"/>
      <c r="L501" s="13"/>
      <c r="M501" s="13"/>
      <c r="N501" s="13"/>
      <c r="O501" s="13"/>
    </row>
    <row r="502" spans="2:15">
      <c r="B502" s="13"/>
      <c r="C502" s="13"/>
      <c r="D502" s="13"/>
      <c r="E502" s="13"/>
      <c r="F502" s="13"/>
      <c r="G502" s="13"/>
      <c r="H502" s="13"/>
      <c r="I502" s="13"/>
      <c r="J502" s="13"/>
      <c r="K502" s="13"/>
      <c r="L502" s="13"/>
      <c r="M502" s="13"/>
      <c r="N502" s="13"/>
      <c r="O502" s="13"/>
    </row>
    <row r="503" spans="2:15">
      <c r="B503" s="13"/>
      <c r="C503" s="13"/>
      <c r="D503" s="13"/>
      <c r="E503" s="13"/>
      <c r="F503" s="13"/>
      <c r="G503" s="13"/>
      <c r="H503" s="13"/>
      <c r="I503" s="13"/>
      <c r="J503" s="13"/>
      <c r="K503" s="13"/>
      <c r="L503" s="13"/>
      <c r="M503" s="13"/>
      <c r="N503" s="13"/>
      <c r="O503" s="13"/>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348"/>
  <sheetViews>
    <sheetView showGridLines="0" zoomScale="96" zoomScaleNormal="160" workbookViewId="0">
      <pane xSplit="1" ySplit="2" topLeftCell="W291" activePane="bottomRight" state="frozen"/>
      <selection pane="bottomRight" activeCell="AD314" sqref="AD314:AG314"/>
      <selection pane="bottomLeft" activeCell="A3" sqref="A3"/>
      <selection pane="topRight" activeCell="B1" sqref="B1"/>
    </sheetView>
  </sheetViews>
  <sheetFormatPr defaultRowHeight="14.45"/>
  <cols>
    <col min="1" max="1" width="23.85546875" customWidth="1"/>
    <col min="2" max="3" width="9.140625" customWidth="1"/>
    <col min="16" max="16" width="9.140625" bestFit="1" customWidth="1"/>
    <col min="17" max="25" width="9.140625" customWidth="1"/>
    <col min="30" max="33" width="11.140625" bestFit="1" customWidth="1"/>
    <col min="34" max="36" width="11.140625" customWidth="1"/>
  </cols>
  <sheetData>
    <row r="1" spans="1:52">
      <c r="A1" s="1"/>
      <c r="B1" s="334">
        <v>43252</v>
      </c>
      <c r="C1" s="334">
        <v>43344</v>
      </c>
      <c r="D1" s="334">
        <v>43435</v>
      </c>
      <c r="E1" s="334">
        <v>43525</v>
      </c>
      <c r="F1" s="334">
        <v>43617</v>
      </c>
      <c r="G1" s="334">
        <v>43709</v>
      </c>
      <c r="H1" s="334">
        <v>43800</v>
      </c>
      <c r="I1" s="334">
        <v>43891</v>
      </c>
      <c r="J1" s="334">
        <v>43983</v>
      </c>
      <c r="K1" s="334">
        <v>44075</v>
      </c>
      <c r="L1" s="334">
        <v>44166</v>
      </c>
      <c r="M1" s="334">
        <v>44256</v>
      </c>
      <c r="N1" s="334">
        <v>44348</v>
      </c>
      <c r="O1" s="334">
        <v>44440</v>
      </c>
      <c r="P1" s="334">
        <v>44531</v>
      </c>
      <c r="Q1" s="334">
        <v>44621</v>
      </c>
      <c r="R1" s="334">
        <v>44713</v>
      </c>
      <c r="S1" s="334">
        <v>44805</v>
      </c>
      <c r="T1" s="334">
        <v>44896</v>
      </c>
      <c r="U1" s="334">
        <v>44986</v>
      </c>
      <c r="V1" s="334">
        <v>45078</v>
      </c>
      <c r="W1" s="334">
        <v>45170</v>
      </c>
      <c r="X1" s="334">
        <v>45261</v>
      </c>
      <c r="Y1" s="334">
        <v>45352</v>
      </c>
      <c r="Z1" s="334">
        <v>45444</v>
      </c>
      <c r="AA1" s="334">
        <v>45536</v>
      </c>
      <c r="AB1" s="334">
        <v>45627</v>
      </c>
      <c r="AC1" s="334">
        <v>45717</v>
      </c>
      <c r="AD1" s="334">
        <v>45809</v>
      </c>
      <c r="AE1" s="334">
        <v>45901</v>
      </c>
      <c r="AF1" s="334">
        <v>45992</v>
      </c>
      <c r="AG1" s="334">
        <v>46082</v>
      </c>
      <c r="AH1" s="334"/>
      <c r="AI1" s="334"/>
      <c r="AJ1" s="334"/>
      <c r="AK1" s="2" t="s">
        <v>101</v>
      </c>
      <c r="AL1" s="2" t="s">
        <v>101</v>
      </c>
      <c r="AM1" s="2" t="s">
        <v>101</v>
      </c>
      <c r="AN1" s="2" t="s">
        <v>101</v>
      </c>
      <c r="AO1" s="2" t="s">
        <v>101</v>
      </c>
      <c r="AP1" s="2" t="s">
        <v>101</v>
      </c>
      <c r="AQ1" s="2" t="s">
        <v>101</v>
      </c>
      <c r="AR1" s="2" t="s">
        <v>101</v>
      </c>
      <c r="AS1" s="2" t="s">
        <v>101</v>
      </c>
      <c r="AT1" s="2"/>
      <c r="AU1" s="2"/>
      <c r="AV1" s="2"/>
      <c r="AW1" s="2"/>
      <c r="AX1" s="2"/>
    </row>
    <row r="2" spans="1:52">
      <c r="A2" s="3" t="s">
        <v>102</v>
      </c>
      <c r="B2" s="2" t="s">
        <v>110</v>
      </c>
      <c r="C2" s="2" t="s">
        <v>111</v>
      </c>
      <c r="D2" s="2" t="s">
        <v>112</v>
      </c>
      <c r="E2" s="2" t="s">
        <v>113</v>
      </c>
      <c r="F2" s="2" t="s">
        <v>114</v>
      </c>
      <c r="G2" s="2" t="s">
        <v>115</v>
      </c>
      <c r="H2" s="2" t="s">
        <v>116</v>
      </c>
      <c r="I2" s="2" t="s">
        <v>117</v>
      </c>
      <c r="J2" s="2" t="s">
        <v>118</v>
      </c>
      <c r="K2" s="2" t="s">
        <v>119</v>
      </c>
      <c r="L2" s="2" t="s">
        <v>120</v>
      </c>
      <c r="M2" s="2" t="s">
        <v>121</v>
      </c>
      <c r="N2" s="2" t="s">
        <v>122</v>
      </c>
      <c r="O2" s="2" t="s">
        <v>123</v>
      </c>
      <c r="P2" s="2" t="s">
        <v>124</v>
      </c>
      <c r="Q2" s="2" t="s">
        <v>125</v>
      </c>
      <c r="R2" s="2" t="s">
        <v>126</v>
      </c>
      <c r="S2" s="2" t="s">
        <v>127</v>
      </c>
      <c r="T2" s="2" t="s">
        <v>128</v>
      </c>
      <c r="U2" s="2" t="s">
        <v>129</v>
      </c>
      <c r="V2" s="2" t="s">
        <v>130</v>
      </c>
      <c r="W2" s="2" t="s">
        <v>131</v>
      </c>
      <c r="X2" s="2" t="s">
        <v>132</v>
      </c>
      <c r="Y2" s="2" t="s">
        <v>133</v>
      </c>
      <c r="Z2" s="2" t="s">
        <v>134</v>
      </c>
      <c r="AA2" s="2" t="s">
        <v>135</v>
      </c>
      <c r="AB2" s="2" t="s">
        <v>136</v>
      </c>
      <c r="AC2" s="2" t="s">
        <v>137</v>
      </c>
      <c r="AD2" s="2" t="s">
        <v>138</v>
      </c>
      <c r="AE2" s="2" t="s">
        <v>139</v>
      </c>
      <c r="AF2" s="2" t="s">
        <v>140</v>
      </c>
      <c r="AG2" s="2" t="s">
        <v>141</v>
      </c>
      <c r="AH2" s="2"/>
      <c r="AI2" s="2"/>
      <c r="AJ2" s="2"/>
      <c r="AK2" s="2" t="s">
        <v>154</v>
      </c>
      <c r="AL2" s="2" t="s">
        <v>16</v>
      </c>
      <c r="AM2" s="2" t="s">
        <v>17</v>
      </c>
      <c r="AN2" s="2" t="s">
        <v>18</v>
      </c>
      <c r="AO2" s="2" t="s">
        <v>19</v>
      </c>
      <c r="AP2" s="2" t="s">
        <v>20</v>
      </c>
      <c r="AQ2" s="2" t="s">
        <v>21</v>
      </c>
      <c r="AR2" s="2" t="s">
        <v>22</v>
      </c>
      <c r="AS2" s="2" t="s">
        <v>35</v>
      </c>
      <c r="AT2" s="2"/>
      <c r="AU2" s="2"/>
      <c r="AV2" s="2"/>
      <c r="AW2" s="2"/>
      <c r="AX2" s="2"/>
    </row>
    <row r="3" spans="1:52">
      <c r="A3" s="4"/>
      <c r="B3" s="5"/>
      <c r="C3" s="5">
        <f>C4*4</f>
        <v>494.85179407176281</v>
      </c>
      <c r="D3" s="5"/>
      <c r="E3" s="5"/>
      <c r="F3" s="5"/>
      <c r="G3" s="5"/>
      <c r="H3" s="5"/>
      <c r="I3" s="5"/>
      <c r="J3" s="5"/>
      <c r="K3" s="5"/>
      <c r="L3" s="5">
        <f t="shared" ref="L3:P3" si="0">L4-K4</f>
        <v>5.9000000000000057</v>
      </c>
      <c r="M3" s="5">
        <f t="shared" si="0"/>
        <v>11.299999999999983</v>
      </c>
      <c r="N3" s="5">
        <f t="shared" si="0"/>
        <v>27.599999999999994</v>
      </c>
      <c r="O3" s="5">
        <f t="shared" si="0"/>
        <v>13.100000000000023</v>
      </c>
      <c r="P3" s="5">
        <f t="shared" si="0"/>
        <v>8.7999999999999829</v>
      </c>
      <c r="Q3" s="5">
        <f t="shared" ref="Q3:Y3" si="1">Q4-P4</f>
        <v>10.800000000000011</v>
      </c>
      <c r="R3" s="5">
        <f t="shared" si="1"/>
        <v>6.2999999999999829</v>
      </c>
      <c r="S3" s="5">
        <f t="shared" si="1"/>
        <v>8.2000000000000171</v>
      </c>
      <c r="T3" s="5">
        <f t="shared" si="1"/>
        <v>4.7999999999999829</v>
      </c>
      <c r="U3" s="5">
        <f t="shared" si="1"/>
        <v>12.699999999999989</v>
      </c>
      <c r="V3" s="5">
        <f t="shared" si="1"/>
        <v>7.4000000000000341</v>
      </c>
      <c r="W3" s="5">
        <f t="shared" si="1"/>
        <v>6.3000000000000114</v>
      </c>
      <c r="X3" s="5">
        <f t="shared" si="1"/>
        <v>3.8999999999999773</v>
      </c>
      <c r="Y3" s="5">
        <f t="shared" si="1"/>
        <v>-1.1000000000000227</v>
      </c>
      <c r="Z3" s="5">
        <f t="shared" ref="Z3:AG3" si="2">Z4-Y4</f>
        <v>5.5</v>
      </c>
      <c r="AA3" s="5">
        <f t="shared" si="2"/>
        <v>78.700000000000045</v>
      </c>
      <c r="AB3" s="5">
        <f t="shared" si="2"/>
        <v>25.399999999999977</v>
      </c>
      <c r="AC3" s="5">
        <f t="shared" si="2"/>
        <v>13</v>
      </c>
      <c r="AD3" s="5">
        <f t="shared" si="2"/>
        <v>38.899999999999977</v>
      </c>
      <c r="AE3" s="5">
        <f t="shared" si="2"/>
        <v>19.700000000000045</v>
      </c>
      <c r="AF3" s="5">
        <f t="shared" si="2"/>
        <v>18.799999999999955</v>
      </c>
      <c r="AG3" s="5">
        <f t="shared" si="2"/>
        <v>8.2000000000000455</v>
      </c>
      <c r="AH3" s="5"/>
      <c r="AI3" s="5"/>
      <c r="AJ3" s="5"/>
      <c r="AK3" s="17"/>
      <c r="AL3" s="17">
        <f t="shared" ref="AL3:AR3" si="3">AL4-AK4</f>
        <v>72</v>
      </c>
      <c r="AM3" s="17">
        <f t="shared" si="3"/>
        <v>65.169811320754775</v>
      </c>
      <c r="AN3" s="17">
        <f t="shared" si="3"/>
        <v>35.530188679245271</v>
      </c>
      <c r="AO3" s="17">
        <f t="shared" si="3"/>
        <v>238.79999999999995</v>
      </c>
      <c r="AP3" s="17">
        <f t="shared" si="3"/>
        <v>135.19999999999993</v>
      </c>
      <c r="AQ3" s="17">
        <f t="shared" si="3"/>
        <v>97.600000000000023</v>
      </c>
      <c r="AR3" s="17">
        <f t="shared" si="3"/>
        <v>348.70000000000005</v>
      </c>
      <c r="AS3" s="17">
        <f>AS4-AR4</f>
        <v>1022</v>
      </c>
      <c r="AT3" s="17"/>
      <c r="AU3" s="17"/>
      <c r="AV3" s="17"/>
      <c r="AW3" s="17"/>
      <c r="AX3" s="17"/>
    </row>
    <row r="4" spans="1:52">
      <c r="A4" s="6" t="s">
        <v>159</v>
      </c>
      <c r="B4" s="245">
        <v>118.55746445497631</v>
      </c>
      <c r="C4" s="245">
        <f>'P&amp;L consol'!K5</f>
        <v>123.7129485179407</v>
      </c>
      <c r="D4" s="245">
        <f>'P&amp;L consol'!L5</f>
        <v>129.06782026234998</v>
      </c>
      <c r="E4" s="245">
        <f>'P&amp;L consol'!M5</f>
        <v>134.5121247113164</v>
      </c>
      <c r="F4" s="246">
        <f>'P&amp;L consol'!N5</f>
        <v>140.10218978102191</v>
      </c>
      <c r="G4" s="246">
        <f>'P&amp;L consol'!O5</f>
        <v>146.97141239739599</v>
      </c>
      <c r="H4" s="246">
        <f>'P&amp;L consol'!P5</f>
        <v>151.2470057770889</v>
      </c>
      <c r="I4" s="246">
        <f>'P&amp;L consol'!Q5</f>
        <v>154.80044655316775</v>
      </c>
      <c r="J4" s="246">
        <f>'P&amp;L consol'!R5</f>
        <v>139.9</v>
      </c>
      <c r="K4" s="246">
        <f>'P&amp;L consol'!S5</f>
        <v>154.9</v>
      </c>
      <c r="L4" s="246">
        <f>'P&amp;L consol'!T5</f>
        <v>160.80000000000001</v>
      </c>
      <c r="M4" s="246">
        <f>'P&amp;L consol'!U5</f>
        <v>172.1</v>
      </c>
      <c r="N4" s="246">
        <f>'P&amp;L consol'!V5</f>
        <v>199.7</v>
      </c>
      <c r="O4" s="246">
        <f>'P&amp;L consol'!W5</f>
        <v>212.8</v>
      </c>
      <c r="P4" s="246">
        <f>'P&amp;L consol'!X5</f>
        <v>221.6</v>
      </c>
      <c r="Q4" s="246">
        <f>'P&amp;L consol'!Y5</f>
        <v>232.4</v>
      </c>
      <c r="R4" s="246">
        <f>'P&amp;L consol'!Z5</f>
        <v>238.7</v>
      </c>
      <c r="S4" s="246">
        <f>'P&amp;L consol'!AA5</f>
        <v>246.9</v>
      </c>
      <c r="T4" s="246">
        <f>'P&amp;L consol'!AB5</f>
        <v>251.7</v>
      </c>
      <c r="U4" s="246">
        <f>'P&amp;L consol'!AC5</f>
        <v>264.39999999999998</v>
      </c>
      <c r="V4" s="246">
        <f>'P&amp;L consol'!AD5</f>
        <v>271.8</v>
      </c>
      <c r="W4" s="246">
        <f>'P&amp;L consol'!AE5</f>
        <v>278.10000000000002</v>
      </c>
      <c r="X4" s="246">
        <f>'P&amp;L consol'!AF5</f>
        <v>282</v>
      </c>
      <c r="Y4" s="246">
        <f>'P&amp;L consol'!AG5</f>
        <v>280.89999999999998</v>
      </c>
      <c r="Z4" s="246">
        <f>'P&amp;L consol'!AH5</f>
        <v>286.39999999999998</v>
      </c>
      <c r="AA4" s="246">
        <f>'P&amp;L consol'!AI5</f>
        <v>365.1</v>
      </c>
      <c r="AB4" s="246">
        <f>'P&amp;L consol'!AJ5</f>
        <v>390.5</v>
      </c>
      <c r="AC4" s="246">
        <f>'P&amp;L consol'!AK5</f>
        <v>403.5</v>
      </c>
      <c r="AD4" s="246">
        <f>'P&amp;L consol'!AL5</f>
        <v>442.4</v>
      </c>
      <c r="AE4" s="246">
        <f>'P&amp;L consol'!AM5</f>
        <v>462.1</v>
      </c>
      <c r="AF4" s="246">
        <f>'P&amp;L consol'!AN5</f>
        <v>480.9</v>
      </c>
      <c r="AG4" s="246">
        <f>'P&amp;L consol'!AO5</f>
        <v>489.1</v>
      </c>
      <c r="AH4" s="246"/>
      <c r="AI4" s="246"/>
      <c r="AJ4" s="246"/>
      <c r="AK4" s="7">
        <f>'P&amp;L consol'!BE5</f>
        <v>455</v>
      </c>
      <c r="AL4" s="7">
        <f>'P&amp;L consol'!BF5</f>
        <v>527</v>
      </c>
      <c r="AM4" s="473">
        <f>'P&amp;L consol'!BG5</f>
        <v>592.16981132075477</v>
      </c>
      <c r="AN4" s="7">
        <f>'P&amp;L consol'!BH5</f>
        <v>627.70000000000005</v>
      </c>
      <c r="AO4" s="369">
        <f>'P&amp;L consol'!BI5</f>
        <v>866.5</v>
      </c>
      <c r="AP4" s="369">
        <f>'P&amp;L consol'!BJ5</f>
        <v>1001.6999999999999</v>
      </c>
      <c r="AQ4" s="369">
        <f>'P&amp;L consol'!BK5</f>
        <v>1099.3</v>
      </c>
      <c r="AR4" s="369">
        <f>'P&amp;L consol'!BL5</f>
        <v>1448</v>
      </c>
      <c r="AS4" s="369">
        <f>'P&amp;L consol'!BM5</f>
        <v>2470</v>
      </c>
      <c r="AT4" s="7">
        <v>2000</v>
      </c>
      <c r="AU4" s="369">
        <f>(AT4/AS4)^(1/4)-1</f>
        <v>-5.1399693584439632E-2</v>
      </c>
      <c r="AV4" s="369"/>
      <c r="AW4" s="369"/>
      <c r="AX4" s="369"/>
    </row>
    <row r="5" spans="1:52">
      <c r="A5" s="247" t="s">
        <v>598</v>
      </c>
      <c r="B5" s="248">
        <v>-2.0938991557155617</v>
      </c>
      <c r="C5" s="248">
        <f t="shared" ref="C5:AG5" si="4">(C4/B4-1)*100</f>
        <v>4.3485107299357395</v>
      </c>
      <c r="D5" s="248">
        <f t="shared" si="4"/>
        <v>4.3284650544342274</v>
      </c>
      <c r="E5" s="248">
        <f t="shared" si="4"/>
        <v>4.2181733896954565</v>
      </c>
      <c r="F5" s="248">
        <f t="shared" si="4"/>
        <v>4.1558075762334612</v>
      </c>
      <c r="G5" s="248">
        <f t="shared" si="4"/>
        <v>4.9030087446246151</v>
      </c>
      <c r="H5" s="248">
        <f t="shared" si="4"/>
        <v>2.9091326741367496</v>
      </c>
      <c r="I5" s="248">
        <f t="shared" si="4"/>
        <v>2.3494288417953646</v>
      </c>
      <c r="J5" s="248">
        <f t="shared" si="4"/>
        <v>-9.6255837014333387</v>
      </c>
      <c r="K5" s="248">
        <f t="shared" si="4"/>
        <v>10.721944245889926</v>
      </c>
      <c r="L5" s="248">
        <f t="shared" si="4"/>
        <v>3.808908973531322</v>
      </c>
      <c r="M5" s="332">
        <v>7.1</v>
      </c>
      <c r="N5" s="248">
        <f t="shared" si="4"/>
        <v>16.037187681580466</v>
      </c>
      <c r="O5" s="248">
        <f t="shared" si="4"/>
        <v>6.5598397596394742</v>
      </c>
      <c r="P5" s="332">
        <v>4.2</v>
      </c>
      <c r="Q5" s="248">
        <f t="shared" si="4"/>
        <v>4.8736462093862842</v>
      </c>
      <c r="R5" s="248">
        <f t="shared" si="4"/>
        <v>2.7108433734939652</v>
      </c>
      <c r="S5" s="248">
        <f t="shared" si="4"/>
        <v>3.4352744030163418</v>
      </c>
      <c r="T5" s="248">
        <f t="shared" si="4"/>
        <v>1.9441069258809174</v>
      </c>
      <c r="U5" s="248">
        <f t="shared" si="4"/>
        <v>5.0456893126738178</v>
      </c>
      <c r="V5" s="248">
        <f t="shared" si="4"/>
        <v>2.7987897125567374</v>
      </c>
      <c r="W5" s="248">
        <f t="shared" si="4"/>
        <v>2.3178807947019875</v>
      </c>
      <c r="X5" s="248">
        <f t="shared" si="4"/>
        <v>1.4023732470334282</v>
      </c>
      <c r="Y5" s="248">
        <f t="shared" si="4"/>
        <v>-0.39007092198581894</v>
      </c>
      <c r="Z5" s="248">
        <f t="shared" si="4"/>
        <v>1.9579921680313195</v>
      </c>
      <c r="AA5" s="607">
        <f t="shared" si="4"/>
        <v>27.47905027932962</v>
      </c>
      <c r="AB5" s="607">
        <f t="shared" si="4"/>
        <v>6.9569980827170586</v>
      </c>
      <c r="AC5" s="607">
        <f t="shared" si="4"/>
        <v>3.3290653008962945</v>
      </c>
      <c r="AD5" s="607">
        <f t="shared" si="4"/>
        <v>9.6406443618339388</v>
      </c>
      <c r="AE5" s="607">
        <f t="shared" si="4"/>
        <v>4.4529837251356286</v>
      </c>
      <c r="AF5" s="607">
        <f t="shared" si="4"/>
        <v>4.0683834667820662</v>
      </c>
      <c r="AG5" s="607">
        <f t="shared" si="4"/>
        <v>1.7051362029528061</v>
      </c>
      <c r="AH5" s="607"/>
      <c r="AI5" s="607"/>
      <c r="AJ5" s="607"/>
      <c r="AK5" s="248"/>
      <c r="AL5" s="248">
        <f t="shared" ref="AL5" si="5">(AL4/AK4-1)*100</f>
        <v>15.824175824175835</v>
      </c>
      <c r="AM5" s="248">
        <f t="shared" ref="AM5:AS5" si="6">(AM4/AL4-1)*100</f>
        <v>12.366188106405085</v>
      </c>
      <c r="AN5" s="248">
        <f t="shared" si="6"/>
        <v>6.0000000000000053</v>
      </c>
      <c r="AO5" s="248">
        <f t="shared" si="6"/>
        <v>38.043651425840366</v>
      </c>
      <c r="AP5" s="248">
        <f t="shared" si="6"/>
        <v>15.603000577034031</v>
      </c>
      <c r="AQ5" s="248">
        <f t="shared" si="6"/>
        <v>9.7434361585305052</v>
      </c>
      <c r="AR5" s="248">
        <f>(AR4/AQ4-1)*100</f>
        <v>31.720185572637138</v>
      </c>
      <c r="AS5" s="248">
        <f t="shared" si="6"/>
        <v>70.580110497237555</v>
      </c>
      <c r="AT5" s="248"/>
      <c r="AU5" s="248"/>
      <c r="AV5" s="248"/>
      <c r="AW5" s="248"/>
      <c r="AX5" s="248"/>
      <c r="AZ5">
        <f>400/2600</f>
        <v>0.15384615384615385</v>
      </c>
    </row>
    <row r="6" spans="1:52">
      <c r="A6" s="247" t="s">
        <v>599</v>
      </c>
      <c r="B6" s="248">
        <v>7.7202184447033861</v>
      </c>
      <c r="C6" s="248"/>
      <c r="D6" s="248"/>
      <c r="E6" s="248"/>
      <c r="F6" s="618">
        <f t="shared" ref="F6:AG6" si="7">(F4/B4-1)*100</f>
        <v>18.172390431163009</v>
      </c>
      <c r="G6" s="248">
        <f t="shared" si="7"/>
        <v>18.800347221602575</v>
      </c>
      <c r="H6" s="248">
        <f t="shared" si="7"/>
        <v>17.184132706089205</v>
      </c>
      <c r="I6" s="248">
        <f t="shared" si="7"/>
        <v>15.08289448657003</v>
      </c>
      <c r="J6" s="618">
        <f t="shared" si="7"/>
        <v>-0.14431593206210014</v>
      </c>
      <c r="K6" s="248">
        <f t="shared" si="7"/>
        <v>5.3946461242176058</v>
      </c>
      <c r="L6" s="248">
        <f t="shared" si="7"/>
        <v>6.3161542761319245</v>
      </c>
      <c r="M6" s="248">
        <f t="shared" si="7"/>
        <v>11.175389885513386</v>
      </c>
      <c r="N6" s="618">
        <f t="shared" si="7"/>
        <v>42.744817726947801</v>
      </c>
      <c r="O6" s="248">
        <f t="shared" si="7"/>
        <v>37.378954163976765</v>
      </c>
      <c r="P6" s="248">
        <f t="shared" si="7"/>
        <v>37.810945273631823</v>
      </c>
      <c r="Q6" s="248">
        <f t="shared" si="7"/>
        <v>35.037768739105182</v>
      </c>
      <c r="R6" s="618">
        <f t="shared" si="7"/>
        <v>19.529293940911362</v>
      </c>
      <c r="S6" s="248">
        <f t="shared" si="7"/>
        <v>16.024436090225571</v>
      </c>
      <c r="T6" s="248">
        <f t="shared" si="7"/>
        <v>13.583032490974723</v>
      </c>
      <c r="U6" s="248">
        <f t="shared" si="7"/>
        <v>13.769363166953518</v>
      </c>
      <c r="V6" s="618">
        <f t="shared" si="7"/>
        <v>13.86677838290742</v>
      </c>
      <c r="W6" s="248">
        <f t="shared" si="7"/>
        <v>12.636695018226018</v>
      </c>
      <c r="X6" s="248">
        <f t="shared" si="7"/>
        <v>12.038140643623363</v>
      </c>
      <c r="Y6" s="248">
        <f t="shared" si="7"/>
        <v>6.2405446293494649</v>
      </c>
      <c r="Z6" s="618">
        <f t="shared" si="7"/>
        <v>5.371596762325237</v>
      </c>
      <c r="AA6" s="607">
        <f t="shared" si="7"/>
        <v>31.283710895361374</v>
      </c>
      <c r="AB6" s="607">
        <f t="shared" si="7"/>
        <v>38.475177304964546</v>
      </c>
      <c r="AC6" s="607">
        <f t="shared" si="7"/>
        <v>43.645425418298345</v>
      </c>
      <c r="AD6" s="607">
        <f t="shared" si="7"/>
        <v>54.469273743016757</v>
      </c>
      <c r="AE6" s="607">
        <f t="shared" si="7"/>
        <v>26.568063544234445</v>
      </c>
      <c r="AF6" s="607">
        <f t="shared" si="7"/>
        <v>23.149807938540334</v>
      </c>
      <c r="AG6" s="607">
        <f t="shared" si="7"/>
        <v>21.214374225526655</v>
      </c>
      <c r="AH6" s="607"/>
      <c r="AI6" s="607"/>
      <c r="AJ6" s="607"/>
      <c r="AK6" s="7"/>
      <c r="AL6" s="6"/>
      <c r="AM6" s="6"/>
      <c r="AN6" s="583">
        <v>6</v>
      </c>
      <c r="AO6" s="583">
        <v>37.6</v>
      </c>
      <c r="AP6" s="583">
        <v>22.4</v>
      </c>
      <c r="AQ6" s="583">
        <v>13.3</v>
      </c>
      <c r="AR6" s="583"/>
      <c r="AS6" s="583"/>
      <c r="AT6" s="583"/>
      <c r="AU6" s="583"/>
      <c r="AV6" s="583"/>
      <c r="AW6" s="583"/>
      <c r="AX6" s="583"/>
    </row>
    <row r="7" spans="1:52">
      <c r="A7" s="6" t="s">
        <v>600</v>
      </c>
      <c r="B7" s="248"/>
      <c r="C7" s="248"/>
      <c r="D7" s="248"/>
      <c r="E7" s="248"/>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c r="AJ7" s="248"/>
      <c r="AK7" s="7"/>
      <c r="AL7" s="6"/>
      <c r="AM7" s="6"/>
      <c r="AN7" s="8">
        <v>24.6</v>
      </c>
      <c r="AO7" s="8"/>
      <c r="AP7" s="8"/>
      <c r="AQ7" s="8"/>
      <c r="AR7" s="8"/>
      <c r="AS7" s="8"/>
      <c r="AT7" s="8"/>
      <c r="AU7" s="8"/>
      <c r="AV7" s="8"/>
      <c r="AW7" s="8"/>
      <c r="AX7" s="8"/>
    </row>
    <row r="8" spans="1:52">
      <c r="A8" s="6" t="s">
        <v>601</v>
      </c>
      <c r="B8" s="248"/>
      <c r="C8" s="248"/>
      <c r="D8" s="248"/>
      <c r="E8" s="248"/>
      <c r="F8" s="248"/>
      <c r="G8" s="248"/>
      <c r="H8" s="248"/>
      <c r="I8" s="248"/>
      <c r="J8" s="248"/>
      <c r="K8" s="248"/>
      <c r="L8" s="248"/>
      <c r="M8" s="248"/>
      <c r="N8" s="248"/>
      <c r="O8" s="248"/>
      <c r="P8" s="248"/>
      <c r="Q8" s="248"/>
      <c r="R8" s="248"/>
      <c r="S8" s="248"/>
      <c r="T8" s="248"/>
      <c r="U8" s="248"/>
      <c r="V8" s="248"/>
      <c r="W8" s="248"/>
      <c r="X8" s="248"/>
      <c r="Y8" s="248"/>
      <c r="Z8" s="248"/>
      <c r="AA8" s="248"/>
      <c r="AB8" s="248">
        <v>8.4</v>
      </c>
      <c r="AC8" s="248"/>
      <c r="AD8" s="248"/>
      <c r="AE8" s="248"/>
      <c r="AF8" s="248"/>
      <c r="AG8" s="248"/>
      <c r="AH8" s="248"/>
      <c r="AI8" s="248"/>
      <c r="AJ8" s="248"/>
      <c r="AK8" s="7"/>
      <c r="AL8" s="6"/>
      <c r="AM8" s="6"/>
      <c r="AN8" s="8">
        <v>18.399999999999999</v>
      </c>
      <c r="AO8" s="6"/>
      <c r="AP8" s="6"/>
      <c r="AQ8" s="6"/>
      <c r="AR8" s="6"/>
      <c r="AS8" s="6"/>
      <c r="AT8" s="8"/>
      <c r="AU8" s="6"/>
      <c r="AV8" s="6"/>
      <c r="AW8" s="6"/>
      <c r="AX8" s="6"/>
    </row>
    <row r="9" spans="1:52">
      <c r="A9" s="6"/>
      <c r="B9" s="248"/>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7"/>
      <c r="AL9" s="6"/>
      <c r="AM9" s="6"/>
      <c r="AN9" s="8"/>
      <c r="AO9" s="6"/>
      <c r="AP9" s="6"/>
      <c r="AQ9" s="6"/>
      <c r="AR9" s="6"/>
      <c r="AS9" s="6"/>
      <c r="AT9" s="8"/>
      <c r="AU9" s="6"/>
      <c r="AV9" s="6"/>
      <c r="AW9" s="6"/>
      <c r="AX9" s="6"/>
    </row>
    <row r="10" spans="1:52">
      <c r="A10" s="6" t="s">
        <v>602</v>
      </c>
      <c r="B10" s="248"/>
      <c r="C10" s="248"/>
      <c r="D10" s="248"/>
      <c r="E10" s="248"/>
      <c r="F10" s="248"/>
      <c r="G10" s="248"/>
      <c r="H10" s="248"/>
      <c r="I10" s="248"/>
      <c r="J10" s="248"/>
      <c r="K10" s="248"/>
      <c r="L10" s="248"/>
      <c r="M10" s="248"/>
      <c r="N10" s="248">
        <f>N4-N13</f>
        <v>14.599999999999994</v>
      </c>
      <c r="O10" s="248">
        <f>O4-O13</f>
        <v>22.200000000000017</v>
      </c>
      <c r="P10" s="248">
        <f>P4-P13</f>
        <v>22.400000000000006</v>
      </c>
      <c r="Q10" s="248"/>
      <c r="R10" s="248"/>
      <c r="S10" s="248"/>
      <c r="T10" s="248"/>
      <c r="U10" s="248"/>
      <c r="V10" s="248"/>
      <c r="W10" s="248"/>
      <c r="X10" s="248"/>
      <c r="Y10" s="248"/>
      <c r="Z10" s="248"/>
      <c r="AA10" s="248"/>
      <c r="AB10" s="248"/>
      <c r="AC10" s="248"/>
      <c r="AD10" s="248"/>
      <c r="AE10" s="248"/>
      <c r="AF10" s="248"/>
      <c r="AG10" s="248"/>
      <c r="AH10" s="248"/>
      <c r="AI10" s="248"/>
      <c r="AJ10" s="248"/>
      <c r="AK10" s="7"/>
      <c r="AL10" s="6"/>
      <c r="AM10" s="6"/>
      <c r="AN10" s="6"/>
      <c r="AO10" s="6"/>
      <c r="AP10" s="6"/>
      <c r="AQ10" s="6"/>
      <c r="AR10" s="6"/>
      <c r="AS10" s="6"/>
      <c r="AT10" s="6"/>
      <c r="AU10" s="6"/>
      <c r="AV10" s="6"/>
      <c r="AW10" s="6"/>
      <c r="AX10" s="6"/>
    </row>
    <row r="11" spans="1:52">
      <c r="A11" s="247"/>
      <c r="B11" s="248"/>
      <c r="C11" s="248"/>
      <c r="D11" s="248"/>
      <c r="E11" s="248"/>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7"/>
      <c r="AL11" s="6"/>
      <c r="AM11" s="6"/>
      <c r="AN11" s="6"/>
      <c r="AO11" s="6"/>
      <c r="AP11" s="6"/>
      <c r="AQ11" s="6"/>
      <c r="AR11" s="6"/>
      <c r="AS11" s="6"/>
      <c r="AT11" s="6"/>
      <c r="AU11" s="6"/>
      <c r="AV11" s="6"/>
      <c r="AW11" s="6"/>
      <c r="AX11" s="6"/>
    </row>
    <row r="12" spans="1:52">
      <c r="A12" s="247"/>
      <c r="B12" s="248"/>
      <c r="C12" s="248"/>
      <c r="D12" s="248"/>
      <c r="E12" s="248"/>
      <c r="F12" s="248"/>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7"/>
      <c r="AL12" s="6"/>
      <c r="AM12" s="6"/>
      <c r="AN12" s="6"/>
      <c r="AO12" s="6"/>
      <c r="AP12" s="6"/>
      <c r="AQ12" s="6"/>
      <c r="AR12" s="6"/>
      <c r="AS12" s="6"/>
      <c r="AT12" s="6"/>
      <c r="AU12" s="6"/>
      <c r="AV12" s="6"/>
      <c r="AW12" s="6"/>
      <c r="AX12" s="6"/>
    </row>
    <row r="13" spans="1:52">
      <c r="A13" s="6" t="s">
        <v>603</v>
      </c>
      <c r="B13" s="248"/>
      <c r="C13" s="248"/>
      <c r="D13" s="248"/>
      <c r="E13" s="248"/>
      <c r="F13" s="248"/>
      <c r="G13" s="248"/>
      <c r="H13" s="248"/>
      <c r="I13" s="248"/>
      <c r="J13" s="248"/>
      <c r="K13" s="248"/>
      <c r="L13" s="248"/>
      <c r="M13" s="248"/>
      <c r="N13" s="8">
        <v>185.1</v>
      </c>
      <c r="O13" s="8">
        <v>190.6</v>
      </c>
      <c r="P13" s="8">
        <v>199.2</v>
      </c>
      <c r="Q13" s="8"/>
      <c r="R13" s="8"/>
      <c r="S13" s="8"/>
      <c r="T13" s="8"/>
      <c r="U13" s="8"/>
      <c r="V13" s="8"/>
      <c r="W13" s="8"/>
      <c r="X13" s="8"/>
      <c r="Y13" s="8"/>
      <c r="Z13" s="8"/>
      <c r="AA13" s="8"/>
      <c r="AB13" s="245">
        <f>'Operating Metrics (organic)'!AM4*(1+AB14%)</f>
        <v>339.14000000000004</v>
      </c>
      <c r="AC13" s="245"/>
      <c r="AD13" s="245"/>
      <c r="AE13" s="245"/>
      <c r="AF13" s="245"/>
      <c r="AG13" s="245"/>
      <c r="AH13" s="245"/>
      <c r="AI13" s="245"/>
      <c r="AJ13" s="245"/>
      <c r="AK13" s="7"/>
      <c r="AL13" s="6"/>
      <c r="AM13" s="6"/>
      <c r="AN13" s="6"/>
      <c r="AO13" s="230">
        <f>AN4*1.24</f>
        <v>778.34800000000007</v>
      </c>
      <c r="AP13" s="230"/>
      <c r="AQ13" s="230"/>
      <c r="AR13" s="230"/>
      <c r="AS13" s="230"/>
      <c r="AT13" s="6"/>
      <c r="AU13" s="230"/>
      <c r="AV13" s="230"/>
      <c r="AW13" s="230"/>
      <c r="AX13" s="230"/>
    </row>
    <row r="14" spans="1:52">
      <c r="A14" s="247" t="s">
        <v>598</v>
      </c>
      <c r="B14" s="248"/>
      <c r="C14" s="248"/>
      <c r="D14" s="248"/>
      <c r="E14" s="248"/>
      <c r="F14" s="248"/>
      <c r="G14" s="248"/>
      <c r="H14" s="248"/>
      <c r="I14" s="8"/>
      <c r="J14" s="248"/>
      <c r="K14" s="248"/>
      <c r="L14" s="248"/>
      <c r="M14" s="248"/>
      <c r="N14" s="248">
        <v>7.6</v>
      </c>
      <c r="O14" s="248">
        <v>2.9</v>
      </c>
      <c r="P14" s="332">
        <v>4.5</v>
      </c>
      <c r="Q14" s="332"/>
      <c r="R14" s="332"/>
      <c r="S14" s="332"/>
      <c r="T14" s="332"/>
      <c r="U14" s="332"/>
      <c r="V14" s="332"/>
      <c r="W14" s="332"/>
      <c r="X14" s="332"/>
      <c r="Y14" s="332"/>
      <c r="Z14" s="332"/>
      <c r="AA14" s="332"/>
      <c r="AB14" s="332">
        <v>9.4</v>
      </c>
      <c r="AC14" s="332"/>
      <c r="AD14" s="332"/>
      <c r="AE14" s="332"/>
      <c r="AF14" s="332"/>
      <c r="AG14" s="332"/>
      <c r="AH14" s="332"/>
      <c r="AI14" s="332"/>
      <c r="AJ14" s="332"/>
      <c r="AK14" s="7"/>
      <c r="AL14" s="6"/>
      <c r="AM14" s="6"/>
      <c r="AN14" s="6"/>
      <c r="AO14" s="6"/>
      <c r="AP14" s="6"/>
      <c r="AQ14" s="6"/>
      <c r="AR14" s="6"/>
      <c r="AS14" s="6"/>
      <c r="AT14" s="6"/>
      <c r="AU14" s="6"/>
      <c r="AV14" s="6"/>
      <c r="AW14" s="6"/>
      <c r="AX14" s="6"/>
    </row>
    <row r="15" spans="1:52">
      <c r="A15" s="247" t="s">
        <v>604</v>
      </c>
      <c r="B15" s="248"/>
      <c r="C15" s="248"/>
      <c r="D15" s="248"/>
      <c r="E15" s="248"/>
      <c r="F15" s="248"/>
      <c r="G15" s="248"/>
      <c r="H15" s="248"/>
      <c r="I15" s="248"/>
      <c r="J15" s="248"/>
      <c r="K15" s="248"/>
      <c r="L15" s="248"/>
      <c r="M15" s="248"/>
      <c r="N15" s="248">
        <v>32.299999999999997</v>
      </c>
      <c r="O15" s="248">
        <v>23</v>
      </c>
      <c r="P15" s="248">
        <v>23.9</v>
      </c>
      <c r="Q15" s="248"/>
      <c r="R15" s="248"/>
      <c r="S15" s="248"/>
      <c r="T15" s="248"/>
      <c r="U15" s="248"/>
      <c r="V15" s="248"/>
      <c r="W15" s="248"/>
      <c r="X15" s="248"/>
      <c r="Y15" s="248"/>
      <c r="Z15" s="248"/>
      <c r="AA15" s="248"/>
      <c r="AB15" s="248"/>
      <c r="AC15" s="248"/>
      <c r="AD15" s="248"/>
      <c r="AE15" s="248"/>
      <c r="AF15" s="248"/>
      <c r="AG15" s="248"/>
      <c r="AH15" s="248"/>
      <c r="AI15" s="248"/>
      <c r="AJ15" s="248"/>
      <c r="AK15" s="7"/>
      <c r="AL15" s="6"/>
      <c r="AM15" s="6"/>
      <c r="AN15" s="6"/>
      <c r="AO15" s="6"/>
      <c r="AP15" s="6"/>
      <c r="AQ15" s="6"/>
      <c r="AR15" s="6"/>
      <c r="AS15" s="6"/>
      <c r="AT15" s="6"/>
      <c r="AU15" s="6"/>
      <c r="AV15" s="6"/>
      <c r="AW15" s="6"/>
      <c r="AX15" s="6"/>
    </row>
    <row r="16" spans="1:52">
      <c r="A16" s="247"/>
      <c r="B16" s="248"/>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7"/>
      <c r="AL16" s="6"/>
      <c r="AM16" s="6"/>
      <c r="AN16" s="6"/>
      <c r="AO16" s="533">
        <f>AO4-AO13</f>
        <v>88.15199999999993</v>
      </c>
      <c r="AP16" s="533">
        <f>AO16*0.4</f>
        <v>35.260799999999975</v>
      </c>
      <c r="AQ16" s="533"/>
      <c r="AR16" s="533"/>
      <c r="AS16" s="533"/>
      <c r="AT16" s="6"/>
      <c r="AU16" s="533"/>
      <c r="AV16" s="533"/>
      <c r="AW16" s="533"/>
      <c r="AX16" s="533"/>
    </row>
    <row r="17" spans="1:50">
      <c r="A17" s="6" t="s">
        <v>605</v>
      </c>
      <c r="B17" s="245"/>
      <c r="C17" s="245"/>
      <c r="D17" s="245"/>
      <c r="E17" s="245"/>
      <c r="F17" s="245"/>
      <c r="G17" s="245"/>
      <c r="H17" s="245"/>
      <c r="I17" s="245"/>
      <c r="J17" s="245"/>
      <c r="K17" s="245"/>
      <c r="L17" s="245"/>
      <c r="M17" s="245"/>
      <c r="N17" s="245"/>
      <c r="O17" s="245"/>
      <c r="P17" s="245"/>
      <c r="Q17" s="245"/>
      <c r="R17" s="245">
        <f>Q4*1.047</f>
        <v>243.3228</v>
      </c>
      <c r="S17" s="245">
        <f>R17*(1+S18%)</f>
        <v>258.40881360000003</v>
      </c>
      <c r="T17" s="245">
        <f t="shared" ref="T17:Y17" si="8">S17*(1+T18%)</f>
        <v>267.9699397032</v>
      </c>
      <c r="U17" s="245">
        <f t="shared" si="8"/>
        <v>280.56452686925036</v>
      </c>
      <c r="V17" s="245">
        <f>U17*(1+V18%)</f>
        <v>288.13976909472007</v>
      </c>
      <c r="W17" s="245">
        <f t="shared" si="8"/>
        <v>294.76698378389858</v>
      </c>
      <c r="X17" s="245">
        <f t="shared" si="8"/>
        <v>300.07278949200878</v>
      </c>
      <c r="Y17" s="245">
        <f t="shared" si="8"/>
        <v>305.77417249235691</v>
      </c>
      <c r="Z17" s="245">
        <f t="shared" ref="Z17:AF17" si="9">Y17*(1+Z18%)</f>
        <v>310.66655925223461</v>
      </c>
      <c r="AA17" s="245">
        <f t="shared" si="9"/>
        <v>392.3718643355723</v>
      </c>
      <c r="AB17" s="245">
        <f t="shared" si="9"/>
        <v>425.3311009397604</v>
      </c>
      <c r="AC17" s="245">
        <f t="shared" si="9"/>
        <v>439.79235837171228</v>
      </c>
      <c r="AD17" s="245">
        <f t="shared" si="9"/>
        <v>474.97574704144932</v>
      </c>
      <c r="AE17" s="245">
        <f t="shared" si="9"/>
        <v>502.99931611689482</v>
      </c>
      <c r="AF17" s="245">
        <f t="shared" si="9"/>
        <v>525.1312860260382</v>
      </c>
      <c r="AG17" s="245">
        <f>AF17*(1+AG18%)</f>
        <v>535.63391174655897</v>
      </c>
      <c r="AH17" s="245"/>
      <c r="AI17" s="245"/>
      <c r="AJ17" s="245"/>
      <c r="AK17" s="6"/>
      <c r="AL17" s="6"/>
      <c r="AP17">
        <f>AP16/AP4</f>
        <v>3.5200958370769669E-2</v>
      </c>
    </row>
    <row r="18" spans="1:50">
      <c r="A18" s="247" t="s">
        <v>598</v>
      </c>
      <c r="B18" s="245"/>
      <c r="C18" s="8"/>
      <c r="D18" s="8"/>
      <c r="E18" s="8">
        <v>1.3</v>
      </c>
      <c r="F18" s="508">
        <v>4</v>
      </c>
      <c r="G18" s="8">
        <v>4.0999999999999996</v>
      </c>
      <c r="H18" s="8">
        <v>2</v>
      </c>
      <c r="I18" s="8">
        <v>3</v>
      </c>
      <c r="J18" s="508">
        <v>-6.8</v>
      </c>
      <c r="K18" s="8">
        <v>8.1</v>
      </c>
      <c r="L18" s="8">
        <v>3.3</v>
      </c>
      <c r="M18" s="8">
        <v>5.0999999999999996</v>
      </c>
      <c r="N18" s="508">
        <v>7</v>
      </c>
      <c r="O18" s="8">
        <v>3.9</v>
      </c>
      <c r="P18" s="8">
        <v>5.7</v>
      </c>
      <c r="Q18" s="8">
        <v>5</v>
      </c>
      <c r="R18" s="508">
        <v>4.7</v>
      </c>
      <c r="S18" s="8">
        <v>6.2</v>
      </c>
      <c r="T18" s="8">
        <v>3.7</v>
      </c>
      <c r="U18" s="8">
        <v>4.7</v>
      </c>
      <c r="V18" s="508">
        <v>2.7</v>
      </c>
      <c r="W18" s="8">
        <v>2.2999999999999998</v>
      </c>
      <c r="X18" s="8">
        <v>1.8</v>
      </c>
      <c r="Y18" s="8">
        <v>1.9</v>
      </c>
      <c r="Z18" s="508">
        <v>1.6</v>
      </c>
      <c r="AA18" s="602">
        <v>26.3</v>
      </c>
      <c r="AB18" s="602">
        <v>8.4</v>
      </c>
      <c r="AC18" s="508">
        <v>3.4</v>
      </c>
      <c r="AD18" s="508">
        <v>8</v>
      </c>
      <c r="AE18" s="508">
        <v>5.9</v>
      </c>
      <c r="AF18" s="508">
        <v>4.4000000000000004</v>
      </c>
      <c r="AG18" s="508">
        <v>2</v>
      </c>
      <c r="AH18" s="508"/>
      <c r="AI18" s="508"/>
      <c r="AJ18" s="508"/>
      <c r="AK18" s="8">
        <v>9.6999999999999993</v>
      </c>
      <c r="AL18" s="8">
        <v>17.5</v>
      </c>
      <c r="AM18" s="8"/>
      <c r="AN18" s="8">
        <v>6</v>
      </c>
      <c r="AO18" s="8"/>
      <c r="AP18" s="8"/>
      <c r="AQ18" s="8"/>
      <c r="AR18" s="8"/>
      <c r="AS18" s="8"/>
      <c r="AT18" s="8"/>
      <c r="AU18" s="8"/>
      <c r="AV18" s="8"/>
      <c r="AW18" s="8"/>
      <c r="AX18" s="8"/>
    </row>
    <row r="19" spans="1:50">
      <c r="A19" s="247" t="s">
        <v>604</v>
      </c>
      <c r="B19" s="249"/>
      <c r="C19" s="8"/>
      <c r="D19" s="8"/>
      <c r="E19" s="8"/>
      <c r="F19" s="8"/>
      <c r="G19" s="8"/>
      <c r="H19" s="8"/>
      <c r="I19" s="8"/>
      <c r="J19" s="8"/>
      <c r="K19" s="8"/>
      <c r="L19" s="8"/>
      <c r="M19" s="8"/>
      <c r="N19" s="8"/>
      <c r="O19" s="8"/>
      <c r="P19" s="8"/>
      <c r="Q19" s="8"/>
      <c r="R19" s="8"/>
      <c r="S19" s="8">
        <v>22</v>
      </c>
      <c r="T19" s="8">
        <v>20.7</v>
      </c>
      <c r="U19" s="8"/>
      <c r="V19" s="8">
        <v>18.399999999999999</v>
      </c>
      <c r="W19" s="8">
        <v>14.1</v>
      </c>
      <c r="X19" s="8">
        <v>12</v>
      </c>
      <c r="Y19" s="8">
        <v>9</v>
      </c>
      <c r="Z19" s="8">
        <v>7.8</v>
      </c>
      <c r="AA19" s="8">
        <v>33</v>
      </c>
      <c r="AB19" s="8">
        <v>40.299999999999997</v>
      </c>
      <c r="AC19" s="8">
        <v>43.8</v>
      </c>
      <c r="AD19" s="8">
        <v>51.5</v>
      </c>
      <c r="AE19" s="8">
        <v>25.7</v>
      </c>
      <c r="AF19" s="8">
        <v>21.5</v>
      </c>
      <c r="AG19" s="8">
        <v>28.7</v>
      </c>
      <c r="AH19" s="8"/>
      <c r="AI19" s="8"/>
      <c r="AJ19" s="8"/>
      <c r="AK19" s="6"/>
      <c r="AL19" s="6"/>
      <c r="AO19" s="504">
        <v>24</v>
      </c>
      <c r="AP19" s="504">
        <v>22.4</v>
      </c>
      <c r="AQ19" s="504">
        <v>13.3</v>
      </c>
      <c r="AR19" s="504">
        <v>32</v>
      </c>
      <c r="AS19" s="504"/>
      <c r="AU19" s="504"/>
      <c r="AV19" s="504"/>
      <c r="AW19" s="504"/>
      <c r="AX19" s="504"/>
    </row>
    <row r="20" spans="1:50">
      <c r="A20" s="250"/>
      <c r="B20" s="245"/>
      <c r="C20" s="245"/>
      <c r="D20" s="245"/>
      <c r="E20" s="245"/>
      <c r="F20" s="245"/>
      <c r="G20" s="245"/>
      <c r="H20" s="245"/>
      <c r="I20" s="245"/>
      <c r="J20" s="245"/>
      <c r="K20" s="245"/>
      <c r="L20" s="245"/>
      <c r="M20" s="245"/>
      <c r="N20" s="245"/>
      <c r="O20" s="245"/>
      <c r="P20" s="245"/>
      <c r="Q20" s="245"/>
      <c r="R20" s="245"/>
      <c r="S20" s="245"/>
      <c r="T20" s="245"/>
      <c r="U20" s="245"/>
      <c r="V20" s="245"/>
      <c r="W20" s="246">
        <f>AVERAGE(V19:W19)</f>
        <v>16.25</v>
      </c>
      <c r="X20" s="246">
        <f>AVERAGE(W19:X19)</f>
        <v>13.05</v>
      </c>
      <c r="Y20" s="246">
        <f>AVERAGE(X19:Y19)</f>
        <v>10.5</v>
      </c>
      <c r="Z20" s="245"/>
      <c r="AA20" s="245"/>
      <c r="AB20" s="245"/>
      <c r="AC20" s="245"/>
      <c r="AD20" s="245"/>
      <c r="AE20" s="245"/>
      <c r="AF20" s="245"/>
      <c r="AG20" s="245"/>
      <c r="AH20" s="245"/>
      <c r="AI20" s="245"/>
      <c r="AJ20" s="245"/>
      <c r="AK20" s="7"/>
      <c r="AL20" s="6"/>
      <c r="AM20" s="6"/>
      <c r="AN20" s="6"/>
      <c r="AO20" s="6"/>
      <c r="AP20" s="6"/>
      <c r="AQ20" s="6"/>
      <c r="AR20" s="6"/>
      <c r="AS20" s="6"/>
      <c r="AT20" s="6"/>
      <c r="AU20" s="6"/>
      <c r="AV20" s="6"/>
      <c r="AW20" s="6"/>
      <c r="AX20" s="6"/>
    </row>
    <row r="21" spans="1:50">
      <c r="A21" s="250" t="s">
        <v>606</v>
      </c>
      <c r="B21" s="245"/>
      <c r="C21" s="245"/>
      <c r="D21" s="245"/>
      <c r="E21" s="245"/>
      <c r="F21" s="245"/>
      <c r="G21" s="245"/>
      <c r="H21" s="245"/>
      <c r="I21" s="245"/>
      <c r="J21" s="245"/>
      <c r="K21" s="245"/>
      <c r="L21" s="245"/>
      <c r="M21" s="245"/>
      <c r="N21" s="245"/>
      <c r="O21" s="245"/>
      <c r="P21" s="245"/>
      <c r="Q21" s="245"/>
      <c r="R21" s="245"/>
      <c r="S21" s="246">
        <f t="shared" ref="S21:V21" si="10">O306</f>
        <v>40.695296523517378</v>
      </c>
      <c r="T21" s="246">
        <f t="shared" si="10"/>
        <v>39.920159680638712</v>
      </c>
      <c r="U21" s="246">
        <f t="shared" si="10"/>
        <v>38.46153846153846</v>
      </c>
      <c r="V21" s="246">
        <f t="shared" si="10"/>
        <v>15.503875968992254</v>
      </c>
      <c r="W21" s="246">
        <f>S306</f>
        <v>16.569767441860471</v>
      </c>
      <c r="X21" s="246">
        <f>T306</f>
        <v>19.971469329529246</v>
      </c>
      <c r="Y21" s="246">
        <f>U306</f>
        <v>20.694444444444436</v>
      </c>
      <c r="Z21" s="246">
        <f t="shared" ref="Z21" si="11">V306</f>
        <v>20.402684563758399</v>
      </c>
      <c r="AA21" s="246">
        <f t="shared" ref="AA21:AG21" si="12">W306</f>
        <v>16.583541147132163</v>
      </c>
      <c r="AB21" s="246">
        <f t="shared" si="12"/>
        <v>15.814506539833539</v>
      </c>
      <c r="AC21" s="246">
        <f t="shared" si="12"/>
        <v>17.261219792865369</v>
      </c>
      <c r="AD21" s="246">
        <f t="shared" si="12"/>
        <v>19.28651059085842</v>
      </c>
      <c r="AE21" s="246">
        <f t="shared" si="12"/>
        <v>39.572192513368989</v>
      </c>
      <c r="AF21" s="246">
        <f t="shared" si="12"/>
        <v>40.143737166324442</v>
      </c>
      <c r="AG21" s="246">
        <f t="shared" si="12"/>
        <v>47.693817468105991</v>
      </c>
      <c r="AH21" s="246"/>
      <c r="AI21" s="246"/>
      <c r="AJ21" s="246"/>
      <c r="AK21" s="7"/>
      <c r="AL21" s="6"/>
      <c r="AM21" s="6"/>
      <c r="AN21" s="6"/>
      <c r="AO21" s="6"/>
      <c r="AP21" s="6"/>
      <c r="AQ21" s="6"/>
      <c r="AR21" s="6"/>
      <c r="AS21" s="6"/>
      <c r="AT21" s="6"/>
      <c r="AU21" s="6"/>
      <c r="AV21" s="6"/>
      <c r="AW21" s="6"/>
      <c r="AX21" s="6"/>
    </row>
    <row r="22" spans="1:50">
      <c r="A22" s="251" t="s">
        <v>607</v>
      </c>
      <c r="B22" s="252"/>
      <c r="C22" s="252"/>
      <c r="D22" s="252"/>
      <c r="E22" s="252"/>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73"/>
      <c r="AL22" s="273"/>
      <c r="AM22" s="273"/>
      <c r="AN22" s="273"/>
      <c r="AO22" s="273"/>
      <c r="AP22" s="273"/>
      <c r="AQ22" s="273"/>
      <c r="AR22" s="273"/>
      <c r="AS22" s="273"/>
      <c r="AT22" s="273"/>
      <c r="AU22" s="273"/>
      <c r="AV22" s="273"/>
      <c r="AW22" s="273"/>
      <c r="AX22" s="273"/>
    </row>
    <row r="23" spans="1:50">
      <c r="A23" s="250" t="s">
        <v>608</v>
      </c>
      <c r="B23" s="245"/>
      <c r="C23" s="245"/>
      <c r="D23" s="245"/>
      <c r="E23" s="245"/>
      <c r="F23" s="245"/>
      <c r="G23" s="245"/>
      <c r="H23" s="245"/>
      <c r="I23" s="245"/>
      <c r="J23" s="245"/>
      <c r="K23" s="245"/>
      <c r="L23" s="245"/>
      <c r="M23" s="245"/>
      <c r="N23" s="245"/>
      <c r="O23" s="245"/>
      <c r="P23" s="245"/>
      <c r="Q23" s="245"/>
      <c r="R23" s="245"/>
      <c r="S23" s="245"/>
      <c r="T23" s="245"/>
      <c r="U23" s="245"/>
      <c r="V23" s="245"/>
      <c r="W23" s="245"/>
      <c r="X23" s="245"/>
      <c r="Y23" s="245"/>
      <c r="Z23" s="245"/>
      <c r="AA23" s="245"/>
      <c r="AB23" s="245"/>
      <c r="AC23" s="245"/>
      <c r="AD23" s="245"/>
      <c r="AE23" s="245"/>
      <c r="AF23" s="245"/>
      <c r="AG23" s="245"/>
      <c r="AH23" s="245"/>
      <c r="AI23" s="245"/>
      <c r="AJ23" s="245"/>
      <c r="AK23" s="498">
        <v>0.24</v>
      </c>
      <c r="AL23" s="498">
        <v>0.28999999999999998</v>
      </c>
      <c r="AM23" s="498">
        <v>0.37</v>
      </c>
      <c r="AN23" s="498">
        <f>52.1%</f>
        <v>0.52100000000000002</v>
      </c>
      <c r="AO23" s="498">
        <v>0.71299999999999997</v>
      </c>
      <c r="AP23" s="498"/>
      <c r="AQ23" s="498"/>
      <c r="AR23" s="498"/>
      <c r="AS23" s="498"/>
      <c r="AT23" s="498"/>
      <c r="AU23" s="498"/>
      <c r="AV23" s="498"/>
      <c r="AW23" s="498"/>
      <c r="AX23" s="498"/>
    </row>
    <row r="24" spans="1:50">
      <c r="A24" s="250" t="s">
        <v>368</v>
      </c>
      <c r="B24" s="245"/>
      <c r="C24" s="245"/>
      <c r="D24" s="245"/>
      <c r="E24" s="245"/>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498">
        <v>0.27</v>
      </c>
      <c r="AL24" s="498">
        <v>0.43</v>
      </c>
      <c r="AM24" s="498">
        <v>0.47</v>
      </c>
      <c r="AN24" s="498"/>
      <c r="AO24" s="498">
        <v>0.245</v>
      </c>
      <c r="AP24" s="498"/>
      <c r="AQ24" s="498"/>
      <c r="AR24" s="498"/>
      <c r="AS24" s="498"/>
      <c r="AT24" s="498"/>
      <c r="AU24" s="498"/>
      <c r="AV24" s="498"/>
      <c r="AW24" s="498"/>
      <c r="AX24" s="498"/>
    </row>
    <row r="25" spans="1:50">
      <c r="A25" s="250" t="s">
        <v>609</v>
      </c>
      <c r="B25" s="245"/>
      <c r="C25" s="245"/>
      <c r="D25" s="245"/>
      <c r="E25" s="245"/>
      <c r="F25" s="245"/>
      <c r="G25" s="245"/>
      <c r="H25" s="245"/>
      <c r="I25" s="245"/>
      <c r="J25" s="245"/>
      <c r="K25" s="245"/>
      <c r="L25" s="245"/>
      <c r="M25" s="245"/>
      <c r="N25" s="245"/>
      <c r="O25" s="245"/>
      <c r="P25" s="245"/>
      <c r="Q25" s="245"/>
      <c r="R25" s="245"/>
      <c r="S25" s="245"/>
      <c r="T25" s="245"/>
      <c r="U25" s="245"/>
      <c r="V25" s="245"/>
      <c r="W25" s="245"/>
      <c r="X25" s="245"/>
      <c r="Y25" s="245"/>
      <c r="Z25" s="245"/>
      <c r="AA25" s="245"/>
      <c r="AB25" s="245"/>
      <c r="AC25" s="245"/>
      <c r="AD25" s="245"/>
      <c r="AE25" s="245"/>
      <c r="AF25" s="245"/>
      <c r="AG25" s="245"/>
      <c r="AH25" s="245"/>
      <c r="AI25" s="245"/>
      <c r="AJ25" s="245"/>
      <c r="AK25" s="498"/>
      <c r="AL25" s="6"/>
      <c r="AM25" s="498">
        <v>0.06</v>
      </c>
      <c r="AN25" s="498"/>
      <c r="AO25" s="6"/>
      <c r="AP25" s="6"/>
      <c r="AQ25" s="6"/>
      <c r="AR25" s="6"/>
      <c r="AS25" s="6"/>
      <c r="AT25" s="498"/>
      <c r="AU25" s="6"/>
      <c r="AV25" s="6"/>
      <c r="AW25" s="6"/>
      <c r="AX25" s="6"/>
    </row>
    <row r="26" spans="1:50">
      <c r="A26" s="250"/>
      <c r="B26" s="245"/>
      <c r="C26" s="245"/>
      <c r="D26" s="24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7"/>
      <c r="AL26" s="6"/>
      <c r="AM26" s="6"/>
      <c r="AN26" s="6"/>
      <c r="AO26" s="6"/>
      <c r="AP26" s="6"/>
      <c r="AQ26" s="6"/>
      <c r="AR26" s="6"/>
      <c r="AS26" s="6"/>
      <c r="AT26" s="6"/>
      <c r="AU26" s="6"/>
      <c r="AV26" s="6"/>
      <c r="AW26" s="6"/>
      <c r="AX26" s="6"/>
    </row>
    <row r="27" spans="1:50">
      <c r="A27" s="250"/>
      <c r="B27" s="245"/>
      <c r="C27" s="245"/>
      <c r="D27" s="245"/>
      <c r="E27" s="245"/>
      <c r="F27" s="245"/>
      <c r="G27" s="245"/>
      <c r="H27" s="245"/>
      <c r="I27" s="245"/>
      <c r="J27" s="245"/>
      <c r="K27" s="245"/>
      <c r="L27" s="245"/>
      <c r="M27" s="245"/>
      <c r="N27" s="245"/>
      <c r="O27" s="245"/>
      <c r="P27" s="245"/>
      <c r="Q27" s="245"/>
      <c r="R27" s="245"/>
      <c r="S27" s="245"/>
      <c r="T27" s="245"/>
      <c r="U27" s="245"/>
      <c r="V27" s="245"/>
      <c r="W27" s="245"/>
      <c r="X27" s="245"/>
      <c r="Y27" s="245"/>
      <c r="Z27" s="245"/>
      <c r="AA27" s="245"/>
      <c r="AB27" s="245"/>
      <c r="AC27" s="245"/>
      <c r="AD27" s="245"/>
      <c r="AE27" s="245"/>
      <c r="AF27" s="245"/>
      <c r="AG27" s="245"/>
      <c r="AH27" s="245"/>
      <c r="AI27" s="245"/>
      <c r="AJ27" s="245"/>
      <c r="AK27" s="7"/>
      <c r="AL27" s="6"/>
      <c r="AM27" s="6"/>
      <c r="AN27" s="6"/>
      <c r="AO27" s="6"/>
      <c r="AP27" s="6"/>
      <c r="AQ27" s="6"/>
      <c r="AR27" s="6"/>
      <c r="AS27" s="6"/>
      <c r="AT27" s="6"/>
      <c r="AU27" s="6"/>
      <c r="AV27" s="6"/>
      <c r="AW27" s="6"/>
      <c r="AX27" s="6"/>
    </row>
    <row r="28" spans="1:50">
      <c r="A28" s="251" t="s">
        <v>610</v>
      </c>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73"/>
      <c r="AL28" s="273"/>
      <c r="AM28" s="273"/>
      <c r="AN28" s="273"/>
      <c r="AO28" s="273"/>
      <c r="AP28" s="273"/>
      <c r="AQ28" s="273"/>
      <c r="AR28" s="273"/>
      <c r="AS28" s="273"/>
      <c r="AT28" s="273"/>
      <c r="AU28" s="273"/>
      <c r="AV28" s="273"/>
      <c r="AW28" s="273"/>
      <c r="AX28" s="273"/>
    </row>
    <row r="29" spans="1:50">
      <c r="A29" s="4" t="s">
        <v>360</v>
      </c>
      <c r="B29" s="249">
        <v>29</v>
      </c>
      <c r="C29" s="249">
        <v>29</v>
      </c>
      <c r="D29" s="249">
        <v>30</v>
      </c>
      <c r="E29" s="249">
        <v>28</v>
      </c>
      <c r="F29" s="249">
        <v>29</v>
      </c>
      <c r="G29" s="249">
        <v>31</v>
      </c>
      <c r="H29" s="249">
        <v>30</v>
      </c>
      <c r="I29" s="249">
        <v>31</v>
      </c>
      <c r="J29" s="249">
        <v>33</v>
      </c>
      <c r="K29" s="249">
        <v>34.300000000000004</v>
      </c>
      <c r="L29" s="249">
        <v>31.5</v>
      </c>
      <c r="M29" s="249">
        <v>31.2</v>
      </c>
      <c r="N29" s="249">
        <v>30.8</v>
      </c>
      <c r="O29" s="249">
        <v>29.2</v>
      </c>
      <c r="P29" s="249">
        <v>27.800000000000004</v>
      </c>
      <c r="Q29" s="249">
        <v>25.7</v>
      </c>
      <c r="R29" s="249">
        <v>23.1</v>
      </c>
      <c r="S29" s="249">
        <v>23.2</v>
      </c>
      <c r="T29" s="249">
        <v>22.1</v>
      </c>
      <c r="U29" s="249">
        <v>22.2</v>
      </c>
      <c r="V29" s="249">
        <v>22.6</v>
      </c>
      <c r="W29" s="249">
        <v>22.6</v>
      </c>
      <c r="X29" s="249">
        <v>22</v>
      </c>
      <c r="Y29" s="249">
        <v>21.6</v>
      </c>
      <c r="Z29" s="249">
        <v>20</v>
      </c>
      <c r="AA29" s="249">
        <v>19.100000000000001</v>
      </c>
      <c r="AB29" s="249">
        <v>17.3</v>
      </c>
      <c r="AC29" s="249">
        <v>16.8</v>
      </c>
      <c r="AD29" s="249">
        <v>15.5</v>
      </c>
      <c r="AE29" s="249">
        <v>15.1</v>
      </c>
      <c r="AF29" s="249">
        <v>14.8</v>
      </c>
      <c r="AG29" s="249">
        <v>14.8</v>
      </c>
      <c r="AH29" s="249"/>
      <c r="AI29" s="249"/>
      <c r="AJ29" s="249"/>
      <c r="AK29" s="262">
        <v>26</v>
      </c>
      <c r="AL29" s="262">
        <v>29</v>
      </c>
      <c r="AM29" s="262">
        <v>30</v>
      </c>
      <c r="AN29" s="262">
        <v>32</v>
      </c>
      <c r="AO29" s="262">
        <v>28.3</v>
      </c>
      <c r="AP29" s="262">
        <v>22.6</v>
      </c>
      <c r="AQ29" s="262">
        <v>22.2</v>
      </c>
      <c r="AR29" s="262">
        <v>18.5</v>
      </c>
      <c r="AS29" s="262">
        <v>15</v>
      </c>
      <c r="AT29" s="262"/>
      <c r="AU29" s="262"/>
      <c r="AV29" s="262"/>
      <c r="AW29" s="262"/>
      <c r="AX29" s="262"/>
    </row>
    <row r="30" spans="1:50">
      <c r="A30" s="4" t="s">
        <v>611</v>
      </c>
      <c r="B30" s="249">
        <v>17</v>
      </c>
      <c r="C30" s="249">
        <v>16</v>
      </c>
      <c r="D30" s="249">
        <v>15</v>
      </c>
      <c r="E30" s="249">
        <v>16</v>
      </c>
      <c r="F30" s="249">
        <v>16</v>
      </c>
      <c r="G30" s="249">
        <v>17</v>
      </c>
      <c r="H30" s="249">
        <v>16</v>
      </c>
      <c r="I30" s="249">
        <v>15</v>
      </c>
      <c r="J30" s="249">
        <v>17.2</v>
      </c>
      <c r="K30" s="249">
        <v>17.100000000000001</v>
      </c>
      <c r="L30" s="249">
        <v>18.5</v>
      </c>
      <c r="M30" s="249">
        <v>16.8</v>
      </c>
      <c r="N30" s="249">
        <v>21.099999999999998</v>
      </c>
      <c r="O30" s="249">
        <v>24.099999999999998</v>
      </c>
      <c r="P30" s="249">
        <v>28.4</v>
      </c>
      <c r="Q30" s="249">
        <v>27.7</v>
      </c>
      <c r="R30" s="249">
        <v>29.5</v>
      </c>
      <c r="S30" s="249">
        <v>31.7</v>
      </c>
      <c r="T30" s="249">
        <v>31.1</v>
      </c>
      <c r="U30" s="249">
        <v>31</v>
      </c>
      <c r="V30" s="249">
        <v>31.1</v>
      </c>
      <c r="W30" s="249">
        <v>31.6</v>
      </c>
      <c r="X30" s="249">
        <v>32.200000000000003</v>
      </c>
      <c r="Y30" s="249">
        <v>33.700000000000003</v>
      </c>
      <c r="Z30" s="249">
        <v>32.299999999999997</v>
      </c>
      <c r="AA30" s="249">
        <v>29.4</v>
      </c>
      <c r="AB30" s="249">
        <v>28</v>
      </c>
      <c r="AC30" s="249">
        <v>30.7</v>
      </c>
      <c r="AD30" s="249">
        <v>27.7</v>
      </c>
      <c r="AE30" s="249">
        <v>27.6</v>
      </c>
      <c r="AF30" s="249">
        <v>26</v>
      </c>
      <c r="AG30" s="249">
        <v>24.9</v>
      </c>
      <c r="AH30" s="249"/>
      <c r="AI30" s="249"/>
      <c r="AJ30" s="249"/>
      <c r="AK30" s="262">
        <v>17</v>
      </c>
      <c r="AL30" s="262">
        <v>16</v>
      </c>
      <c r="AM30" s="262">
        <v>16</v>
      </c>
      <c r="AN30" s="262">
        <v>17</v>
      </c>
      <c r="AO30" s="262">
        <v>25.5</v>
      </c>
      <c r="AP30" s="262">
        <v>30.7</v>
      </c>
      <c r="AQ30" s="262">
        <v>32.200000000000003</v>
      </c>
      <c r="AR30" s="262">
        <v>30.5</v>
      </c>
      <c r="AS30" s="262">
        <v>26.5</v>
      </c>
      <c r="AT30" s="262"/>
      <c r="AU30" s="262"/>
      <c r="AV30" s="262"/>
      <c r="AW30" s="262"/>
      <c r="AX30" s="262"/>
    </row>
    <row r="31" spans="1:50">
      <c r="A31" s="4" t="s">
        <v>612</v>
      </c>
      <c r="B31" s="249">
        <v>27</v>
      </c>
      <c r="C31" s="249">
        <v>27</v>
      </c>
      <c r="D31" s="249">
        <v>26</v>
      </c>
      <c r="E31" s="249">
        <v>27</v>
      </c>
      <c r="F31" s="249">
        <v>28</v>
      </c>
      <c r="G31" s="249">
        <v>28</v>
      </c>
      <c r="H31" s="372">
        <v>29</v>
      </c>
      <c r="I31" s="249">
        <v>27</v>
      </c>
      <c r="J31" s="249">
        <v>19.400000000000002</v>
      </c>
      <c r="K31" s="249">
        <v>18.8</v>
      </c>
      <c r="L31" s="249">
        <v>20</v>
      </c>
      <c r="M31" s="249">
        <v>18.899999999999999</v>
      </c>
      <c r="N31" s="249">
        <v>18.899999999999999</v>
      </c>
      <c r="O31" s="249">
        <v>18.600000000000001</v>
      </c>
      <c r="P31" s="249">
        <v>18.3</v>
      </c>
      <c r="Q31" s="249">
        <v>20.100000000000001</v>
      </c>
      <c r="R31" s="249">
        <v>19.399999999999999</v>
      </c>
      <c r="S31" s="249">
        <v>19.3</v>
      </c>
      <c r="T31" s="249">
        <v>19.3</v>
      </c>
      <c r="U31" s="249">
        <v>18.8</v>
      </c>
      <c r="V31" s="249">
        <v>18.5</v>
      </c>
      <c r="W31" s="249">
        <v>18.5</v>
      </c>
      <c r="X31" s="249">
        <v>17.8</v>
      </c>
      <c r="Y31" s="249">
        <v>17.600000000000001</v>
      </c>
      <c r="Z31" s="249">
        <v>18.399999999999999</v>
      </c>
      <c r="AA31" s="249">
        <v>18.100000000000001</v>
      </c>
      <c r="AB31" s="249">
        <v>18.399999999999999</v>
      </c>
      <c r="AC31" s="249">
        <v>19.100000000000001</v>
      </c>
      <c r="AD31" s="249">
        <v>22.9</v>
      </c>
      <c r="AE31" s="249">
        <v>23.3</v>
      </c>
      <c r="AF31" s="249">
        <v>22.9</v>
      </c>
      <c r="AG31" s="249">
        <v>23.4</v>
      </c>
      <c r="AH31" s="249"/>
      <c r="AI31" s="249"/>
      <c r="AJ31" s="249"/>
      <c r="AK31" s="262">
        <v>27</v>
      </c>
      <c r="AL31" s="262">
        <v>27</v>
      </c>
      <c r="AM31" s="262">
        <v>28</v>
      </c>
      <c r="AN31" s="262">
        <v>19</v>
      </c>
      <c r="AO31" s="262">
        <v>19</v>
      </c>
      <c r="AP31" s="262">
        <v>19.100000000000001</v>
      </c>
      <c r="AQ31" s="262">
        <v>18</v>
      </c>
      <c r="AR31" s="262">
        <v>18.3</v>
      </c>
      <c r="AS31" s="262">
        <v>23</v>
      </c>
      <c r="AT31" s="262"/>
      <c r="AU31" s="262"/>
      <c r="AV31" s="262"/>
      <c r="AW31" s="262"/>
      <c r="AX31" s="262"/>
    </row>
    <row r="32" spans="1:50">
      <c r="A32" s="4" t="s">
        <v>613</v>
      </c>
      <c r="B32" s="249"/>
      <c r="C32" s="249"/>
      <c r="D32" s="249"/>
      <c r="E32" s="249"/>
      <c r="F32" s="249"/>
      <c r="G32" s="249"/>
      <c r="H32" s="372"/>
      <c r="I32" s="249"/>
      <c r="J32" s="249"/>
      <c r="K32" s="249"/>
      <c r="L32" s="249"/>
      <c r="M32" s="249"/>
      <c r="N32" s="249"/>
      <c r="O32" s="249"/>
      <c r="P32" s="249"/>
      <c r="Q32" s="249"/>
      <c r="R32" s="249"/>
      <c r="S32" s="249"/>
      <c r="T32" s="249"/>
      <c r="U32" s="249"/>
      <c r="V32" s="249"/>
      <c r="W32" s="249"/>
      <c r="X32" s="249"/>
      <c r="Y32" s="249"/>
      <c r="Z32" s="249"/>
      <c r="AA32" s="249"/>
      <c r="AB32" s="249">
        <v>8.1999999999999993</v>
      </c>
      <c r="AC32" s="249">
        <v>8.4</v>
      </c>
      <c r="AD32" s="249"/>
      <c r="AE32" s="249">
        <v>10</v>
      </c>
      <c r="AF32" s="249">
        <v>10.5</v>
      </c>
      <c r="AG32" s="249">
        <v>11.5</v>
      </c>
      <c r="AH32" s="249"/>
      <c r="AI32" s="249"/>
      <c r="AJ32" s="249"/>
      <c r="AK32" s="262"/>
      <c r="AL32" s="262"/>
      <c r="AM32" s="262"/>
      <c r="AN32" s="262"/>
      <c r="AO32" s="262"/>
      <c r="AP32" s="262"/>
      <c r="AQ32" s="262"/>
      <c r="AR32" s="262">
        <v>7</v>
      </c>
      <c r="AS32" s="262">
        <v>10.8</v>
      </c>
      <c r="AT32" s="262"/>
      <c r="AU32" s="262"/>
      <c r="AV32" s="262"/>
      <c r="AW32" s="262"/>
      <c r="AX32" s="262"/>
    </row>
    <row r="33" spans="1:50">
      <c r="A33" s="4" t="s">
        <v>614</v>
      </c>
      <c r="B33" s="249"/>
      <c r="C33" s="249"/>
      <c r="D33" s="249"/>
      <c r="E33" s="249"/>
      <c r="F33" s="249"/>
      <c r="G33" s="249"/>
      <c r="H33" s="372"/>
      <c r="I33" s="249"/>
      <c r="J33" s="249"/>
      <c r="K33" s="249"/>
      <c r="L33" s="249"/>
      <c r="M33" s="249"/>
      <c r="N33" s="249"/>
      <c r="O33" s="249"/>
      <c r="P33" s="249"/>
      <c r="Q33" s="249"/>
      <c r="R33" s="249"/>
      <c r="S33" s="249"/>
      <c r="T33" s="249"/>
      <c r="U33" s="249"/>
      <c r="V33" s="249">
        <v>7.6</v>
      </c>
      <c r="W33" s="249">
        <v>7.6</v>
      </c>
      <c r="X33" s="249">
        <v>6.6</v>
      </c>
      <c r="Y33" s="249">
        <v>7.6</v>
      </c>
      <c r="Z33" s="249">
        <v>8</v>
      </c>
      <c r="AA33" s="249">
        <v>7.6</v>
      </c>
      <c r="AB33" s="249">
        <v>7</v>
      </c>
      <c r="AC33" s="249">
        <v>7.4</v>
      </c>
      <c r="AD33" s="249">
        <v>7.2</v>
      </c>
      <c r="AE33" s="249">
        <v>6.9</v>
      </c>
      <c r="AF33" s="249">
        <v>6.3</v>
      </c>
      <c r="AG33" s="249">
        <v>7.5</v>
      </c>
      <c r="AH33" s="249"/>
      <c r="AI33" s="249"/>
      <c r="AJ33" s="249"/>
      <c r="AK33" s="262"/>
      <c r="AL33" s="262"/>
      <c r="AM33" s="262"/>
      <c r="AN33" s="262"/>
      <c r="AO33" s="262"/>
      <c r="AP33" s="262"/>
      <c r="AQ33" s="262">
        <v>7.6</v>
      </c>
      <c r="AR33" s="262">
        <v>7.7</v>
      </c>
      <c r="AS33" s="262">
        <v>7</v>
      </c>
      <c r="AT33" s="262"/>
      <c r="AU33" s="262"/>
      <c r="AV33" s="262"/>
      <c r="AW33" s="262"/>
      <c r="AX33" s="262"/>
    </row>
    <row r="34" spans="1:50">
      <c r="A34" s="4" t="s">
        <v>85</v>
      </c>
      <c r="B34" s="249">
        <v>28</v>
      </c>
      <c r="C34" s="249">
        <v>28</v>
      </c>
      <c r="D34" s="249">
        <v>29</v>
      </c>
      <c r="E34" s="249">
        <v>29</v>
      </c>
      <c r="F34" s="249">
        <v>27</v>
      </c>
      <c r="G34" s="249">
        <v>24</v>
      </c>
      <c r="H34" s="249">
        <v>25</v>
      </c>
      <c r="I34" s="249">
        <v>27</v>
      </c>
      <c r="J34" s="249">
        <v>30.4</v>
      </c>
      <c r="K34" s="249">
        <v>29.8</v>
      </c>
      <c r="L34" s="249">
        <v>30</v>
      </c>
      <c r="M34" s="249">
        <v>33.1</v>
      </c>
      <c r="N34" s="249">
        <v>29.2</v>
      </c>
      <c r="O34" s="249">
        <v>28.1</v>
      </c>
      <c r="P34" s="249">
        <v>25.4</v>
      </c>
      <c r="Q34" s="249">
        <v>26.5</v>
      </c>
      <c r="R34" s="249">
        <v>28</v>
      </c>
      <c r="S34" s="249">
        <v>25.8</v>
      </c>
      <c r="T34" s="249">
        <v>27.4</v>
      </c>
      <c r="U34" s="249">
        <v>28</v>
      </c>
      <c r="V34" s="249">
        <v>20.2</v>
      </c>
      <c r="W34" s="249">
        <v>27.3</v>
      </c>
      <c r="X34" s="249">
        <v>21.5</v>
      </c>
      <c r="Y34" s="249">
        <v>19.5</v>
      </c>
      <c r="Z34" s="249">
        <v>21.3</v>
      </c>
      <c r="AA34" s="249">
        <v>25.9</v>
      </c>
      <c r="AB34" s="256">
        <f>100-SUM(AB29:AB33)</f>
        <v>21.100000000000009</v>
      </c>
      <c r="AC34" s="249">
        <v>17.600000000000001</v>
      </c>
      <c r="AD34" s="249">
        <v>26.7</v>
      </c>
      <c r="AE34" s="256">
        <f>100-SUM(AE29:AE33)</f>
        <v>17.099999999999994</v>
      </c>
      <c r="AF34" s="249">
        <v>19.5</v>
      </c>
      <c r="AG34" s="249">
        <v>17.899999999999999</v>
      </c>
      <c r="AH34" s="249"/>
      <c r="AI34" s="249"/>
      <c r="AJ34" s="249"/>
      <c r="AK34" s="262">
        <v>30</v>
      </c>
      <c r="AL34" s="262">
        <v>28</v>
      </c>
      <c r="AM34" s="262">
        <v>26</v>
      </c>
      <c r="AN34" s="262">
        <v>31</v>
      </c>
      <c r="AO34" s="262">
        <v>27.2</v>
      </c>
      <c r="AP34" s="262">
        <v>27.5</v>
      </c>
      <c r="AQ34" s="262">
        <v>20</v>
      </c>
      <c r="AR34" s="262">
        <v>17.899999999999999</v>
      </c>
      <c r="AS34" s="262">
        <v>17.7</v>
      </c>
      <c r="AT34" s="262"/>
      <c r="AU34" s="262"/>
      <c r="AV34" s="262"/>
      <c r="AW34" s="262"/>
      <c r="AX34" s="262"/>
    </row>
    <row r="35" spans="1:50">
      <c r="A35" s="10" t="s">
        <v>279</v>
      </c>
      <c r="B35" s="255">
        <v>101</v>
      </c>
      <c r="C35" s="255">
        <f t="shared" ref="C35:T35" si="13">SUM(C29:C34)</f>
        <v>100</v>
      </c>
      <c r="D35" s="255">
        <f t="shared" si="13"/>
        <v>100</v>
      </c>
      <c r="E35" s="255">
        <f t="shared" si="13"/>
        <v>100</v>
      </c>
      <c r="F35" s="255">
        <f t="shared" si="13"/>
        <v>100</v>
      </c>
      <c r="G35" s="255">
        <f t="shared" si="13"/>
        <v>100</v>
      </c>
      <c r="H35" s="255">
        <f t="shared" si="13"/>
        <v>100</v>
      </c>
      <c r="I35" s="255">
        <f t="shared" si="13"/>
        <v>100</v>
      </c>
      <c r="J35" s="255">
        <f t="shared" si="13"/>
        <v>100</v>
      </c>
      <c r="K35" s="255">
        <f t="shared" si="13"/>
        <v>100</v>
      </c>
      <c r="L35" s="255">
        <f t="shared" si="13"/>
        <v>100</v>
      </c>
      <c r="M35" s="255">
        <f t="shared" si="13"/>
        <v>100</v>
      </c>
      <c r="N35" s="255">
        <f t="shared" si="13"/>
        <v>100</v>
      </c>
      <c r="O35" s="255">
        <f t="shared" si="13"/>
        <v>100</v>
      </c>
      <c r="P35" s="255">
        <f t="shared" si="13"/>
        <v>99.9</v>
      </c>
      <c r="Q35" s="255">
        <f t="shared" si="13"/>
        <v>100</v>
      </c>
      <c r="R35" s="255">
        <f t="shared" si="13"/>
        <v>100</v>
      </c>
      <c r="S35" s="255">
        <f t="shared" si="13"/>
        <v>100</v>
      </c>
      <c r="T35" s="255">
        <f t="shared" si="13"/>
        <v>99.9</v>
      </c>
      <c r="U35" s="255">
        <f t="shared" ref="U35:V35" si="14">SUM(U29:U34)</f>
        <v>100</v>
      </c>
      <c r="V35" s="255">
        <f t="shared" si="14"/>
        <v>100</v>
      </c>
      <c r="W35" s="255">
        <f t="shared" ref="W35:X35" si="15">SUM(W29:W34)</f>
        <v>107.6</v>
      </c>
      <c r="X35" s="255">
        <f t="shared" si="15"/>
        <v>100.1</v>
      </c>
      <c r="Y35" s="255">
        <f t="shared" ref="Y35:Z35" si="16">SUM(Y29:Y34)</f>
        <v>100</v>
      </c>
      <c r="Z35" s="255">
        <f t="shared" si="16"/>
        <v>99.999999999999986</v>
      </c>
      <c r="AA35" s="255">
        <f t="shared" ref="AA35:AB35" si="17">SUM(AA29:AA34)</f>
        <v>100.1</v>
      </c>
      <c r="AB35" s="255">
        <f t="shared" si="17"/>
        <v>100</v>
      </c>
      <c r="AC35" s="255">
        <f t="shared" ref="AC35:AE35" si="18">SUM(AC29:AC34)</f>
        <v>100</v>
      </c>
      <c r="AD35" s="255">
        <f t="shared" si="18"/>
        <v>100</v>
      </c>
      <c r="AE35" s="255">
        <f t="shared" si="18"/>
        <v>100</v>
      </c>
      <c r="AF35" s="255">
        <f t="shared" ref="AF35:AG35" si="19">SUM(AF29:AF34)</f>
        <v>99.999999999999986</v>
      </c>
      <c r="AG35" s="255">
        <f t="shared" si="19"/>
        <v>100</v>
      </c>
      <c r="AH35" s="255"/>
      <c r="AI35" s="255"/>
      <c r="AJ35" s="255"/>
      <c r="AK35" s="274">
        <f t="shared" ref="AK35:AQ35" si="20">SUM(AK29:AK34)</f>
        <v>100</v>
      </c>
      <c r="AL35" s="274">
        <f t="shared" si="20"/>
        <v>100</v>
      </c>
      <c r="AM35" s="274">
        <f t="shared" si="20"/>
        <v>100</v>
      </c>
      <c r="AN35" s="274">
        <f t="shared" si="20"/>
        <v>99</v>
      </c>
      <c r="AO35" s="274">
        <f t="shared" si="20"/>
        <v>100</v>
      </c>
      <c r="AP35" s="274">
        <f t="shared" si="20"/>
        <v>99.9</v>
      </c>
      <c r="AQ35" s="274">
        <f t="shared" si="20"/>
        <v>100</v>
      </c>
      <c r="AR35" s="274">
        <f t="shared" ref="AR35:AS35" si="21">SUM(AR29:AR34)</f>
        <v>99.9</v>
      </c>
      <c r="AS35" s="274">
        <f t="shared" si="21"/>
        <v>100</v>
      </c>
      <c r="AT35" s="274"/>
      <c r="AU35" s="274"/>
      <c r="AV35" s="274"/>
      <c r="AW35" s="274"/>
      <c r="AX35" s="274"/>
    </row>
    <row r="36" spans="1:50">
      <c r="A36" s="4"/>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340">
        <f>AL33+AL34</f>
        <v>28</v>
      </c>
      <c r="AM36" s="340">
        <f t="shared" ref="AM36:AR36" si="22">AM33+AM34</f>
        <v>26</v>
      </c>
      <c r="AN36" s="340">
        <f t="shared" si="22"/>
        <v>31</v>
      </c>
      <c r="AO36" s="340">
        <f t="shared" si="22"/>
        <v>27.2</v>
      </c>
      <c r="AP36" s="340">
        <f t="shared" si="22"/>
        <v>27.5</v>
      </c>
      <c r="AQ36" s="340">
        <f t="shared" si="22"/>
        <v>27.6</v>
      </c>
      <c r="AR36" s="340">
        <f t="shared" si="22"/>
        <v>25.599999999999998</v>
      </c>
      <c r="AS36" s="340">
        <f t="shared" ref="AS36" si="23">AS33+AS34</f>
        <v>24.7</v>
      </c>
      <c r="AT36" s="340"/>
      <c r="AU36" s="340"/>
      <c r="AV36" s="340"/>
      <c r="AW36" s="340"/>
      <c r="AX36" s="340"/>
    </row>
    <row r="37" spans="1:50">
      <c r="A37" s="251" t="s">
        <v>615</v>
      </c>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73"/>
      <c r="AL37" s="273"/>
      <c r="AM37" s="273"/>
      <c r="AN37" s="273"/>
      <c r="AO37" s="273"/>
      <c r="AP37" s="273"/>
      <c r="AQ37" s="273"/>
      <c r="AR37" s="273"/>
      <c r="AS37" s="273"/>
      <c r="AT37" s="273"/>
      <c r="AU37" s="273"/>
      <c r="AV37" s="273"/>
      <c r="AW37" s="273"/>
      <c r="AX37" s="273"/>
    </row>
    <row r="38" spans="1:50">
      <c r="A38" s="4" t="s">
        <v>616</v>
      </c>
      <c r="B38" s="249"/>
      <c r="C38" s="249"/>
      <c r="D38" s="249"/>
      <c r="E38" s="249">
        <v>49</v>
      </c>
      <c r="F38" s="249">
        <v>49</v>
      </c>
      <c r="G38" s="249">
        <v>49</v>
      </c>
      <c r="H38" s="249">
        <v>48</v>
      </c>
      <c r="I38" s="249">
        <v>46</v>
      </c>
      <c r="J38" s="249">
        <v>46.9</v>
      </c>
      <c r="K38" s="249">
        <v>48</v>
      </c>
      <c r="L38" s="249">
        <v>49.4</v>
      </c>
      <c r="M38" s="249">
        <v>46.400000000000006</v>
      </c>
      <c r="N38" s="249">
        <v>52</v>
      </c>
      <c r="O38" s="249">
        <v>52.2</v>
      </c>
      <c r="P38" s="249">
        <v>53.300000000000004</v>
      </c>
      <c r="Q38" s="249">
        <v>49.9</v>
      </c>
      <c r="R38" s="249">
        <v>51.3</v>
      </c>
      <c r="S38" s="249">
        <v>51.3</v>
      </c>
      <c r="T38" s="249">
        <v>49.2</v>
      </c>
      <c r="U38" s="249">
        <v>48.3</v>
      </c>
      <c r="V38" s="249">
        <v>49.7</v>
      </c>
      <c r="W38" s="249">
        <v>49.4</v>
      </c>
      <c r="X38" s="249">
        <v>46.6</v>
      </c>
      <c r="Y38" s="249">
        <v>47.7</v>
      </c>
      <c r="Z38" s="249">
        <v>50.8</v>
      </c>
      <c r="AA38" s="249">
        <v>55.1</v>
      </c>
      <c r="AB38" s="249">
        <v>56</v>
      </c>
      <c r="AC38" s="249">
        <v>54.8</v>
      </c>
      <c r="AD38" s="249">
        <v>56.7</v>
      </c>
      <c r="AE38" s="249">
        <v>57.9</v>
      </c>
      <c r="AF38" s="249">
        <v>56.6</v>
      </c>
      <c r="AG38" s="249">
        <v>56.7</v>
      </c>
      <c r="AH38" s="249"/>
      <c r="AI38" s="249"/>
      <c r="AJ38" s="249"/>
      <c r="AK38" s="262">
        <v>49</v>
      </c>
      <c r="AL38" s="262">
        <v>49</v>
      </c>
      <c r="AM38" s="262">
        <v>48</v>
      </c>
      <c r="AN38" s="262">
        <v>48</v>
      </c>
      <c r="AO38" s="262">
        <v>51.8</v>
      </c>
      <c r="AP38" s="262">
        <v>49.9</v>
      </c>
      <c r="AQ38" s="262">
        <v>48.3</v>
      </c>
      <c r="AR38" s="262">
        <v>54.8</v>
      </c>
      <c r="AS38" s="262">
        <v>56.9</v>
      </c>
      <c r="AT38" s="262"/>
      <c r="AU38" s="262"/>
      <c r="AV38" s="262"/>
      <c r="AW38" s="262"/>
      <c r="AX38" s="262"/>
    </row>
    <row r="39" spans="1:50">
      <c r="A39" s="4" t="s">
        <v>617</v>
      </c>
      <c r="B39" s="249"/>
      <c r="C39" s="249"/>
      <c r="D39" s="249"/>
      <c r="E39" s="249">
        <v>33</v>
      </c>
      <c r="F39" s="249">
        <v>35</v>
      </c>
      <c r="G39" s="249">
        <v>37</v>
      </c>
      <c r="H39" s="249">
        <v>37</v>
      </c>
      <c r="I39" s="249">
        <v>40</v>
      </c>
      <c r="J39" s="249">
        <v>36.199999999999996</v>
      </c>
      <c r="K39" s="249">
        <v>36</v>
      </c>
      <c r="L39" s="249">
        <v>35.799999999999997</v>
      </c>
      <c r="M39" s="249">
        <v>39.6</v>
      </c>
      <c r="N39" s="249">
        <v>35</v>
      </c>
      <c r="O39" s="249">
        <v>32.5</v>
      </c>
      <c r="P39" s="249">
        <v>33.700000000000003</v>
      </c>
      <c r="Q39" s="249">
        <v>39.799999999999997</v>
      </c>
      <c r="R39" s="249">
        <v>36.9</v>
      </c>
      <c r="S39" s="249">
        <v>38.5</v>
      </c>
      <c r="T39" s="249">
        <v>40.299999999999997</v>
      </c>
      <c r="U39" s="249">
        <v>39.6</v>
      </c>
      <c r="V39" s="249">
        <v>38.6</v>
      </c>
      <c r="W39" s="249">
        <v>38.799999999999997</v>
      </c>
      <c r="X39" s="249">
        <v>40</v>
      </c>
      <c r="Y39" s="249">
        <v>40.1</v>
      </c>
      <c r="Z39" s="249">
        <v>37.5</v>
      </c>
      <c r="AA39" s="249">
        <v>33.799999999999997</v>
      </c>
      <c r="AB39" s="249">
        <v>34.200000000000003</v>
      </c>
      <c r="AC39" s="249">
        <v>32.200000000000003</v>
      </c>
      <c r="AD39" s="249">
        <v>29.8</v>
      </c>
      <c r="AE39" s="249">
        <v>28.9</v>
      </c>
      <c r="AF39" s="249">
        <v>28.2</v>
      </c>
      <c r="AG39" s="249">
        <v>28.3</v>
      </c>
      <c r="AH39" s="249"/>
      <c r="AI39" s="249"/>
      <c r="AJ39" s="249"/>
      <c r="AK39" s="262">
        <v>31</v>
      </c>
      <c r="AL39" s="262">
        <v>33</v>
      </c>
      <c r="AM39" s="262">
        <v>37</v>
      </c>
      <c r="AN39" s="262">
        <v>37</v>
      </c>
      <c r="AO39" s="262">
        <v>35.4</v>
      </c>
      <c r="AP39" s="262">
        <v>38.9</v>
      </c>
      <c r="AQ39" s="262">
        <v>39.4</v>
      </c>
      <c r="AR39" s="262">
        <v>33.700000000000003</v>
      </c>
      <c r="AS39" s="262">
        <v>28.9</v>
      </c>
      <c r="AT39" s="262"/>
      <c r="AU39" s="262"/>
      <c r="AV39" s="262"/>
      <c r="AW39" s="262"/>
      <c r="AX39" s="262"/>
    </row>
    <row r="40" spans="1:50">
      <c r="A40" s="4" t="s">
        <v>618</v>
      </c>
      <c r="B40" s="249"/>
      <c r="C40" s="249"/>
      <c r="D40" s="249"/>
      <c r="E40" s="249">
        <v>18</v>
      </c>
      <c r="F40" s="249">
        <v>16</v>
      </c>
      <c r="G40" s="249">
        <v>14</v>
      </c>
      <c r="H40" s="249">
        <v>15</v>
      </c>
      <c r="I40" s="249">
        <v>14</v>
      </c>
      <c r="J40" s="249">
        <v>16.900000000000002</v>
      </c>
      <c r="K40" s="249">
        <v>16</v>
      </c>
      <c r="L40" s="249">
        <v>14.799999999999999</v>
      </c>
      <c r="M40" s="249">
        <v>14.099999999999998</v>
      </c>
      <c r="N40" s="249">
        <v>13</v>
      </c>
      <c r="O40" s="249">
        <v>15.299999999999999</v>
      </c>
      <c r="P40" s="249">
        <v>13</v>
      </c>
      <c r="Q40" s="249">
        <v>10.3</v>
      </c>
      <c r="R40" s="249">
        <v>11.9</v>
      </c>
      <c r="S40" s="249">
        <v>10.199999999999999</v>
      </c>
      <c r="T40" s="249">
        <v>10.5</v>
      </c>
      <c r="U40" s="249">
        <v>12.1</v>
      </c>
      <c r="V40" s="249">
        <v>11.7</v>
      </c>
      <c r="W40" s="249">
        <v>11.8</v>
      </c>
      <c r="X40" s="249">
        <v>13.4</v>
      </c>
      <c r="Y40" s="249">
        <v>12.2</v>
      </c>
      <c r="Z40" s="249">
        <v>11.6</v>
      </c>
      <c r="AA40" s="249">
        <v>11.1</v>
      </c>
      <c r="AB40" s="249">
        <v>9.8000000000000007</v>
      </c>
      <c r="AC40" s="249">
        <v>13</v>
      </c>
      <c r="AD40" s="249">
        <v>13.5</v>
      </c>
      <c r="AE40" s="249">
        <v>13.2</v>
      </c>
      <c r="AF40" s="249">
        <v>15.1</v>
      </c>
      <c r="AG40" s="249">
        <v>15</v>
      </c>
      <c r="AH40" s="249"/>
      <c r="AI40" s="249"/>
      <c r="AJ40" s="249"/>
      <c r="AK40" s="262">
        <v>20</v>
      </c>
      <c r="AL40" s="262">
        <v>18</v>
      </c>
      <c r="AM40" s="262">
        <v>15</v>
      </c>
      <c r="AN40" s="262">
        <v>15</v>
      </c>
      <c r="AO40" s="262">
        <v>12.8</v>
      </c>
      <c r="AP40" s="262">
        <v>11.200000000000001</v>
      </c>
      <c r="AQ40" s="262">
        <v>12.3</v>
      </c>
      <c r="AR40" s="262">
        <v>11.5</v>
      </c>
      <c r="AS40" s="262">
        <v>14.2</v>
      </c>
      <c r="AT40" s="262"/>
      <c r="AU40" s="262"/>
      <c r="AV40" s="262"/>
      <c r="AW40" s="262"/>
      <c r="AX40" s="262"/>
    </row>
    <row r="41" spans="1:50">
      <c r="A41" s="10" t="s">
        <v>279</v>
      </c>
      <c r="B41" s="255">
        <v>0</v>
      </c>
      <c r="C41" s="255">
        <f t="shared" ref="C41:T41" si="24">SUM(C38:C40)</f>
        <v>0</v>
      </c>
      <c r="D41" s="255">
        <f t="shared" si="24"/>
        <v>0</v>
      </c>
      <c r="E41" s="255">
        <f t="shared" si="24"/>
        <v>100</v>
      </c>
      <c r="F41" s="255">
        <f t="shared" si="24"/>
        <v>100</v>
      </c>
      <c r="G41" s="255">
        <f t="shared" si="24"/>
        <v>100</v>
      </c>
      <c r="H41" s="255">
        <f t="shared" si="24"/>
        <v>100</v>
      </c>
      <c r="I41" s="255">
        <f t="shared" si="24"/>
        <v>100</v>
      </c>
      <c r="J41" s="255">
        <f t="shared" si="24"/>
        <v>100</v>
      </c>
      <c r="K41" s="255">
        <f t="shared" si="24"/>
        <v>100</v>
      </c>
      <c r="L41" s="255">
        <f t="shared" si="24"/>
        <v>99.999999999999986</v>
      </c>
      <c r="M41" s="255">
        <f t="shared" si="24"/>
        <v>100.1</v>
      </c>
      <c r="N41" s="255">
        <f t="shared" si="24"/>
        <v>100</v>
      </c>
      <c r="O41" s="255">
        <f t="shared" si="24"/>
        <v>100</v>
      </c>
      <c r="P41" s="255">
        <f t="shared" si="24"/>
        <v>100</v>
      </c>
      <c r="Q41" s="255">
        <f t="shared" si="24"/>
        <v>99.999999999999986</v>
      </c>
      <c r="R41" s="255">
        <f t="shared" si="24"/>
        <v>100.1</v>
      </c>
      <c r="S41" s="255">
        <f t="shared" si="24"/>
        <v>100</v>
      </c>
      <c r="T41" s="255">
        <f t="shared" si="24"/>
        <v>100</v>
      </c>
      <c r="U41" s="255">
        <f t="shared" ref="U41:V41" si="25">SUM(U38:U40)</f>
        <v>100</v>
      </c>
      <c r="V41" s="255">
        <f t="shared" si="25"/>
        <v>100.00000000000001</v>
      </c>
      <c r="W41" s="255">
        <f t="shared" ref="W41:X41" si="26">SUM(W38:W40)</f>
        <v>99.999999999999986</v>
      </c>
      <c r="X41" s="255">
        <f t="shared" si="26"/>
        <v>100</v>
      </c>
      <c r="Y41" s="255">
        <f t="shared" ref="Y41:Z41" si="27">SUM(Y38:Y40)</f>
        <v>100.00000000000001</v>
      </c>
      <c r="Z41" s="255">
        <f t="shared" si="27"/>
        <v>99.899999999999991</v>
      </c>
      <c r="AA41" s="255">
        <f t="shared" ref="AA41:AB41" si="28">SUM(AA38:AA40)</f>
        <v>100</v>
      </c>
      <c r="AB41" s="255">
        <f t="shared" si="28"/>
        <v>100</v>
      </c>
      <c r="AC41" s="255">
        <f t="shared" ref="AC41:AD41" si="29">SUM(AC38:AC40)</f>
        <v>100</v>
      </c>
      <c r="AD41" s="255">
        <f t="shared" si="29"/>
        <v>100</v>
      </c>
      <c r="AE41" s="255">
        <f t="shared" ref="AE41:AF41" si="30">SUM(AE38:AE40)</f>
        <v>100</v>
      </c>
      <c r="AF41" s="255">
        <f t="shared" si="30"/>
        <v>99.899999999999991</v>
      </c>
      <c r="AG41" s="255">
        <f t="shared" ref="AG41" si="31">SUM(AG38:AG40)</f>
        <v>100</v>
      </c>
      <c r="AH41" s="255"/>
      <c r="AI41" s="255"/>
      <c r="AJ41" s="255"/>
      <c r="AK41" s="274">
        <f>SUM(AK38:AK40)</f>
        <v>100</v>
      </c>
      <c r="AL41" s="274">
        <f t="shared" ref="AL41:AR41" si="32">SUM(AL38:AL40)</f>
        <v>100</v>
      </c>
      <c r="AM41" s="274">
        <f t="shared" si="32"/>
        <v>100</v>
      </c>
      <c r="AN41" s="274">
        <f t="shared" si="32"/>
        <v>100</v>
      </c>
      <c r="AO41" s="274">
        <f t="shared" si="32"/>
        <v>99.999999999999986</v>
      </c>
      <c r="AP41" s="274">
        <f t="shared" si="32"/>
        <v>100</v>
      </c>
      <c r="AQ41" s="274">
        <f t="shared" si="32"/>
        <v>99.999999999999986</v>
      </c>
      <c r="AR41" s="274">
        <f t="shared" si="32"/>
        <v>100</v>
      </c>
      <c r="AS41" s="274">
        <f>SUM(AS38:AS40)</f>
        <v>100</v>
      </c>
      <c r="AT41" s="274"/>
      <c r="AU41" s="274"/>
      <c r="AV41" s="274"/>
      <c r="AW41" s="274"/>
      <c r="AX41" s="274"/>
    </row>
    <row r="42" spans="1:50">
      <c r="A42" s="4" t="s">
        <v>619</v>
      </c>
      <c r="B42" s="7"/>
      <c r="C42" s="7"/>
      <c r="D42" s="7"/>
      <c r="E42" s="7"/>
      <c r="F42" s="7"/>
      <c r="G42" s="7"/>
      <c r="H42" s="7"/>
      <c r="I42" s="7"/>
      <c r="J42" s="7"/>
      <c r="K42" s="7"/>
      <c r="L42" s="7"/>
      <c r="M42" s="7"/>
      <c r="N42" s="7"/>
      <c r="O42" s="7"/>
      <c r="P42" s="7"/>
      <c r="Q42" s="7"/>
      <c r="R42" s="7"/>
      <c r="S42" s="7"/>
      <c r="T42" s="7"/>
      <c r="U42" s="7"/>
      <c r="V42" s="7"/>
      <c r="W42" s="7"/>
      <c r="X42" s="7"/>
      <c r="Y42" s="7"/>
      <c r="Z42" s="249">
        <v>3.8</v>
      </c>
      <c r="AA42" s="249"/>
      <c r="AB42" s="249"/>
      <c r="AC42" s="249"/>
      <c r="AD42" s="249"/>
      <c r="AE42" s="249"/>
      <c r="AF42" s="249"/>
      <c r="AG42" s="249"/>
      <c r="AH42" s="249"/>
      <c r="AI42" s="249"/>
      <c r="AJ42" s="249"/>
      <c r="AK42" s="7"/>
      <c r="AL42" s="4"/>
      <c r="AM42" s="4"/>
      <c r="AN42" s="4"/>
      <c r="AO42" s="4"/>
      <c r="AP42" s="4"/>
      <c r="AQ42" s="4"/>
      <c r="AR42" s="4"/>
      <c r="AS42" s="4"/>
      <c r="AT42" s="4"/>
      <c r="AU42" s="4"/>
      <c r="AV42" s="4"/>
      <c r="AW42" s="4"/>
      <c r="AX42" s="4"/>
    </row>
    <row r="43" spans="1:50">
      <c r="A43" s="4"/>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4"/>
      <c r="AM43" s="4"/>
      <c r="AN43" s="4"/>
      <c r="AO43" s="4"/>
      <c r="AP43" s="4"/>
      <c r="AQ43" s="4"/>
      <c r="AR43" s="4"/>
      <c r="AS43" s="4"/>
      <c r="AT43" s="4"/>
      <c r="AU43" s="4"/>
      <c r="AV43" s="4"/>
      <c r="AW43" s="4"/>
      <c r="AX43" s="4"/>
    </row>
    <row r="44" spans="1:50">
      <c r="A44" s="4"/>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4"/>
      <c r="AM44" s="4"/>
      <c r="AN44" s="4"/>
      <c r="AO44" s="4"/>
      <c r="AP44" s="4"/>
      <c r="AQ44" s="4"/>
      <c r="AR44" s="4"/>
      <c r="AS44" s="4"/>
      <c r="AT44" s="4"/>
      <c r="AU44" s="4"/>
      <c r="AV44" s="4"/>
      <c r="AW44" s="4"/>
      <c r="AX44" s="4"/>
    </row>
    <row r="45" spans="1:50">
      <c r="A45" s="251" t="s">
        <v>620</v>
      </c>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c r="AK45" s="273"/>
      <c r="AL45" s="273"/>
      <c r="AM45" s="273"/>
      <c r="AN45" s="273"/>
      <c r="AO45" s="273"/>
      <c r="AP45" s="273"/>
      <c r="AQ45" s="273"/>
      <c r="AR45" s="273"/>
      <c r="AS45" s="273"/>
      <c r="AT45" s="273"/>
      <c r="AU45" s="273"/>
      <c r="AV45" s="273"/>
      <c r="AW45" s="273"/>
      <c r="AX45" s="273"/>
    </row>
    <row r="46" spans="1:50">
      <c r="A46" s="4" t="s">
        <v>621</v>
      </c>
      <c r="B46" s="249"/>
      <c r="C46" s="249"/>
      <c r="D46" s="249"/>
      <c r="E46" s="249"/>
      <c r="F46" s="249"/>
      <c r="G46" s="249"/>
      <c r="H46" s="249"/>
      <c r="I46" s="249">
        <v>16</v>
      </c>
      <c r="J46" s="249">
        <v>16</v>
      </c>
      <c r="K46" s="249">
        <v>16.400000000000002</v>
      </c>
      <c r="L46" s="249">
        <v>16.600000000000001</v>
      </c>
      <c r="M46" s="249">
        <v>16</v>
      </c>
      <c r="N46" s="249">
        <v>14.000000000000002</v>
      </c>
      <c r="O46" s="249">
        <v>12.7</v>
      </c>
      <c r="P46" s="249">
        <v>10.8</v>
      </c>
      <c r="Q46" s="249">
        <v>10.7</v>
      </c>
      <c r="R46" s="249">
        <v>10.5</v>
      </c>
      <c r="S46" s="249">
        <v>10.5</v>
      </c>
      <c r="T46" s="249">
        <v>9.9</v>
      </c>
      <c r="U46" s="249">
        <v>9.5</v>
      </c>
      <c r="V46" s="249">
        <v>9.4</v>
      </c>
      <c r="W46" s="249">
        <v>8.9</v>
      </c>
      <c r="X46" s="249">
        <v>7.8</v>
      </c>
      <c r="Y46" s="249">
        <v>7.8</v>
      </c>
      <c r="Z46" s="605"/>
      <c r="AA46" s="605"/>
      <c r="AB46" s="605"/>
      <c r="AC46" s="605"/>
      <c r="AD46" s="605"/>
      <c r="AE46" s="605"/>
      <c r="AF46" s="605"/>
      <c r="AG46" s="605"/>
      <c r="AH46" s="605"/>
      <c r="AI46" s="605"/>
      <c r="AJ46" s="605"/>
      <c r="AK46" s="249"/>
      <c r="AL46" s="14"/>
      <c r="AM46" s="601">
        <v>15</v>
      </c>
      <c r="AN46" s="602">
        <v>15.7</v>
      </c>
      <c r="AO46" s="601">
        <v>12</v>
      </c>
      <c r="AP46" s="601">
        <v>10.100000000000001</v>
      </c>
      <c r="AQ46" s="601">
        <v>8.5</v>
      </c>
      <c r="AR46" s="601"/>
      <c r="AS46" s="601"/>
      <c r="AT46" s="602"/>
      <c r="AU46" s="601"/>
      <c r="AV46" s="601"/>
      <c r="AW46" s="601"/>
      <c r="AX46" s="601"/>
    </row>
    <row r="47" spans="1:50">
      <c r="A47" s="4" t="s">
        <v>622</v>
      </c>
      <c r="B47" s="249"/>
      <c r="C47" s="249"/>
      <c r="D47" s="249"/>
      <c r="E47" s="249"/>
      <c r="F47" s="249"/>
      <c r="G47" s="249"/>
      <c r="H47" s="249"/>
      <c r="I47" s="249">
        <v>14</v>
      </c>
      <c r="J47" s="249">
        <v>14.6</v>
      </c>
      <c r="K47" s="249">
        <v>14.899999999999999</v>
      </c>
      <c r="L47" s="249">
        <v>15.299999999999999</v>
      </c>
      <c r="M47" s="249">
        <v>15</v>
      </c>
      <c r="N47" s="249">
        <v>14.499999999999998</v>
      </c>
      <c r="O47" s="249">
        <v>14.299999999999999</v>
      </c>
      <c r="P47" s="249">
        <v>14.000000000000002</v>
      </c>
      <c r="Q47" s="249">
        <v>12.7</v>
      </c>
      <c r="R47" s="249">
        <v>12.6</v>
      </c>
      <c r="S47" s="249">
        <v>12.6</v>
      </c>
      <c r="T47" s="249">
        <v>11.8</v>
      </c>
      <c r="U47" s="249">
        <v>11.1</v>
      </c>
      <c r="V47" s="249">
        <v>11.5</v>
      </c>
      <c r="W47" s="249">
        <v>12.1</v>
      </c>
      <c r="X47" s="249">
        <v>11.3</v>
      </c>
      <c r="Y47" s="249">
        <v>11.2</v>
      </c>
      <c r="Z47" s="605"/>
      <c r="AA47" s="605"/>
      <c r="AB47" s="605"/>
      <c r="AC47" s="605"/>
      <c r="AD47" s="605"/>
      <c r="AE47" s="605"/>
      <c r="AF47" s="605"/>
      <c r="AG47" s="605"/>
      <c r="AH47" s="605"/>
      <c r="AI47" s="605"/>
      <c r="AJ47" s="605"/>
      <c r="AK47" s="249"/>
      <c r="AL47" s="14"/>
      <c r="AM47" s="601">
        <v>15</v>
      </c>
      <c r="AN47" s="602">
        <v>15.1</v>
      </c>
      <c r="AO47" s="601">
        <v>13.8</v>
      </c>
      <c r="AP47" s="601">
        <v>12</v>
      </c>
      <c r="AQ47" s="601">
        <v>11.5</v>
      </c>
      <c r="AR47" s="601"/>
      <c r="AS47" s="601"/>
      <c r="AT47" s="602"/>
      <c r="AU47" s="601"/>
      <c r="AV47" s="601"/>
      <c r="AW47" s="601"/>
      <c r="AX47" s="601"/>
    </row>
    <row r="48" spans="1:50">
      <c r="A48" s="4" t="s">
        <v>623</v>
      </c>
      <c r="B48" s="249"/>
      <c r="C48" s="249"/>
      <c r="D48" s="249"/>
      <c r="E48" s="249"/>
      <c r="F48" s="249"/>
      <c r="G48" s="249"/>
      <c r="H48" s="249"/>
      <c r="I48" s="249">
        <v>21</v>
      </c>
      <c r="J48" s="249">
        <v>19</v>
      </c>
      <c r="K48" s="249">
        <v>19.2</v>
      </c>
      <c r="L48" s="249">
        <v>19.2</v>
      </c>
      <c r="M48" s="249">
        <v>23</v>
      </c>
      <c r="N48" s="249">
        <v>20.200000000000003</v>
      </c>
      <c r="O48" s="249">
        <v>20.599999999999998</v>
      </c>
      <c r="P48" s="249">
        <v>20.5</v>
      </c>
      <c r="Q48" s="249">
        <v>22</v>
      </c>
      <c r="R48" s="249">
        <v>23.3</v>
      </c>
      <c r="S48" s="249">
        <v>23.1</v>
      </c>
      <c r="T48" s="249">
        <v>23.9</v>
      </c>
      <c r="U48" s="249">
        <v>23.6</v>
      </c>
      <c r="V48" s="249">
        <v>24</v>
      </c>
      <c r="W48" s="249">
        <v>24.5</v>
      </c>
      <c r="X48" s="249">
        <v>25.7</v>
      </c>
      <c r="Y48" s="249">
        <v>25.2</v>
      </c>
      <c r="Z48" s="605"/>
      <c r="AA48" s="605"/>
      <c r="AB48" s="605"/>
      <c r="AC48" s="605"/>
      <c r="AD48" s="605"/>
      <c r="AE48" s="605"/>
      <c r="AF48" s="605"/>
      <c r="AG48" s="605"/>
      <c r="AH48" s="605"/>
      <c r="AI48" s="605"/>
      <c r="AJ48" s="605"/>
      <c r="AK48" s="249"/>
      <c r="AL48" s="14"/>
      <c r="AM48" s="601">
        <v>18</v>
      </c>
      <c r="AN48" s="601">
        <v>20</v>
      </c>
      <c r="AO48" s="601">
        <v>20.8</v>
      </c>
      <c r="AP48" s="601">
        <v>23.5</v>
      </c>
      <c r="AQ48" s="601">
        <v>24.9</v>
      </c>
      <c r="AR48" s="601"/>
      <c r="AS48" s="601"/>
      <c r="AT48" s="601"/>
      <c r="AU48" s="601"/>
      <c r="AV48" s="601"/>
      <c r="AW48" s="601"/>
      <c r="AX48" s="601"/>
    </row>
    <row r="49" spans="1:50">
      <c r="A49" s="4" t="s">
        <v>624</v>
      </c>
      <c r="B49" s="249"/>
      <c r="C49" s="249"/>
      <c r="D49" s="249"/>
      <c r="E49" s="249"/>
      <c r="F49" s="249"/>
      <c r="G49" s="249"/>
      <c r="H49" s="249"/>
      <c r="I49" s="249">
        <v>18</v>
      </c>
      <c r="J49" s="249">
        <v>19.2</v>
      </c>
      <c r="K49" s="249">
        <v>20.8</v>
      </c>
      <c r="L49" s="249">
        <v>19.7</v>
      </c>
      <c r="M49" s="249">
        <v>19</v>
      </c>
      <c r="N49" s="249">
        <v>17.100000000000001</v>
      </c>
      <c r="O49" s="249">
        <v>17</v>
      </c>
      <c r="P49" s="249">
        <v>18.600000000000001</v>
      </c>
      <c r="Q49" s="249">
        <v>18</v>
      </c>
      <c r="R49" s="249">
        <v>18.2</v>
      </c>
      <c r="S49" s="249">
        <v>17.5</v>
      </c>
      <c r="T49" s="249">
        <v>18.600000000000001</v>
      </c>
      <c r="U49" s="249">
        <v>19</v>
      </c>
      <c r="V49" s="249">
        <v>20</v>
      </c>
      <c r="W49" s="249">
        <v>18.5</v>
      </c>
      <c r="X49" s="249">
        <v>18.899999999999999</v>
      </c>
      <c r="Y49" s="249">
        <v>19.100000000000001</v>
      </c>
      <c r="Z49" s="605"/>
      <c r="AA49" s="605"/>
      <c r="AB49" s="605"/>
      <c r="AC49" s="605"/>
      <c r="AD49" s="605"/>
      <c r="AE49" s="605"/>
      <c r="AF49" s="605"/>
      <c r="AG49" s="605"/>
      <c r="AH49" s="605"/>
      <c r="AI49" s="605"/>
      <c r="AJ49" s="605"/>
      <c r="AK49" s="249"/>
      <c r="AL49" s="14"/>
      <c r="AM49" s="601">
        <v>18</v>
      </c>
      <c r="AN49" s="602">
        <v>20.7</v>
      </c>
      <c r="AO49" s="601">
        <v>17.899999999999999</v>
      </c>
      <c r="AP49" s="601">
        <v>18.3</v>
      </c>
      <c r="AQ49" s="601">
        <v>19.100000000000001</v>
      </c>
      <c r="AR49" s="601"/>
      <c r="AS49" s="601"/>
      <c r="AT49" s="602"/>
      <c r="AU49" s="601"/>
      <c r="AV49" s="601"/>
      <c r="AW49" s="601"/>
      <c r="AX49" s="601"/>
    </row>
    <row r="50" spans="1:50">
      <c r="A50" s="4" t="s">
        <v>625</v>
      </c>
      <c r="B50" s="249"/>
      <c r="C50" s="249"/>
      <c r="D50" s="249"/>
      <c r="E50" s="249"/>
      <c r="F50" s="249"/>
      <c r="G50" s="249"/>
      <c r="H50" s="249"/>
      <c r="I50" s="249">
        <v>29</v>
      </c>
      <c r="J50" s="249">
        <v>28.9</v>
      </c>
      <c r="K50" s="249">
        <v>26.8</v>
      </c>
      <c r="L50" s="249">
        <v>27.700000000000003</v>
      </c>
      <c r="M50" s="249">
        <v>26</v>
      </c>
      <c r="N50" s="249">
        <v>25.900000000000002</v>
      </c>
      <c r="O50" s="249">
        <v>23.9</v>
      </c>
      <c r="P50" s="249">
        <v>24.7</v>
      </c>
      <c r="Q50" s="249">
        <v>25.3</v>
      </c>
      <c r="R50" s="249">
        <v>24.2</v>
      </c>
      <c r="S50" s="249">
        <v>25.8</v>
      </c>
      <c r="T50" s="249">
        <v>26.7</v>
      </c>
      <c r="U50" s="249">
        <v>27.7</v>
      </c>
      <c r="V50" s="249">
        <v>25.6</v>
      </c>
      <c r="W50" s="249">
        <v>26.6</v>
      </c>
      <c r="X50" s="249">
        <v>27.1</v>
      </c>
      <c r="Y50" s="249">
        <v>27.3</v>
      </c>
      <c r="Z50" s="605"/>
      <c r="AA50" s="605"/>
      <c r="AB50" s="605"/>
      <c r="AC50" s="605"/>
      <c r="AD50" s="605"/>
      <c r="AE50" s="605"/>
      <c r="AF50" s="605"/>
      <c r="AG50" s="605"/>
      <c r="AH50" s="605"/>
      <c r="AI50" s="605"/>
      <c r="AJ50" s="605"/>
      <c r="AK50" s="249"/>
      <c r="AL50" s="14"/>
      <c r="AM50" s="601">
        <v>32</v>
      </c>
      <c r="AN50" s="601">
        <v>27</v>
      </c>
      <c r="AO50" s="601">
        <v>24.8</v>
      </c>
      <c r="AP50" s="601">
        <v>26.200000000000003</v>
      </c>
      <c r="AQ50" s="601">
        <v>26.700000000000003</v>
      </c>
      <c r="AR50" s="601"/>
      <c r="AS50" s="601"/>
      <c r="AT50" s="601"/>
      <c r="AU50" s="601"/>
      <c r="AV50" s="601"/>
      <c r="AW50" s="601"/>
      <c r="AX50" s="601"/>
    </row>
    <row r="51" spans="1:50">
      <c r="A51" s="4" t="s">
        <v>626</v>
      </c>
      <c r="B51" s="249"/>
      <c r="C51" s="249"/>
      <c r="D51" s="249"/>
      <c r="E51" s="249"/>
      <c r="F51" s="249"/>
      <c r="G51" s="249"/>
      <c r="H51" s="249"/>
      <c r="I51" s="249">
        <v>2</v>
      </c>
      <c r="J51" s="249">
        <v>2.2999999999999998</v>
      </c>
      <c r="K51" s="249">
        <v>1.9</v>
      </c>
      <c r="L51" s="249">
        <v>1.5</v>
      </c>
      <c r="M51" s="249">
        <v>1</v>
      </c>
      <c r="N51" s="249">
        <v>8.3000000000000007</v>
      </c>
      <c r="O51" s="249">
        <v>11.5</v>
      </c>
      <c r="P51" s="249">
        <v>11.4</v>
      </c>
      <c r="Q51" s="249">
        <v>11.2</v>
      </c>
      <c r="R51" s="249">
        <v>11.1</v>
      </c>
      <c r="S51" s="249">
        <v>10.4</v>
      </c>
      <c r="T51" s="249">
        <v>9.1</v>
      </c>
      <c r="U51" s="249">
        <v>9</v>
      </c>
      <c r="V51" s="249">
        <v>9.5</v>
      </c>
      <c r="W51" s="249">
        <v>9.5</v>
      </c>
      <c r="X51" s="249">
        <v>9.1999999999999993</v>
      </c>
      <c r="Y51" s="249">
        <v>9.4</v>
      </c>
      <c r="Z51" s="605"/>
      <c r="AA51" s="605"/>
      <c r="AB51" s="605"/>
      <c r="AC51" s="605"/>
      <c r="AD51" s="605"/>
      <c r="AE51" s="605"/>
      <c r="AF51" s="605"/>
      <c r="AG51" s="605"/>
      <c r="AH51" s="605"/>
      <c r="AI51" s="605"/>
      <c r="AJ51" s="605"/>
      <c r="AK51" s="249"/>
      <c r="AL51" s="14"/>
      <c r="AM51" s="601">
        <v>2</v>
      </c>
      <c r="AN51" s="601">
        <v>2</v>
      </c>
      <c r="AO51" s="601">
        <v>10.7</v>
      </c>
      <c r="AP51" s="601">
        <v>9.9</v>
      </c>
      <c r="AQ51" s="601">
        <v>9.4</v>
      </c>
      <c r="AR51" s="601"/>
      <c r="AS51" s="601"/>
      <c r="AT51" s="601"/>
      <c r="AU51" s="601"/>
      <c r="AV51" s="601"/>
      <c r="AW51" s="601"/>
      <c r="AX51" s="601"/>
    </row>
    <row r="52" spans="1:50">
      <c r="A52" s="10" t="s">
        <v>279</v>
      </c>
      <c r="B52" s="255">
        <v>0</v>
      </c>
      <c r="C52" s="255">
        <f t="shared" ref="C52:O52" si="33">C46+C47+C48+C49+C50+C51</f>
        <v>0</v>
      </c>
      <c r="D52" s="255">
        <f t="shared" si="33"/>
        <v>0</v>
      </c>
      <c r="E52" s="255">
        <f t="shared" si="33"/>
        <v>0</v>
      </c>
      <c r="F52" s="255">
        <f t="shared" si="33"/>
        <v>0</v>
      </c>
      <c r="G52" s="255">
        <f t="shared" si="33"/>
        <v>0</v>
      </c>
      <c r="H52" s="255">
        <f t="shared" si="33"/>
        <v>0</v>
      </c>
      <c r="I52" s="255">
        <f t="shared" si="33"/>
        <v>100</v>
      </c>
      <c r="J52" s="255">
        <f t="shared" si="33"/>
        <v>99.999999999999986</v>
      </c>
      <c r="K52" s="255">
        <f t="shared" si="33"/>
        <v>100</v>
      </c>
      <c r="L52" s="255">
        <f t="shared" si="33"/>
        <v>100</v>
      </c>
      <c r="M52" s="255">
        <f t="shared" si="33"/>
        <v>100</v>
      </c>
      <c r="N52" s="255">
        <f t="shared" si="33"/>
        <v>100.00000000000001</v>
      </c>
      <c r="O52" s="255">
        <f t="shared" si="33"/>
        <v>100</v>
      </c>
      <c r="P52" s="255">
        <f t="shared" ref="P52:U52" si="34">P46+P47+P48+P49+P50+P51</f>
        <v>100.00000000000001</v>
      </c>
      <c r="Q52" s="255">
        <f t="shared" si="34"/>
        <v>99.9</v>
      </c>
      <c r="R52" s="255">
        <f t="shared" si="34"/>
        <v>99.9</v>
      </c>
      <c r="S52" s="255">
        <f t="shared" si="34"/>
        <v>99.9</v>
      </c>
      <c r="T52" s="255">
        <f t="shared" si="34"/>
        <v>100</v>
      </c>
      <c r="U52" s="255">
        <f t="shared" si="34"/>
        <v>99.9</v>
      </c>
      <c r="V52" s="255">
        <f t="shared" ref="V52:W52" si="35">V46+V47+V48+V49+V50+V51</f>
        <v>100</v>
      </c>
      <c r="W52" s="255">
        <f t="shared" si="35"/>
        <v>100.1</v>
      </c>
      <c r="X52" s="255">
        <f t="shared" ref="X52:Z52" si="36">X46+X47+X48+X49+X50+X51</f>
        <v>100</v>
      </c>
      <c r="Y52" s="255">
        <f t="shared" si="36"/>
        <v>100.00000000000001</v>
      </c>
      <c r="Z52" s="255">
        <f t="shared" si="36"/>
        <v>0</v>
      </c>
      <c r="AA52" s="255">
        <f t="shared" ref="AA52:AB52" si="37">AA46+AA47+AA48+AA49+AA50+AA51</f>
        <v>0</v>
      </c>
      <c r="AB52" s="255">
        <f t="shared" si="37"/>
        <v>0</v>
      </c>
      <c r="AC52" s="255">
        <f t="shared" ref="AC52:AD52" si="38">AC46+AC47+AC48+AC49+AC50+AC51</f>
        <v>0</v>
      </c>
      <c r="AD52" s="255">
        <f t="shared" si="38"/>
        <v>0</v>
      </c>
      <c r="AE52" s="255">
        <f t="shared" ref="AE52:AF52" si="39">AE46+AE47+AE48+AE49+AE50+AE51</f>
        <v>0</v>
      </c>
      <c r="AF52" s="255">
        <f t="shared" si="39"/>
        <v>0</v>
      </c>
      <c r="AG52" s="255">
        <f t="shared" ref="AG52" si="40">AG46+AG47+AG48+AG49+AG50+AG51</f>
        <v>0</v>
      </c>
      <c r="AH52" s="255"/>
      <c r="AI52" s="255"/>
      <c r="AJ52" s="255"/>
      <c r="AK52" s="274">
        <f t="shared" ref="AK52:AL52" si="41">SUM(AK49:AK51)</f>
        <v>0</v>
      </c>
      <c r="AL52" s="274">
        <f t="shared" si="41"/>
        <v>0</v>
      </c>
      <c r="AM52" s="274">
        <f>SUM(AM46:AM51)</f>
        <v>100</v>
      </c>
      <c r="AN52" s="274">
        <f>SUM(AN46:AN51)</f>
        <v>100.5</v>
      </c>
      <c r="AO52" s="274">
        <f>SUM(AO46:AO51)</f>
        <v>100</v>
      </c>
      <c r="AP52" s="274">
        <f t="shared" ref="AP52:AQ52" si="42">SUM(AP46:AP51)</f>
        <v>100.00000000000001</v>
      </c>
      <c r="AQ52" s="274">
        <f t="shared" si="42"/>
        <v>100.10000000000001</v>
      </c>
      <c r="AR52" s="274">
        <f t="shared" ref="AR52" si="43">SUM(AR46:AR51)</f>
        <v>0</v>
      </c>
      <c r="AS52" s="274">
        <f>SUM(AS46:AS51)</f>
        <v>0</v>
      </c>
      <c r="AT52" s="274"/>
      <c r="AU52" s="274"/>
      <c r="AV52" s="274"/>
      <c r="AW52" s="274"/>
      <c r="AX52" s="274"/>
    </row>
    <row r="53" spans="1:50">
      <c r="A53" s="4"/>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4"/>
      <c r="AM53" s="4"/>
      <c r="AN53" s="4"/>
      <c r="AO53" s="4"/>
      <c r="AP53" s="4"/>
      <c r="AQ53" s="4"/>
      <c r="AR53" s="4"/>
      <c r="AS53" s="4"/>
      <c r="AT53" s="4"/>
      <c r="AU53" s="4"/>
      <c r="AV53" s="4"/>
      <c r="AW53" s="4"/>
      <c r="AX53" s="4"/>
    </row>
    <row r="54" spans="1:50">
      <c r="A54" s="251" t="s">
        <v>620</v>
      </c>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52"/>
      <c r="AH54" s="252"/>
      <c r="AI54" s="252"/>
      <c r="AJ54" s="252"/>
      <c r="AK54" s="273"/>
      <c r="AL54" s="273"/>
      <c r="AM54" s="273"/>
      <c r="AN54" s="273"/>
      <c r="AO54" s="273"/>
      <c r="AP54" s="273"/>
      <c r="AQ54" s="273"/>
      <c r="AR54" s="273"/>
      <c r="AS54" s="273"/>
      <c r="AT54" s="273"/>
      <c r="AU54" s="273"/>
      <c r="AV54" s="273"/>
      <c r="AW54" s="273"/>
      <c r="AX54" s="273"/>
    </row>
    <row r="55" spans="1:50">
      <c r="A55" s="4" t="s">
        <v>621</v>
      </c>
      <c r="B55" s="249"/>
      <c r="C55" s="249"/>
      <c r="D55" s="249"/>
      <c r="E55" s="249"/>
      <c r="F55" s="249"/>
      <c r="G55" s="249"/>
      <c r="H55" s="249"/>
      <c r="I55" s="249"/>
      <c r="J55" s="249"/>
      <c r="K55" s="249"/>
      <c r="L55" s="249"/>
      <c r="M55" s="249"/>
      <c r="N55" s="249"/>
      <c r="O55" s="249"/>
      <c r="P55" s="249"/>
      <c r="Q55" s="249"/>
      <c r="R55" s="249"/>
      <c r="S55" s="249"/>
      <c r="T55" s="249"/>
      <c r="U55" s="249"/>
      <c r="V55" s="249">
        <v>35</v>
      </c>
      <c r="W55" s="249">
        <v>35.5</v>
      </c>
      <c r="X55" s="249"/>
      <c r="Y55" s="249">
        <v>35.1</v>
      </c>
      <c r="Z55" s="249">
        <v>32.1</v>
      </c>
      <c r="AA55" s="249">
        <v>42.4</v>
      </c>
      <c r="AB55" s="249">
        <v>41.9</v>
      </c>
      <c r="AC55" s="249">
        <v>44.3</v>
      </c>
      <c r="AD55" s="249">
        <v>45.9</v>
      </c>
      <c r="AE55" s="249">
        <v>46.1</v>
      </c>
      <c r="AF55" s="249">
        <v>44.4</v>
      </c>
      <c r="AG55" s="249">
        <v>45.1</v>
      </c>
      <c r="AH55" s="249"/>
      <c r="AI55" s="249"/>
      <c r="AJ55" s="249"/>
      <c r="AK55" s="249"/>
      <c r="AL55" s="14"/>
      <c r="AM55" s="601"/>
      <c r="AN55" s="602"/>
      <c r="AO55" s="601"/>
      <c r="AP55" s="601"/>
      <c r="AQ55" s="602">
        <v>35.1</v>
      </c>
      <c r="AR55" s="508">
        <v>41.3</v>
      </c>
      <c r="AS55" s="508">
        <v>44.1</v>
      </c>
      <c r="AT55" s="602"/>
      <c r="AU55" s="601"/>
      <c r="AV55" s="601"/>
      <c r="AW55" s="602"/>
      <c r="AX55" s="508"/>
    </row>
    <row r="56" spans="1:50">
      <c r="A56" s="4" t="s">
        <v>622</v>
      </c>
      <c r="B56" s="249"/>
      <c r="C56" s="249"/>
      <c r="D56" s="249"/>
      <c r="E56" s="249"/>
      <c r="F56" s="249"/>
      <c r="G56" s="249"/>
      <c r="H56" s="249"/>
      <c r="I56" s="249"/>
      <c r="J56" s="249"/>
      <c r="K56" s="249"/>
      <c r="L56" s="249"/>
      <c r="M56" s="249"/>
      <c r="N56" s="249"/>
      <c r="O56" s="249"/>
      <c r="P56" s="249"/>
      <c r="Q56" s="249"/>
      <c r="R56" s="249"/>
      <c r="S56" s="249"/>
      <c r="T56" s="249"/>
      <c r="U56" s="249"/>
      <c r="V56" s="249">
        <v>11.5</v>
      </c>
      <c r="W56" s="249">
        <v>12.1</v>
      </c>
      <c r="X56" s="249"/>
      <c r="Y56" s="249">
        <v>11.2</v>
      </c>
      <c r="Z56" s="249">
        <v>11.1</v>
      </c>
      <c r="AA56" s="249">
        <v>9.1</v>
      </c>
      <c r="AB56" s="249">
        <v>8.9</v>
      </c>
      <c r="AC56" s="249">
        <v>8.8000000000000007</v>
      </c>
      <c r="AD56" s="249">
        <v>8.4</v>
      </c>
      <c r="AE56" s="249">
        <v>7.8</v>
      </c>
      <c r="AF56" s="249">
        <v>7.8</v>
      </c>
      <c r="AG56" s="249">
        <v>8.4</v>
      </c>
      <c r="AH56" s="249"/>
      <c r="AI56" s="249"/>
      <c r="AJ56" s="249"/>
      <c r="AK56" s="249"/>
      <c r="AL56" s="14"/>
      <c r="AM56" s="601"/>
      <c r="AN56" s="602"/>
      <c r="AO56" s="601"/>
      <c r="AP56" s="601"/>
      <c r="AQ56" s="602">
        <v>11.5</v>
      </c>
      <c r="AR56" s="508">
        <v>9.1999999999999993</v>
      </c>
      <c r="AS56" s="508">
        <v>8.1999999999999993</v>
      </c>
      <c r="AT56" s="602"/>
      <c r="AU56" s="601"/>
      <c r="AV56" s="601"/>
      <c r="AW56" s="602"/>
      <c r="AX56" s="508"/>
    </row>
    <row r="57" spans="1:50">
      <c r="A57" s="4" t="s">
        <v>623</v>
      </c>
      <c r="B57" s="249"/>
      <c r="C57" s="249"/>
      <c r="D57" s="249"/>
      <c r="E57" s="249"/>
      <c r="F57" s="249"/>
      <c r="G57" s="249"/>
      <c r="H57" s="249"/>
      <c r="I57" s="249"/>
      <c r="J57" s="249"/>
      <c r="K57" s="249"/>
      <c r="L57" s="249"/>
      <c r="M57" s="249"/>
      <c r="N57" s="249"/>
      <c r="O57" s="249"/>
      <c r="P57" s="249"/>
      <c r="Q57" s="249"/>
      <c r="R57" s="249"/>
      <c r="S57" s="249"/>
      <c r="T57" s="249"/>
      <c r="U57" s="249"/>
      <c r="V57" s="249">
        <v>24</v>
      </c>
      <c r="W57" s="249">
        <v>24.5</v>
      </c>
      <c r="X57" s="249"/>
      <c r="Y57" s="249">
        <v>25.2</v>
      </c>
      <c r="Z57" s="249">
        <v>27.8</v>
      </c>
      <c r="AA57" s="249">
        <v>23.2</v>
      </c>
      <c r="AB57" s="249">
        <v>22.4</v>
      </c>
      <c r="AC57" s="249">
        <v>22.4</v>
      </c>
      <c r="AD57" s="249">
        <v>20.399999999999999</v>
      </c>
      <c r="AE57" s="249">
        <v>21.2</v>
      </c>
      <c r="AF57" s="249">
        <v>22.2</v>
      </c>
      <c r="AG57" s="249">
        <v>20.9</v>
      </c>
      <c r="AH57" s="249"/>
      <c r="AI57" s="249"/>
      <c r="AJ57" s="249"/>
      <c r="AK57" s="249"/>
      <c r="AL57" s="14"/>
      <c r="AM57" s="601"/>
      <c r="AN57" s="601"/>
      <c r="AO57" s="601"/>
      <c r="AP57" s="601"/>
      <c r="AQ57" s="602">
        <v>24.9</v>
      </c>
      <c r="AR57" s="508">
        <v>23.5</v>
      </c>
      <c r="AS57" s="508">
        <v>21.5</v>
      </c>
      <c r="AT57" s="601"/>
      <c r="AU57" s="601"/>
      <c r="AV57" s="601"/>
      <c r="AW57" s="602"/>
      <c r="AX57" s="508"/>
    </row>
    <row r="58" spans="1:50">
      <c r="A58" s="4" t="s">
        <v>624</v>
      </c>
      <c r="B58" s="249"/>
      <c r="C58" s="249"/>
      <c r="D58" s="249"/>
      <c r="E58" s="249"/>
      <c r="F58" s="249"/>
      <c r="G58" s="249"/>
      <c r="H58" s="249"/>
      <c r="I58" s="249"/>
      <c r="J58" s="249"/>
      <c r="K58" s="249"/>
      <c r="L58" s="249"/>
      <c r="M58" s="249"/>
      <c r="N58" s="249"/>
      <c r="O58" s="249"/>
      <c r="P58" s="249"/>
      <c r="Q58" s="249"/>
      <c r="R58" s="249"/>
      <c r="S58" s="249"/>
      <c r="T58" s="249"/>
      <c r="U58" s="249"/>
      <c r="V58" s="249">
        <v>20</v>
      </c>
      <c r="W58" s="249">
        <v>18.5</v>
      </c>
      <c r="X58" s="249"/>
      <c r="Y58" s="249">
        <v>19.100000000000001</v>
      </c>
      <c r="Z58" s="249">
        <v>19.7</v>
      </c>
      <c r="AA58" s="249">
        <v>17.2</v>
      </c>
      <c r="AB58" s="249">
        <v>19.100000000000001</v>
      </c>
      <c r="AC58" s="249">
        <v>16.7</v>
      </c>
      <c r="AD58" s="249">
        <v>17.899999999999999</v>
      </c>
      <c r="AE58" s="249">
        <v>17.100000000000001</v>
      </c>
      <c r="AF58" s="249">
        <v>17.7</v>
      </c>
      <c r="AG58" s="249">
        <v>17.7</v>
      </c>
      <c r="AH58" s="249"/>
      <c r="AI58" s="249"/>
      <c r="AJ58" s="249"/>
      <c r="AK58" s="249"/>
      <c r="AL58" s="14"/>
      <c r="AM58" s="601"/>
      <c r="AN58" s="602"/>
      <c r="AO58" s="601"/>
      <c r="AP58" s="601"/>
      <c r="AQ58" s="602">
        <v>19.100000000000001</v>
      </c>
      <c r="AR58" s="602">
        <v>17.899999999999999</v>
      </c>
      <c r="AS58" s="602">
        <v>18.399999999999999</v>
      </c>
      <c r="AT58" s="602"/>
      <c r="AU58" s="601"/>
      <c r="AV58" s="601"/>
      <c r="AW58" s="602"/>
      <c r="AX58" s="602"/>
    </row>
    <row r="59" spans="1:50">
      <c r="A59" s="4" t="s">
        <v>626</v>
      </c>
      <c r="B59" s="249"/>
      <c r="C59" s="249"/>
      <c r="D59" s="249"/>
      <c r="E59" s="249"/>
      <c r="F59" s="249"/>
      <c r="G59" s="249"/>
      <c r="H59" s="249"/>
      <c r="I59" s="249"/>
      <c r="J59" s="249"/>
      <c r="K59" s="249"/>
      <c r="L59" s="249"/>
      <c r="M59" s="249"/>
      <c r="N59" s="249"/>
      <c r="O59" s="249"/>
      <c r="P59" s="249"/>
      <c r="Q59" s="249"/>
      <c r="R59" s="249"/>
      <c r="S59" s="249"/>
      <c r="T59" s="249"/>
      <c r="U59" s="249"/>
      <c r="V59" s="249">
        <v>9.5</v>
      </c>
      <c r="W59" s="249">
        <v>9.5</v>
      </c>
      <c r="X59" s="249"/>
      <c r="Y59" s="249">
        <v>9.4</v>
      </c>
      <c r="Z59" s="249">
        <v>9.4</v>
      </c>
      <c r="AA59" s="249">
        <v>8.1</v>
      </c>
      <c r="AB59" s="249">
        <v>7.6</v>
      </c>
      <c r="AC59" s="249">
        <v>7.8</v>
      </c>
      <c r="AD59" s="249">
        <v>7.5</v>
      </c>
      <c r="AE59" s="249">
        <v>7.8</v>
      </c>
      <c r="AF59" s="249">
        <v>7.9</v>
      </c>
      <c r="AG59" s="249">
        <v>8</v>
      </c>
      <c r="AH59" s="249"/>
      <c r="AI59" s="249"/>
      <c r="AJ59" s="249"/>
      <c r="AK59" s="249"/>
      <c r="AL59" s="14"/>
      <c r="AM59" s="601"/>
      <c r="AN59" s="601"/>
      <c r="AO59" s="601"/>
      <c r="AP59" s="601"/>
      <c r="AQ59" s="602">
        <v>9.4</v>
      </c>
      <c r="AR59" s="602">
        <v>8.1</v>
      </c>
      <c r="AS59" s="602">
        <v>7.9</v>
      </c>
      <c r="AT59" s="601"/>
      <c r="AU59" s="601"/>
      <c r="AV59" s="601"/>
      <c r="AW59" s="602"/>
      <c r="AX59" s="602"/>
    </row>
    <row r="60" spans="1:50">
      <c r="A60" s="10" t="s">
        <v>279</v>
      </c>
      <c r="B60" s="255">
        <v>0</v>
      </c>
      <c r="C60" s="255">
        <f t="shared" ref="C60:Y60" si="44">SUM(C55:C59)</f>
        <v>0</v>
      </c>
      <c r="D60" s="255">
        <f t="shared" si="44"/>
        <v>0</v>
      </c>
      <c r="E60" s="255">
        <f t="shared" si="44"/>
        <v>0</v>
      </c>
      <c r="F60" s="255">
        <f t="shared" si="44"/>
        <v>0</v>
      </c>
      <c r="G60" s="255">
        <f t="shared" si="44"/>
        <v>0</v>
      </c>
      <c r="H60" s="255">
        <f t="shared" si="44"/>
        <v>0</v>
      </c>
      <c r="I60" s="255">
        <f t="shared" si="44"/>
        <v>0</v>
      </c>
      <c r="J60" s="255">
        <f t="shared" si="44"/>
        <v>0</v>
      </c>
      <c r="K60" s="255">
        <f t="shared" si="44"/>
        <v>0</v>
      </c>
      <c r="L60" s="255">
        <f t="shared" si="44"/>
        <v>0</v>
      </c>
      <c r="M60" s="255">
        <f t="shared" si="44"/>
        <v>0</v>
      </c>
      <c r="N60" s="255">
        <f t="shared" si="44"/>
        <v>0</v>
      </c>
      <c r="O60" s="255">
        <f t="shared" si="44"/>
        <v>0</v>
      </c>
      <c r="P60" s="255">
        <f t="shared" si="44"/>
        <v>0</v>
      </c>
      <c r="Q60" s="255">
        <f t="shared" si="44"/>
        <v>0</v>
      </c>
      <c r="R60" s="255">
        <f t="shared" si="44"/>
        <v>0</v>
      </c>
      <c r="S60" s="255">
        <f t="shared" si="44"/>
        <v>0</v>
      </c>
      <c r="T60" s="255">
        <f t="shared" si="44"/>
        <v>0</v>
      </c>
      <c r="U60" s="255">
        <f t="shared" si="44"/>
        <v>0</v>
      </c>
      <c r="V60" s="255">
        <f t="shared" si="44"/>
        <v>100</v>
      </c>
      <c r="W60" s="255">
        <f t="shared" si="44"/>
        <v>100.1</v>
      </c>
      <c r="X60" s="255">
        <f t="shared" si="44"/>
        <v>0</v>
      </c>
      <c r="Y60" s="255">
        <f t="shared" si="44"/>
        <v>100</v>
      </c>
      <c r="Z60" s="255">
        <f t="shared" ref="Z60:AE60" si="45">SUM(Z55:Z59)</f>
        <v>100.10000000000001</v>
      </c>
      <c r="AA60" s="255">
        <f t="shared" si="45"/>
        <v>100</v>
      </c>
      <c r="AB60" s="255">
        <f t="shared" si="45"/>
        <v>99.899999999999977</v>
      </c>
      <c r="AC60" s="255">
        <f t="shared" si="45"/>
        <v>100</v>
      </c>
      <c r="AD60" s="255">
        <f t="shared" si="45"/>
        <v>100.1</v>
      </c>
      <c r="AE60" s="255">
        <f t="shared" si="45"/>
        <v>99.999999999999986</v>
      </c>
      <c r="AF60" s="255">
        <f t="shared" ref="AF60:AG60" si="46">SUM(AF55:AF59)</f>
        <v>100</v>
      </c>
      <c r="AG60" s="255">
        <f t="shared" si="46"/>
        <v>100.10000000000001</v>
      </c>
      <c r="AH60" s="255"/>
      <c r="AI60" s="255"/>
      <c r="AJ60" s="255"/>
      <c r="AK60" s="255">
        <f t="shared" ref="AK60:AQ60" si="47">SUM(AK55:AK59)</f>
        <v>0</v>
      </c>
      <c r="AL60" s="255">
        <f t="shared" si="47"/>
        <v>0</v>
      </c>
      <c r="AM60" s="255">
        <f t="shared" si="47"/>
        <v>0</v>
      </c>
      <c r="AN60" s="255">
        <f t="shared" si="47"/>
        <v>0</v>
      </c>
      <c r="AO60" s="255">
        <f t="shared" si="47"/>
        <v>0</v>
      </c>
      <c r="AP60" s="255">
        <f t="shared" si="47"/>
        <v>0</v>
      </c>
      <c r="AQ60" s="255">
        <f t="shared" si="47"/>
        <v>100</v>
      </c>
      <c r="AR60" s="255">
        <f t="shared" ref="AR60:AS60" si="48">SUM(AR55:AR59)</f>
        <v>100</v>
      </c>
      <c r="AS60" s="255">
        <f t="shared" si="48"/>
        <v>100.1</v>
      </c>
      <c r="AT60" s="255"/>
      <c r="AU60" s="255"/>
      <c r="AV60" s="255"/>
      <c r="AW60" s="255"/>
      <c r="AX60" s="255"/>
    </row>
    <row r="61" spans="1:50">
      <c r="A61" s="4"/>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4"/>
      <c r="AM61" s="4"/>
      <c r="AN61" s="4"/>
      <c r="AO61" s="4"/>
      <c r="AP61" s="4"/>
      <c r="AQ61" s="4"/>
      <c r="AR61" s="4"/>
      <c r="AS61" s="4"/>
      <c r="AT61" s="4"/>
      <c r="AU61" s="4"/>
      <c r="AV61" s="4"/>
      <c r="AW61" s="4"/>
      <c r="AX61" s="4"/>
    </row>
    <row r="62" spans="1:50">
      <c r="A62" s="251" t="s">
        <v>627</v>
      </c>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73"/>
      <c r="AL62" s="273"/>
      <c r="AM62" s="273"/>
      <c r="AN62" s="273"/>
      <c r="AO62" s="273"/>
      <c r="AP62" s="273"/>
      <c r="AQ62" s="273"/>
      <c r="AR62" s="273"/>
      <c r="AS62" s="273"/>
      <c r="AT62" s="273"/>
      <c r="AU62" s="273"/>
      <c r="AV62" s="273"/>
      <c r="AW62" s="273"/>
      <c r="AX62" s="273"/>
    </row>
    <row r="63" spans="1:50">
      <c r="A63" s="4" t="s">
        <v>309</v>
      </c>
      <c r="B63" s="249"/>
      <c r="C63" s="249"/>
      <c r="D63" s="249"/>
      <c r="E63" s="249">
        <v>66</v>
      </c>
      <c r="F63" s="249">
        <v>66</v>
      </c>
      <c r="G63" s="249">
        <v>66</v>
      </c>
      <c r="H63" s="249">
        <v>64</v>
      </c>
      <c r="I63" s="249">
        <v>64</v>
      </c>
      <c r="J63" s="249">
        <v>61.7</v>
      </c>
      <c r="K63" s="249">
        <v>64</v>
      </c>
      <c r="L63" s="249">
        <v>62</v>
      </c>
      <c r="M63" s="249">
        <v>60.8</v>
      </c>
      <c r="N63" s="249">
        <v>60</v>
      </c>
      <c r="O63" s="249">
        <v>56.000000000000007</v>
      </c>
      <c r="P63" s="249">
        <v>54</v>
      </c>
      <c r="Q63" s="249">
        <v>53</v>
      </c>
      <c r="R63" s="249">
        <v>52</v>
      </c>
      <c r="S63" s="249">
        <v>50.2</v>
      </c>
      <c r="T63" s="249">
        <v>49.5</v>
      </c>
      <c r="U63" s="249">
        <v>49.3</v>
      </c>
      <c r="V63" s="249">
        <v>49</v>
      </c>
      <c r="W63" s="249">
        <v>48</v>
      </c>
      <c r="X63" s="249">
        <v>47.8</v>
      </c>
      <c r="Y63" s="249">
        <v>47.5</v>
      </c>
      <c r="Z63" s="249">
        <v>47.6</v>
      </c>
      <c r="AA63" s="249">
        <v>46.2</v>
      </c>
      <c r="AB63" s="372">
        <v>46.9</v>
      </c>
      <c r="AC63" s="372">
        <v>46.1</v>
      </c>
      <c r="AD63" s="372">
        <v>47.7</v>
      </c>
      <c r="AE63" s="372">
        <v>47.7</v>
      </c>
      <c r="AF63" s="372">
        <v>47.2</v>
      </c>
      <c r="AG63" s="372">
        <v>47.6</v>
      </c>
      <c r="AH63" s="372"/>
      <c r="AI63" s="372"/>
      <c r="AJ63" s="372"/>
      <c r="AK63" s="262">
        <v>61</v>
      </c>
      <c r="AL63" s="262">
        <v>65</v>
      </c>
      <c r="AM63" s="262">
        <v>64</v>
      </c>
      <c r="AN63" s="262">
        <v>62</v>
      </c>
      <c r="AO63" s="262">
        <v>56</v>
      </c>
      <c r="AP63" s="262">
        <v>50.1</v>
      </c>
      <c r="AQ63" s="262">
        <v>48.3</v>
      </c>
      <c r="AR63" s="262">
        <v>46.8</v>
      </c>
      <c r="AS63" s="262">
        <v>47.6</v>
      </c>
      <c r="AT63" s="262"/>
      <c r="AU63" s="262"/>
      <c r="AV63" s="262"/>
      <c r="AW63" s="262"/>
      <c r="AX63" s="262"/>
    </row>
    <row r="64" spans="1:50">
      <c r="A64" s="4" t="s">
        <v>310</v>
      </c>
      <c r="B64" s="249"/>
      <c r="C64" s="249"/>
      <c r="D64" s="249"/>
      <c r="E64" s="249">
        <v>34</v>
      </c>
      <c r="F64" s="249">
        <v>34</v>
      </c>
      <c r="G64" s="249">
        <v>34</v>
      </c>
      <c r="H64" s="249">
        <v>36</v>
      </c>
      <c r="I64" s="249">
        <v>36</v>
      </c>
      <c r="J64" s="249">
        <v>38.299999999999997</v>
      </c>
      <c r="K64" s="249">
        <v>36</v>
      </c>
      <c r="L64" s="249">
        <v>38</v>
      </c>
      <c r="M64" s="249">
        <v>39.200000000000003</v>
      </c>
      <c r="N64" s="249">
        <v>40</v>
      </c>
      <c r="O64" s="249">
        <v>44</v>
      </c>
      <c r="P64" s="249">
        <v>46</v>
      </c>
      <c r="Q64" s="249">
        <v>47</v>
      </c>
      <c r="R64" s="249">
        <v>48</v>
      </c>
      <c r="S64" s="249">
        <v>49.8</v>
      </c>
      <c r="T64" s="249">
        <v>50.5</v>
      </c>
      <c r="U64" s="249">
        <v>50.7</v>
      </c>
      <c r="V64" s="249">
        <v>51</v>
      </c>
      <c r="W64" s="249">
        <v>52</v>
      </c>
      <c r="X64" s="249">
        <v>52.2</v>
      </c>
      <c r="Y64" s="249">
        <v>52.5</v>
      </c>
      <c r="Z64" s="249">
        <v>52.4</v>
      </c>
      <c r="AA64" s="249">
        <v>53.8</v>
      </c>
      <c r="AB64" s="249">
        <v>53.1</v>
      </c>
      <c r="AC64" s="249">
        <v>53.9</v>
      </c>
      <c r="AD64" s="249">
        <v>52.3</v>
      </c>
      <c r="AE64" s="249">
        <v>52.3</v>
      </c>
      <c r="AF64" s="249">
        <v>52.8</v>
      </c>
      <c r="AG64" s="249">
        <v>52.4</v>
      </c>
      <c r="AH64" s="249"/>
      <c r="AI64" s="249"/>
      <c r="AJ64" s="249"/>
      <c r="AK64" s="262">
        <v>39</v>
      </c>
      <c r="AL64" s="262">
        <v>35</v>
      </c>
      <c r="AM64" s="262">
        <v>36</v>
      </c>
      <c r="AN64" s="509">
        <v>38</v>
      </c>
      <c r="AO64" s="509">
        <v>44</v>
      </c>
      <c r="AP64" s="509">
        <v>49.9</v>
      </c>
      <c r="AQ64" s="509">
        <v>51.7</v>
      </c>
      <c r="AR64" s="509">
        <v>53.2</v>
      </c>
      <c r="AS64" s="509">
        <v>52.4</v>
      </c>
      <c r="AT64" s="509"/>
      <c r="AU64" s="509"/>
      <c r="AV64" s="509"/>
      <c r="AW64" s="509"/>
      <c r="AX64" s="509"/>
    </row>
    <row r="65" spans="1:50">
      <c r="A65" s="10" t="s">
        <v>279</v>
      </c>
      <c r="B65" s="255">
        <v>0</v>
      </c>
      <c r="C65" s="255">
        <f t="shared" ref="C65:T65" si="49">SUM(C63:C64)</f>
        <v>0</v>
      </c>
      <c r="D65" s="255">
        <f t="shared" si="49"/>
        <v>0</v>
      </c>
      <c r="E65" s="255">
        <f t="shared" si="49"/>
        <v>100</v>
      </c>
      <c r="F65" s="255">
        <f t="shared" si="49"/>
        <v>100</v>
      </c>
      <c r="G65" s="255">
        <f t="shared" si="49"/>
        <v>100</v>
      </c>
      <c r="H65" s="255">
        <f t="shared" si="49"/>
        <v>100</v>
      </c>
      <c r="I65" s="255">
        <f t="shared" si="49"/>
        <v>100</v>
      </c>
      <c r="J65" s="255">
        <f t="shared" si="49"/>
        <v>100</v>
      </c>
      <c r="K65" s="255">
        <f t="shared" si="49"/>
        <v>100</v>
      </c>
      <c r="L65" s="255">
        <f t="shared" si="49"/>
        <v>100</v>
      </c>
      <c r="M65" s="255">
        <f t="shared" si="49"/>
        <v>100</v>
      </c>
      <c r="N65" s="255">
        <f t="shared" si="49"/>
        <v>100</v>
      </c>
      <c r="O65" s="255">
        <f t="shared" si="49"/>
        <v>100</v>
      </c>
      <c r="P65" s="255">
        <f t="shared" si="49"/>
        <v>100</v>
      </c>
      <c r="Q65" s="255">
        <f t="shared" si="49"/>
        <v>100</v>
      </c>
      <c r="R65" s="255">
        <f t="shared" si="49"/>
        <v>100</v>
      </c>
      <c r="S65" s="255">
        <f t="shared" si="49"/>
        <v>100</v>
      </c>
      <c r="T65" s="255">
        <f t="shared" si="49"/>
        <v>100</v>
      </c>
      <c r="U65" s="255">
        <f t="shared" ref="U65:V65" si="50">SUM(U63:U64)</f>
        <v>100</v>
      </c>
      <c r="V65" s="255">
        <f t="shared" si="50"/>
        <v>100</v>
      </c>
      <c r="W65" s="255">
        <f t="shared" ref="W65:X65" si="51">SUM(W63:W64)</f>
        <v>100</v>
      </c>
      <c r="X65" s="255">
        <f t="shared" si="51"/>
        <v>100</v>
      </c>
      <c r="Y65" s="255">
        <f t="shared" ref="Y65:Z65" si="52">SUM(Y63:Y64)</f>
        <v>100</v>
      </c>
      <c r="Z65" s="255">
        <f t="shared" si="52"/>
        <v>100</v>
      </c>
      <c r="AA65" s="255">
        <f t="shared" ref="AA65:AB65" si="53">SUM(AA63:AA64)</f>
        <v>100</v>
      </c>
      <c r="AB65" s="255">
        <f t="shared" si="53"/>
        <v>100</v>
      </c>
      <c r="AC65" s="255">
        <f t="shared" ref="AC65:AD65" si="54">SUM(AC63:AC64)</f>
        <v>100</v>
      </c>
      <c r="AD65" s="255">
        <f t="shared" si="54"/>
        <v>100</v>
      </c>
      <c r="AE65" s="255">
        <f t="shared" ref="AE65:AF65" si="55">SUM(AE63:AE64)</f>
        <v>100</v>
      </c>
      <c r="AF65" s="255">
        <f t="shared" si="55"/>
        <v>100</v>
      </c>
      <c r="AG65" s="255">
        <f t="shared" ref="AG65" si="56">SUM(AG63:AG64)</f>
        <v>100</v>
      </c>
      <c r="AH65" s="255"/>
      <c r="AI65" s="255"/>
      <c r="AJ65" s="255"/>
      <c r="AK65" s="274">
        <f t="shared" ref="AK65:AQ65" si="57">SUM(AK63:AK64)</f>
        <v>100</v>
      </c>
      <c r="AL65" s="274">
        <f t="shared" si="57"/>
        <v>100</v>
      </c>
      <c r="AM65" s="274">
        <f t="shared" si="57"/>
        <v>100</v>
      </c>
      <c r="AN65" s="274">
        <f t="shared" si="57"/>
        <v>100</v>
      </c>
      <c r="AO65" s="274">
        <f t="shared" si="57"/>
        <v>100</v>
      </c>
      <c r="AP65" s="274">
        <f t="shared" si="57"/>
        <v>100</v>
      </c>
      <c r="AQ65" s="274">
        <f t="shared" si="57"/>
        <v>100</v>
      </c>
      <c r="AR65" s="274">
        <f t="shared" ref="AR65:AS65" si="58">SUM(AR63:AR64)</f>
        <v>100</v>
      </c>
      <c r="AS65" s="274">
        <f t="shared" si="58"/>
        <v>100</v>
      </c>
      <c r="AT65" s="274"/>
      <c r="AU65" s="274"/>
      <c r="AV65" s="274"/>
      <c r="AW65" s="274"/>
      <c r="AX65" s="274"/>
    </row>
    <row r="66" spans="1:50" ht="15.75" customHeight="1">
      <c r="A66" s="6"/>
      <c r="B66" s="257"/>
      <c r="C66" s="257"/>
      <c r="D66" s="257"/>
      <c r="E66" s="257"/>
      <c r="F66" s="257"/>
      <c r="G66" s="257"/>
      <c r="H66" s="257"/>
      <c r="I66" s="257"/>
      <c r="J66" s="257"/>
      <c r="K66" s="257"/>
      <c r="L66" s="257"/>
      <c r="M66" s="257"/>
      <c r="N66" s="257"/>
      <c r="O66" s="257"/>
      <c r="P66" s="257"/>
      <c r="Q66" s="257"/>
      <c r="R66" s="257"/>
      <c r="S66" s="257"/>
      <c r="T66" s="257"/>
      <c r="U66" s="257"/>
      <c r="V66" s="257"/>
      <c r="W66" s="257"/>
      <c r="X66" s="257"/>
      <c r="Y66" s="257"/>
      <c r="Z66" s="257"/>
      <c r="AA66" s="257"/>
      <c r="AB66" s="257"/>
      <c r="AC66" s="257"/>
      <c r="AD66" s="257"/>
      <c r="AE66" s="257"/>
      <c r="AF66" s="257"/>
      <c r="AG66" s="257"/>
      <c r="AH66" s="257"/>
      <c r="AI66" s="257"/>
      <c r="AJ66" s="257"/>
      <c r="AK66" s="257"/>
      <c r="AL66" s="4"/>
      <c r="AM66" s="4"/>
      <c r="AN66" s="4"/>
      <c r="AO66" s="4"/>
      <c r="AP66" s="4"/>
      <c r="AQ66" s="4"/>
      <c r="AR66" s="4"/>
      <c r="AS66" s="4"/>
      <c r="AT66" s="4"/>
      <c r="AU66" s="4"/>
      <c r="AV66" s="4"/>
      <c r="AW66" s="4"/>
      <c r="AX66" s="4"/>
    </row>
    <row r="67" spans="1:50">
      <c r="A67" s="251" t="s">
        <v>628</v>
      </c>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c r="AA67" s="252"/>
      <c r="AB67" s="252"/>
      <c r="AC67" s="252"/>
      <c r="AD67" s="252"/>
      <c r="AE67" s="252"/>
      <c r="AF67" s="252"/>
      <c r="AG67" s="252"/>
      <c r="AH67" s="252"/>
      <c r="AI67" s="252"/>
      <c r="AJ67" s="252"/>
      <c r="AK67" s="273"/>
      <c r="AL67" s="273"/>
      <c r="AM67" s="273"/>
      <c r="AN67" s="273"/>
      <c r="AO67" s="273"/>
      <c r="AP67" s="273"/>
      <c r="AQ67" s="273"/>
      <c r="AR67" s="273"/>
      <c r="AS67" s="273"/>
      <c r="AT67" s="273"/>
      <c r="AU67" s="273"/>
      <c r="AV67" s="273"/>
      <c r="AW67" s="273"/>
      <c r="AX67" s="273"/>
    </row>
    <row r="68" spans="1:50">
      <c r="A68" s="4" t="s">
        <v>629</v>
      </c>
      <c r="B68" s="249"/>
      <c r="C68" s="249"/>
      <c r="D68" s="249"/>
      <c r="E68" s="249">
        <v>47</v>
      </c>
      <c r="F68" s="249">
        <v>48</v>
      </c>
      <c r="G68" s="249">
        <v>46</v>
      </c>
      <c r="H68" s="249">
        <v>46</v>
      </c>
      <c r="I68" s="249">
        <v>51</v>
      </c>
      <c r="J68" s="249">
        <v>52.4</v>
      </c>
      <c r="K68" s="249">
        <v>53</v>
      </c>
      <c r="L68" s="249">
        <v>55.000000000000007</v>
      </c>
      <c r="M68" s="249">
        <v>54.2</v>
      </c>
      <c r="N68" s="249">
        <v>55</v>
      </c>
      <c r="O68" s="249">
        <v>53.5</v>
      </c>
      <c r="P68" s="249">
        <v>53.900000000000006</v>
      </c>
      <c r="Q68" s="249">
        <v>53.1</v>
      </c>
      <c r="R68" s="249">
        <v>51.9</v>
      </c>
      <c r="S68" s="249">
        <v>49.8</v>
      </c>
      <c r="T68" s="249">
        <v>50.4</v>
      </c>
      <c r="U68" s="249">
        <v>50.2</v>
      </c>
      <c r="V68" s="249">
        <v>48.9</v>
      </c>
      <c r="W68" s="249">
        <v>49.3</v>
      </c>
      <c r="X68" s="249">
        <v>51</v>
      </c>
      <c r="Y68" s="249">
        <v>51.5</v>
      </c>
      <c r="Z68" s="249">
        <v>50.8</v>
      </c>
      <c r="AA68" s="249">
        <v>42.5</v>
      </c>
      <c r="AB68" s="249">
        <v>45.4</v>
      </c>
      <c r="AC68" s="249">
        <v>46.7</v>
      </c>
      <c r="AD68" s="249">
        <v>46.7</v>
      </c>
      <c r="AE68" s="249">
        <v>45.9</v>
      </c>
      <c r="AF68" s="249">
        <v>46.9</v>
      </c>
      <c r="AG68" s="249">
        <v>46.3</v>
      </c>
      <c r="AH68" s="249"/>
      <c r="AI68" s="249"/>
      <c r="AJ68" s="249"/>
      <c r="AK68" s="262">
        <v>46</v>
      </c>
      <c r="AL68" s="262">
        <v>47</v>
      </c>
      <c r="AM68" s="262">
        <v>48</v>
      </c>
      <c r="AN68" s="262">
        <v>54</v>
      </c>
      <c r="AO68" s="262">
        <v>54</v>
      </c>
      <c r="AP68" s="262">
        <v>52</v>
      </c>
      <c r="AQ68" s="262">
        <v>50.4</v>
      </c>
      <c r="AR68" s="262">
        <v>46.2</v>
      </c>
      <c r="AS68" s="262">
        <v>46.9</v>
      </c>
      <c r="AT68" s="262"/>
      <c r="AU68" s="262"/>
      <c r="AV68" s="262"/>
      <c r="AW68" s="262"/>
      <c r="AX68" s="262"/>
    </row>
    <row r="69" spans="1:50">
      <c r="A69" s="4" t="s">
        <v>630</v>
      </c>
      <c r="B69" s="249"/>
      <c r="C69" s="249"/>
      <c r="D69" s="249"/>
      <c r="E69" s="249">
        <v>53</v>
      </c>
      <c r="F69" s="249">
        <v>52</v>
      </c>
      <c r="G69" s="249">
        <v>54</v>
      </c>
      <c r="H69" s="249">
        <v>54</v>
      </c>
      <c r="I69" s="249">
        <v>49</v>
      </c>
      <c r="J69" s="249">
        <v>47.6</v>
      </c>
      <c r="K69" s="249">
        <v>47</v>
      </c>
      <c r="L69" s="249">
        <v>45</v>
      </c>
      <c r="M69" s="249">
        <v>45.8</v>
      </c>
      <c r="N69" s="249">
        <v>45</v>
      </c>
      <c r="O69" s="249">
        <v>46.5</v>
      </c>
      <c r="P69" s="249">
        <v>46.1</v>
      </c>
      <c r="Q69" s="249">
        <v>46.9</v>
      </c>
      <c r="R69" s="249">
        <v>48.1</v>
      </c>
      <c r="S69" s="249">
        <v>50.2</v>
      </c>
      <c r="T69" s="249">
        <v>49.6</v>
      </c>
      <c r="U69" s="249">
        <v>49.8</v>
      </c>
      <c r="V69" s="249">
        <v>51.1</v>
      </c>
      <c r="W69" s="249">
        <v>50.7</v>
      </c>
      <c r="X69" s="249">
        <v>49</v>
      </c>
      <c r="Y69" s="249">
        <v>48.5</v>
      </c>
      <c r="Z69" s="249">
        <v>49.2</v>
      </c>
      <c r="AA69" s="249">
        <v>57.5</v>
      </c>
      <c r="AB69" s="249">
        <v>54.6</v>
      </c>
      <c r="AC69" s="249">
        <v>53.3</v>
      </c>
      <c r="AD69" s="249">
        <v>53.3</v>
      </c>
      <c r="AE69" s="249">
        <v>54.1</v>
      </c>
      <c r="AF69" s="249">
        <v>53.1</v>
      </c>
      <c r="AG69" s="249">
        <v>53.7</v>
      </c>
      <c r="AH69" s="249"/>
      <c r="AI69" s="249"/>
      <c r="AJ69" s="249"/>
      <c r="AK69" s="262">
        <v>54</v>
      </c>
      <c r="AL69" s="262">
        <v>53</v>
      </c>
      <c r="AM69" s="262">
        <v>52</v>
      </c>
      <c r="AN69" s="262">
        <v>46</v>
      </c>
      <c r="AO69" s="262">
        <v>46</v>
      </c>
      <c r="AP69" s="262">
        <v>48</v>
      </c>
      <c r="AQ69" s="262">
        <v>49.6</v>
      </c>
      <c r="AR69" s="262">
        <v>53.8</v>
      </c>
      <c r="AS69" s="262">
        <v>53.1</v>
      </c>
      <c r="AT69" s="262"/>
      <c r="AU69" s="262"/>
      <c r="AV69" s="262"/>
      <c r="AW69" s="262"/>
      <c r="AX69" s="262"/>
    </row>
    <row r="70" spans="1:50">
      <c r="A70" s="10" t="s">
        <v>279</v>
      </c>
      <c r="B70" s="255">
        <v>0</v>
      </c>
      <c r="C70" s="255">
        <f t="shared" ref="C70:V70" si="59">SUM(C68:C69)</f>
        <v>0</v>
      </c>
      <c r="D70" s="255">
        <f t="shared" si="59"/>
        <v>0</v>
      </c>
      <c r="E70" s="255">
        <f t="shared" si="59"/>
        <v>100</v>
      </c>
      <c r="F70" s="255">
        <f t="shared" si="59"/>
        <v>100</v>
      </c>
      <c r="G70" s="255">
        <f t="shared" si="59"/>
        <v>100</v>
      </c>
      <c r="H70" s="255">
        <f t="shared" si="59"/>
        <v>100</v>
      </c>
      <c r="I70" s="255">
        <f t="shared" si="59"/>
        <v>100</v>
      </c>
      <c r="J70" s="255">
        <f t="shared" si="59"/>
        <v>100</v>
      </c>
      <c r="K70" s="255">
        <f t="shared" si="59"/>
        <v>100</v>
      </c>
      <c r="L70" s="255">
        <f t="shared" si="59"/>
        <v>100</v>
      </c>
      <c r="M70" s="255">
        <f t="shared" si="59"/>
        <v>100</v>
      </c>
      <c r="N70" s="255">
        <f t="shared" si="59"/>
        <v>100</v>
      </c>
      <c r="O70" s="255">
        <f t="shared" si="59"/>
        <v>100</v>
      </c>
      <c r="P70" s="255">
        <f t="shared" si="59"/>
        <v>100</v>
      </c>
      <c r="Q70" s="255">
        <f t="shared" si="59"/>
        <v>100</v>
      </c>
      <c r="R70" s="255">
        <f t="shared" si="59"/>
        <v>100</v>
      </c>
      <c r="S70" s="255">
        <f t="shared" si="59"/>
        <v>100</v>
      </c>
      <c r="T70" s="255">
        <f t="shared" si="59"/>
        <v>100</v>
      </c>
      <c r="U70" s="255">
        <f t="shared" si="59"/>
        <v>100</v>
      </c>
      <c r="V70" s="255">
        <f t="shared" si="59"/>
        <v>100</v>
      </c>
      <c r="W70" s="255">
        <f t="shared" ref="W70:X70" si="60">SUM(W68:W69)</f>
        <v>100</v>
      </c>
      <c r="X70" s="255">
        <f t="shared" si="60"/>
        <v>100</v>
      </c>
      <c r="Y70" s="255">
        <f t="shared" ref="Y70:Z70" si="61">SUM(Y68:Y69)</f>
        <v>100</v>
      </c>
      <c r="Z70" s="255">
        <f t="shared" si="61"/>
        <v>100</v>
      </c>
      <c r="AA70" s="255">
        <f t="shared" ref="AA70:AB70" si="62">SUM(AA68:AA69)</f>
        <v>100</v>
      </c>
      <c r="AB70" s="255">
        <f t="shared" si="62"/>
        <v>100</v>
      </c>
      <c r="AC70" s="255">
        <f t="shared" ref="AC70:AD70" si="63">SUM(AC68:AC69)</f>
        <v>100</v>
      </c>
      <c r="AD70" s="255">
        <f t="shared" si="63"/>
        <v>100</v>
      </c>
      <c r="AE70" s="255">
        <f t="shared" ref="AE70:AF70" si="64">SUM(AE68:AE69)</f>
        <v>100</v>
      </c>
      <c r="AF70" s="255">
        <f t="shared" si="64"/>
        <v>100</v>
      </c>
      <c r="AG70" s="255">
        <f t="shared" ref="AG70" si="65">SUM(AG68:AG69)</f>
        <v>100</v>
      </c>
      <c r="AH70" s="255"/>
      <c r="AI70" s="255"/>
      <c r="AJ70" s="255"/>
      <c r="AK70" s="274"/>
      <c r="AL70" s="274"/>
      <c r="AM70" s="274"/>
      <c r="AN70" s="274"/>
      <c r="AO70" s="274"/>
      <c r="AP70" s="274"/>
      <c r="AQ70" s="274">
        <f t="shared" ref="AQ70:AS70" si="66">SUM(AQ68:AQ69)</f>
        <v>100</v>
      </c>
      <c r="AR70" s="274">
        <f t="shared" si="66"/>
        <v>100</v>
      </c>
      <c r="AS70" s="274">
        <f t="shared" si="66"/>
        <v>100</v>
      </c>
      <c r="AT70" s="274"/>
      <c r="AU70" s="274"/>
      <c r="AV70" s="274"/>
      <c r="AW70" s="274"/>
      <c r="AX70" s="274"/>
    </row>
    <row r="71" spans="1:50">
      <c r="A71" s="4"/>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257"/>
      <c r="AL71" s="4"/>
      <c r="AM71" s="4"/>
      <c r="AN71" s="4"/>
      <c r="AO71" s="4"/>
      <c r="AP71" s="4"/>
      <c r="AQ71" s="4"/>
      <c r="AR71" s="4"/>
      <c r="AS71" s="4"/>
      <c r="AT71" s="4"/>
      <c r="AU71" s="4"/>
      <c r="AV71" s="4"/>
      <c r="AW71" s="4"/>
      <c r="AX71" s="4"/>
    </row>
    <row r="72" spans="1:50">
      <c r="A72" s="251" t="s">
        <v>631</v>
      </c>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c r="AA72" s="252"/>
      <c r="AB72" s="252"/>
      <c r="AC72" s="252"/>
      <c r="AD72" s="252"/>
      <c r="AE72" s="252"/>
      <c r="AF72" s="252"/>
      <c r="AG72" s="252"/>
      <c r="AH72" s="252"/>
      <c r="AI72" s="252"/>
      <c r="AJ72" s="252"/>
      <c r="AK72" s="273"/>
      <c r="AL72" s="273"/>
      <c r="AM72" s="273"/>
      <c r="AN72" s="273"/>
      <c r="AO72" s="273"/>
      <c r="AP72" s="273"/>
      <c r="AQ72" s="273"/>
      <c r="AR72" s="273"/>
      <c r="AS72" s="273"/>
      <c r="AT72" s="273"/>
      <c r="AU72" s="273"/>
      <c r="AV72" s="273"/>
      <c r="AW72" s="273"/>
      <c r="AX72" s="273"/>
    </row>
    <row r="73" spans="1:50">
      <c r="A73" s="4" t="s">
        <v>360</v>
      </c>
      <c r="B73" s="13">
        <v>34.381664691943129</v>
      </c>
      <c r="C73" s="13">
        <f t="shared" ref="C73:Z73" si="67">C$4*(C29/100)</f>
        <v>35.876755070202805</v>
      </c>
      <c r="D73" s="13">
        <f t="shared" si="67"/>
        <v>38.720346078704992</v>
      </c>
      <c r="E73" s="13">
        <f t="shared" si="67"/>
        <v>37.663394919168596</v>
      </c>
      <c r="F73" s="13">
        <f t="shared" si="67"/>
        <v>40.629635036496353</v>
      </c>
      <c r="G73" s="13">
        <f t="shared" si="67"/>
        <v>45.56113784319276</v>
      </c>
      <c r="H73" s="13">
        <f t="shared" si="67"/>
        <v>45.374101733126672</v>
      </c>
      <c r="I73" s="13">
        <f t="shared" si="67"/>
        <v>47.988138431482</v>
      </c>
      <c r="J73" s="13">
        <f t="shared" si="67"/>
        <v>46.167000000000002</v>
      </c>
      <c r="K73" s="13">
        <f t="shared" si="67"/>
        <v>53.130700000000004</v>
      </c>
      <c r="L73" s="13">
        <f t="shared" si="67"/>
        <v>50.652000000000001</v>
      </c>
      <c r="M73" s="13">
        <f t="shared" si="67"/>
        <v>53.6952</v>
      </c>
      <c r="N73" s="13">
        <f t="shared" si="67"/>
        <v>61.507599999999996</v>
      </c>
      <c r="O73" s="13">
        <f t="shared" si="67"/>
        <v>62.137599999999999</v>
      </c>
      <c r="P73" s="13">
        <f t="shared" si="67"/>
        <v>61.604800000000004</v>
      </c>
      <c r="Q73" s="13">
        <f t="shared" si="67"/>
        <v>59.726800000000004</v>
      </c>
      <c r="R73" s="13">
        <f t="shared" si="67"/>
        <v>55.139699999999998</v>
      </c>
      <c r="S73" s="13">
        <f t="shared" si="67"/>
        <v>57.280799999999999</v>
      </c>
      <c r="T73" s="13">
        <f t="shared" si="67"/>
        <v>55.625699999999995</v>
      </c>
      <c r="U73" s="13">
        <f t="shared" si="67"/>
        <v>58.696799999999996</v>
      </c>
      <c r="V73" s="13">
        <f t="shared" si="67"/>
        <v>61.426800000000007</v>
      </c>
      <c r="W73" s="13">
        <f t="shared" si="67"/>
        <v>62.850600000000007</v>
      </c>
      <c r="X73" s="13">
        <f t="shared" si="67"/>
        <v>62.04</v>
      </c>
      <c r="Y73" s="13">
        <f t="shared" si="67"/>
        <v>60.674400000000006</v>
      </c>
      <c r="Z73" s="13">
        <f t="shared" si="67"/>
        <v>57.28</v>
      </c>
      <c r="AA73" s="13">
        <f t="shared" ref="AA73:AF73" si="68">AA$4*(AA29/100)</f>
        <v>69.734100000000012</v>
      </c>
      <c r="AB73" s="13">
        <f t="shared" si="68"/>
        <v>67.5565</v>
      </c>
      <c r="AC73" s="13">
        <f t="shared" si="68"/>
        <v>67.788000000000011</v>
      </c>
      <c r="AD73" s="13">
        <f t="shared" si="68"/>
        <v>68.572000000000003</v>
      </c>
      <c r="AE73" s="13">
        <f t="shared" si="68"/>
        <v>69.777100000000004</v>
      </c>
      <c r="AF73" s="13">
        <f t="shared" si="68"/>
        <v>71.173200000000008</v>
      </c>
      <c r="AG73" s="13">
        <f t="shared" ref="AG73" si="69">AG$4*(AG29/100)</f>
        <v>72.386800000000008</v>
      </c>
      <c r="AH73" s="13"/>
      <c r="AI73" s="13"/>
      <c r="AJ73" s="13"/>
      <c r="AK73" s="13">
        <f t="shared" ref="AK73:AQ73" si="70">AK$4*(AK29/100)</f>
        <v>118.3</v>
      </c>
      <c r="AL73" s="13">
        <f t="shared" si="70"/>
        <v>152.82999999999998</v>
      </c>
      <c r="AM73" s="13">
        <f t="shared" si="70"/>
        <v>177.65094339622644</v>
      </c>
      <c r="AN73" s="13">
        <f t="shared" si="70"/>
        <v>200.86400000000003</v>
      </c>
      <c r="AO73" s="13">
        <f t="shared" si="70"/>
        <v>245.21950000000004</v>
      </c>
      <c r="AP73" s="13">
        <f t="shared" si="70"/>
        <v>226.38419999999999</v>
      </c>
      <c r="AQ73" s="13">
        <f t="shared" si="70"/>
        <v>244.0446</v>
      </c>
      <c r="AR73" s="13">
        <f t="shared" ref="AR73:AS73" si="71">AR$4*(AR29/100)</f>
        <v>267.88</v>
      </c>
      <c r="AS73" s="13">
        <f t="shared" si="71"/>
        <v>370.5</v>
      </c>
      <c r="AT73" s="16" t="e">
        <f>(AS73/#REF!)^(1/9)-1</f>
        <v>#REF!</v>
      </c>
      <c r="AU73" s="13"/>
      <c r="AV73" s="13"/>
      <c r="AW73" s="13"/>
      <c r="AX73" s="13"/>
    </row>
    <row r="74" spans="1:50">
      <c r="A74" s="4" t="s">
        <v>611</v>
      </c>
      <c r="B74" s="13">
        <v>20.154768957345976</v>
      </c>
      <c r="C74" s="13">
        <f t="shared" ref="C74:Z74" si="72">C$4*(C30/100)</f>
        <v>19.794071762870512</v>
      </c>
      <c r="D74" s="13">
        <f t="shared" si="72"/>
        <v>19.360173039352496</v>
      </c>
      <c r="E74" s="13">
        <f t="shared" si="72"/>
        <v>21.521939953810627</v>
      </c>
      <c r="F74" s="13">
        <f t="shared" si="72"/>
        <v>22.416350364963506</v>
      </c>
      <c r="G74" s="13">
        <f t="shared" si="72"/>
        <v>24.985140107557321</v>
      </c>
      <c r="H74" s="13">
        <f t="shared" si="72"/>
        <v>24.199520924334223</v>
      </c>
      <c r="I74" s="13">
        <f t="shared" si="72"/>
        <v>23.220066982975162</v>
      </c>
      <c r="J74" s="299">
        <f t="shared" si="72"/>
        <v>24.062799999999999</v>
      </c>
      <c r="K74" s="13">
        <f t="shared" si="72"/>
        <v>26.487900000000003</v>
      </c>
      <c r="L74" s="13">
        <f t="shared" si="72"/>
        <v>29.748000000000001</v>
      </c>
      <c r="M74" s="13">
        <f t="shared" si="72"/>
        <v>28.912800000000001</v>
      </c>
      <c r="N74" s="299">
        <f t="shared" si="72"/>
        <v>42.13669999999999</v>
      </c>
      <c r="O74" s="13">
        <f t="shared" si="72"/>
        <v>51.284800000000004</v>
      </c>
      <c r="P74" s="299">
        <f t="shared" si="72"/>
        <v>62.934399999999989</v>
      </c>
      <c r="Q74" s="299">
        <f t="shared" si="72"/>
        <v>64.374799999999993</v>
      </c>
      <c r="R74" s="13">
        <f t="shared" si="72"/>
        <v>70.416499999999999</v>
      </c>
      <c r="S74" s="13">
        <f t="shared" si="72"/>
        <v>78.267300000000006</v>
      </c>
      <c r="T74" s="13">
        <f t="shared" si="72"/>
        <v>78.278700000000001</v>
      </c>
      <c r="U74" s="13">
        <f t="shared" si="72"/>
        <v>81.963999999999999</v>
      </c>
      <c r="V74" s="13">
        <f t="shared" si="72"/>
        <v>84.529800000000009</v>
      </c>
      <c r="W74" s="13">
        <f t="shared" si="72"/>
        <v>87.879600000000011</v>
      </c>
      <c r="X74" s="13">
        <f t="shared" si="72"/>
        <v>90.804000000000002</v>
      </c>
      <c r="Y74" s="13">
        <f t="shared" si="72"/>
        <v>94.663299999999992</v>
      </c>
      <c r="Z74" s="13">
        <f t="shared" si="72"/>
        <v>92.507199999999983</v>
      </c>
      <c r="AA74" s="13">
        <f t="shared" ref="AA74" si="73">AA$4*(AA30/100)</f>
        <v>107.3394</v>
      </c>
      <c r="AB74" s="13">
        <f t="shared" ref="AB74:AG74" si="74">AB$4*(AB30/100)</f>
        <v>109.34</v>
      </c>
      <c r="AC74" s="13">
        <f t="shared" si="74"/>
        <v>123.8745</v>
      </c>
      <c r="AD74" s="13">
        <f t="shared" si="74"/>
        <v>122.54479999999998</v>
      </c>
      <c r="AE74" s="13">
        <f t="shared" si="74"/>
        <v>127.53960000000002</v>
      </c>
      <c r="AF74" s="13">
        <f t="shared" si="74"/>
        <v>125.03399999999999</v>
      </c>
      <c r="AG74" s="13">
        <f t="shared" si="74"/>
        <v>121.78590000000001</v>
      </c>
      <c r="AH74" s="13"/>
      <c r="AI74" s="13"/>
      <c r="AJ74" s="13"/>
      <c r="AK74" s="13">
        <f t="shared" ref="AK74:AQ74" si="75">AK$4*(AK30/100)</f>
        <v>77.350000000000009</v>
      </c>
      <c r="AL74" s="13">
        <f t="shared" si="75"/>
        <v>84.320000000000007</v>
      </c>
      <c r="AM74" s="13">
        <f t="shared" si="75"/>
        <v>94.747169811320759</v>
      </c>
      <c r="AN74" s="13">
        <f t="shared" si="75"/>
        <v>106.70900000000002</v>
      </c>
      <c r="AO74" s="13">
        <f t="shared" si="75"/>
        <v>220.95750000000001</v>
      </c>
      <c r="AP74" s="13">
        <f t="shared" si="75"/>
        <v>307.52189999999996</v>
      </c>
      <c r="AQ74" s="13">
        <f t="shared" si="75"/>
        <v>353.97460000000001</v>
      </c>
      <c r="AR74" s="13">
        <f t="shared" ref="AR74:AS74" si="76">AR$4*(AR30/100)</f>
        <v>441.64</v>
      </c>
      <c r="AS74" s="13">
        <f t="shared" si="76"/>
        <v>654.55000000000007</v>
      </c>
      <c r="AT74" s="16" t="e">
        <f>(AS74/#REF!)^(1/9)-1</f>
        <v>#REF!</v>
      </c>
      <c r="AU74" s="13"/>
      <c r="AV74" s="13"/>
      <c r="AW74" s="13"/>
      <c r="AX74" s="13"/>
    </row>
    <row r="75" spans="1:50">
      <c r="A75" s="4" t="s">
        <v>612</v>
      </c>
      <c r="B75" s="13">
        <v>32.010515402843609</v>
      </c>
      <c r="C75" s="13">
        <f t="shared" ref="C75:Z75" si="77">C$4*(C31/100)</f>
        <v>33.402496099843994</v>
      </c>
      <c r="D75" s="13">
        <f t="shared" si="77"/>
        <v>33.557633268210999</v>
      </c>
      <c r="E75" s="299">
        <f t="shared" si="77"/>
        <v>36.318273672055433</v>
      </c>
      <c r="F75" s="299">
        <f t="shared" si="77"/>
        <v>39.228613138686136</v>
      </c>
      <c r="G75" s="299">
        <f t="shared" si="77"/>
        <v>41.15199547127088</v>
      </c>
      <c r="H75" s="299">
        <f t="shared" si="77"/>
        <v>43.861631675355781</v>
      </c>
      <c r="I75" s="13">
        <f t="shared" si="77"/>
        <v>41.796120569355296</v>
      </c>
      <c r="J75" s="13">
        <f t="shared" si="77"/>
        <v>27.140600000000006</v>
      </c>
      <c r="K75" s="13">
        <f t="shared" si="77"/>
        <v>29.121200000000002</v>
      </c>
      <c r="L75" s="13">
        <f t="shared" si="77"/>
        <v>32.160000000000004</v>
      </c>
      <c r="M75" s="13">
        <f t="shared" si="77"/>
        <v>32.526899999999998</v>
      </c>
      <c r="N75" s="13">
        <f t="shared" si="77"/>
        <v>37.743299999999991</v>
      </c>
      <c r="O75" s="13">
        <f t="shared" si="77"/>
        <v>39.580800000000011</v>
      </c>
      <c r="P75" s="13">
        <f t="shared" si="77"/>
        <v>40.552799999999998</v>
      </c>
      <c r="Q75" s="13">
        <f t="shared" si="77"/>
        <v>46.712400000000002</v>
      </c>
      <c r="R75" s="13">
        <f t="shared" si="77"/>
        <v>46.307799999999993</v>
      </c>
      <c r="S75" s="13">
        <f t="shared" si="77"/>
        <v>47.651700000000005</v>
      </c>
      <c r="T75" s="13">
        <f t="shared" si="77"/>
        <v>48.578099999999999</v>
      </c>
      <c r="U75" s="13">
        <f t="shared" si="77"/>
        <v>49.707199999999993</v>
      </c>
      <c r="V75" s="13">
        <f t="shared" si="77"/>
        <v>50.283000000000001</v>
      </c>
      <c r="W75" s="13">
        <f t="shared" si="77"/>
        <v>51.448500000000003</v>
      </c>
      <c r="X75" s="13">
        <f t="shared" si="77"/>
        <v>50.196000000000005</v>
      </c>
      <c r="Y75" s="13">
        <f t="shared" si="77"/>
        <v>49.438400000000001</v>
      </c>
      <c r="Z75" s="13">
        <f t="shared" si="77"/>
        <v>52.697599999999994</v>
      </c>
      <c r="AA75" s="13">
        <f t="shared" ref="AA75:AB76" si="78">AA$4*(AA31/100)</f>
        <v>66.083100000000016</v>
      </c>
      <c r="AB75" s="13">
        <f t="shared" si="78"/>
        <v>71.852000000000004</v>
      </c>
      <c r="AC75" s="13">
        <f t="shared" ref="AC75:AD76" si="79">AC$4*(AC31/100)</f>
        <v>77.0685</v>
      </c>
      <c r="AD75" s="13">
        <f t="shared" si="79"/>
        <v>101.30959999999999</v>
      </c>
      <c r="AE75" s="13">
        <f t="shared" ref="AE75:AF76" si="80">AE$4*(AE31/100)</f>
        <v>107.66930000000001</v>
      </c>
      <c r="AF75" s="13">
        <f t="shared" si="80"/>
        <v>110.12609999999998</v>
      </c>
      <c r="AG75" s="13">
        <f t="shared" ref="AG75" si="81">AG$4*(AG31/100)</f>
        <v>114.4494</v>
      </c>
      <c r="AH75" s="13"/>
      <c r="AI75" s="13"/>
      <c r="AJ75" s="13"/>
      <c r="AK75" s="13">
        <f t="shared" ref="AK75:AQ75" si="82">AK$4*(AK31/100)</f>
        <v>122.85000000000001</v>
      </c>
      <c r="AL75" s="13">
        <f t="shared" si="82"/>
        <v>142.29000000000002</v>
      </c>
      <c r="AM75" s="13">
        <f t="shared" si="82"/>
        <v>165.80754716981136</v>
      </c>
      <c r="AN75" s="13">
        <f t="shared" si="82"/>
        <v>119.26300000000001</v>
      </c>
      <c r="AO75" s="13">
        <f t="shared" si="82"/>
        <v>164.63499999999999</v>
      </c>
      <c r="AP75" s="13">
        <f t="shared" si="82"/>
        <v>191.32469999999998</v>
      </c>
      <c r="AQ75" s="13">
        <f t="shared" si="82"/>
        <v>197.874</v>
      </c>
      <c r="AR75" s="13">
        <f t="shared" ref="AR75:AS75" si="83">AR$4*(AR31/100)</f>
        <v>264.98399999999998</v>
      </c>
      <c r="AS75" s="13">
        <f t="shared" si="83"/>
        <v>568.1</v>
      </c>
      <c r="AT75" s="16" t="e">
        <f>(AS75/#REF!)^(1/9)-1</f>
        <v>#REF!</v>
      </c>
      <c r="AU75" s="13"/>
      <c r="AV75" s="13"/>
      <c r="AW75" s="13"/>
      <c r="AX75" s="13"/>
    </row>
    <row r="76" spans="1:50">
      <c r="A76" s="4" t="s">
        <v>613</v>
      </c>
      <c r="B76" s="13"/>
      <c r="C76" s="13"/>
      <c r="D76" s="13"/>
      <c r="E76" s="299"/>
      <c r="F76" s="299"/>
      <c r="G76" s="299"/>
      <c r="H76" s="299"/>
      <c r="I76" s="13"/>
      <c r="J76" s="13"/>
      <c r="K76" s="13"/>
      <c r="L76" s="13"/>
      <c r="M76" s="13"/>
      <c r="N76" s="13"/>
      <c r="O76" s="13"/>
      <c r="P76" s="13"/>
      <c r="Q76" s="13"/>
      <c r="R76" s="13"/>
      <c r="S76" s="13"/>
      <c r="T76" s="13"/>
      <c r="U76" s="13"/>
      <c r="V76" s="13"/>
      <c r="W76" s="13"/>
      <c r="X76" s="13"/>
      <c r="Y76" s="13"/>
      <c r="Z76" s="13"/>
      <c r="AA76" s="13"/>
      <c r="AB76" s="13">
        <f t="shared" si="78"/>
        <v>32.020999999999994</v>
      </c>
      <c r="AC76" s="13">
        <f t="shared" si="79"/>
        <v>33.894000000000005</v>
      </c>
      <c r="AD76" s="13"/>
      <c r="AE76" s="13">
        <f t="shared" si="80"/>
        <v>46.210000000000008</v>
      </c>
      <c r="AF76" s="13">
        <f t="shared" si="80"/>
        <v>50.494499999999995</v>
      </c>
      <c r="AG76" s="13">
        <f t="shared" ref="AG76" si="84">AG$4*(AG32/100)</f>
        <v>56.246500000000005</v>
      </c>
      <c r="AH76" s="13"/>
      <c r="AI76" s="13"/>
      <c r="AJ76" s="13"/>
      <c r="AK76" s="13"/>
      <c r="AL76" s="13"/>
      <c r="AM76" s="13"/>
      <c r="AN76" s="13"/>
      <c r="AO76" s="13"/>
      <c r="AP76" s="13"/>
      <c r="AQ76" s="13"/>
      <c r="AR76" s="13">
        <f>AR$4*(AR32/100)</f>
        <v>101.36000000000001</v>
      </c>
      <c r="AS76" s="13">
        <f t="shared" ref="AR76:AS77" si="85">AS$4*(AS32/100)</f>
        <v>266.76000000000005</v>
      </c>
      <c r="AT76" s="13"/>
      <c r="AU76" s="13"/>
      <c r="AV76" s="13"/>
      <c r="AW76" s="13"/>
      <c r="AX76" s="13"/>
    </row>
    <row r="77" spans="1:50">
      <c r="A77" s="4" t="s">
        <v>632</v>
      </c>
      <c r="B77" s="13">
        <v>0</v>
      </c>
      <c r="C77" s="13">
        <f t="shared" ref="C77:Z77" si="86">C$4*(C33/100)</f>
        <v>0</v>
      </c>
      <c r="D77" s="13">
        <f t="shared" si="86"/>
        <v>0</v>
      </c>
      <c r="E77" s="13">
        <f t="shared" si="86"/>
        <v>0</v>
      </c>
      <c r="F77" s="13">
        <f t="shared" si="86"/>
        <v>0</v>
      </c>
      <c r="G77" s="13">
        <f t="shared" si="86"/>
        <v>0</v>
      </c>
      <c r="H77" s="13">
        <f t="shared" si="86"/>
        <v>0</v>
      </c>
      <c r="I77" s="13">
        <f t="shared" si="86"/>
        <v>0</v>
      </c>
      <c r="J77" s="13">
        <f t="shared" si="86"/>
        <v>0</v>
      </c>
      <c r="K77" s="13">
        <f t="shared" si="86"/>
        <v>0</v>
      </c>
      <c r="L77" s="13">
        <f t="shared" si="86"/>
        <v>0</v>
      </c>
      <c r="M77" s="13">
        <f t="shared" si="86"/>
        <v>0</v>
      </c>
      <c r="N77" s="13">
        <f t="shared" si="86"/>
        <v>0</v>
      </c>
      <c r="O77" s="13">
        <f t="shared" si="86"/>
        <v>0</v>
      </c>
      <c r="P77" s="13">
        <f t="shared" si="86"/>
        <v>0</v>
      </c>
      <c r="Q77" s="13">
        <f t="shared" si="86"/>
        <v>0</v>
      </c>
      <c r="R77" s="13">
        <f t="shared" si="86"/>
        <v>0</v>
      </c>
      <c r="S77" s="13">
        <f t="shared" si="86"/>
        <v>0</v>
      </c>
      <c r="T77" s="13">
        <f t="shared" si="86"/>
        <v>0</v>
      </c>
      <c r="U77" s="13">
        <f t="shared" si="86"/>
        <v>0</v>
      </c>
      <c r="V77" s="13">
        <f t="shared" si="86"/>
        <v>20.6568</v>
      </c>
      <c r="W77" s="13">
        <f t="shared" si="86"/>
        <v>21.1356</v>
      </c>
      <c r="X77" s="13">
        <f t="shared" si="86"/>
        <v>18.612000000000002</v>
      </c>
      <c r="Y77" s="13">
        <f t="shared" si="86"/>
        <v>21.348399999999998</v>
      </c>
      <c r="Z77" s="13">
        <f t="shared" si="86"/>
        <v>22.911999999999999</v>
      </c>
      <c r="AA77" s="13">
        <f t="shared" ref="AA77:AB77" si="87">AA$4*(AA33/100)</f>
        <v>27.747600000000002</v>
      </c>
      <c r="AB77" s="13">
        <f t="shared" si="87"/>
        <v>27.335000000000001</v>
      </c>
      <c r="AC77" s="13">
        <f t="shared" ref="AC77:AD77" si="88">AC$4*(AC33/100)</f>
        <v>29.859000000000005</v>
      </c>
      <c r="AD77" s="13">
        <f t="shared" si="88"/>
        <v>31.852800000000002</v>
      </c>
      <c r="AE77" s="13">
        <f t="shared" ref="AE77:AF77" si="89">AE$4*(AE33/100)</f>
        <v>31.884900000000005</v>
      </c>
      <c r="AF77" s="13">
        <f t="shared" si="89"/>
        <v>30.296699999999998</v>
      </c>
      <c r="AG77" s="13">
        <f t="shared" ref="AG77" si="90">AG$4*(AG33/100)</f>
        <v>36.682499999999997</v>
      </c>
      <c r="AH77" s="13"/>
      <c r="AI77" s="13"/>
      <c r="AJ77" s="13"/>
      <c r="AK77" s="13">
        <f t="shared" ref="AK77:AQ77" si="91">AK$4*(AK33/100)</f>
        <v>0</v>
      </c>
      <c r="AL77" s="13">
        <f t="shared" si="91"/>
        <v>0</v>
      </c>
      <c r="AM77" s="13">
        <f t="shared" si="91"/>
        <v>0</v>
      </c>
      <c r="AN77" s="13">
        <f t="shared" si="91"/>
        <v>0</v>
      </c>
      <c r="AO77" s="13">
        <f t="shared" si="91"/>
        <v>0</v>
      </c>
      <c r="AP77" s="13">
        <f t="shared" si="91"/>
        <v>0</v>
      </c>
      <c r="AQ77" s="13">
        <f t="shared" si="91"/>
        <v>83.54679999999999</v>
      </c>
      <c r="AR77" s="13">
        <f t="shared" si="85"/>
        <v>111.496</v>
      </c>
      <c r="AS77" s="13">
        <f t="shared" si="85"/>
        <v>172.9</v>
      </c>
      <c r="AT77" s="13"/>
      <c r="AU77" s="13"/>
      <c r="AV77" s="13"/>
      <c r="AW77" s="13"/>
      <c r="AX77" s="13"/>
    </row>
    <row r="78" spans="1:50">
      <c r="A78" s="4" t="s">
        <v>85</v>
      </c>
      <c r="B78" s="13">
        <v>33.196090047393369</v>
      </c>
      <c r="C78" s="13">
        <f t="shared" ref="C78:Z78" si="92">C$4*(C34/100)</f>
        <v>34.639625585023403</v>
      </c>
      <c r="D78" s="13">
        <f t="shared" si="92"/>
        <v>37.429667876081496</v>
      </c>
      <c r="E78" s="13">
        <f t="shared" si="92"/>
        <v>39.008516166281751</v>
      </c>
      <c r="F78" s="13">
        <f t="shared" si="92"/>
        <v>37.827591240875918</v>
      </c>
      <c r="G78" s="13">
        <f t="shared" si="92"/>
        <v>35.273138975375041</v>
      </c>
      <c r="H78" s="13">
        <f t="shared" si="92"/>
        <v>37.811751444272225</v>
      </c>
      <c r="I78" s="13">
        <f t="shared" si="92"/>
        <v>41.796120569355296</v>
      </c>
      <c r="J78" s="13">
        <f t="shared" si="92"/>
        <v>42.529600000000002</v>
      </c>
      <c r="K78" s="13">
        <f t="shared" si="92"/>
        <v>46.160200000000003</v>
      </c>
      <c r="L78" s="13">
        <f t="shared" si="92"/>
        <v>48.24</v>
      </c>
      <c r="M78" s="13">
        <f t="shared" si="92"/>
        <v>56.9651</v>
      </c>
      <c r="N78" s="13">
        <f t="shared" si="92"/>
        <v>58.31239999999999</v>
      </c>
      <c r="O78" s="13">
        <f t="shared" si="92"/>
        <v>59.796800000000012</v>
      </c>
      <c r="P78" s="13">
        <f t="shared" si="92"/>
        <v>56.2864</v>
      </c>
      <c r="Q78" s="13">
        <f t="shared" si="92"/>
        <v>61.586000000000006</v>
      </c>
      <c r="R78" s="13">
        <f t="shared" si="92"/>
        <v>66.835999999999999</v>
      </c>
      <c r="S78" s="13">
        <f t="shared" si="92"/>
        <v>63.700200000000002</v>
      </c>
      <c r="T78" s="13">
        <f t="shared" si="92"/>
        <v>68.965799999999987</v>
      </c>
      <c r="U78" s="13">
        <f t="shared" si="92"/>
        <v>74.031999999999996</v>
      </c>
      <c r="V78" s="13">
        <f t="shared" si="92"/>
        <v>54.903599999999997</v>
      </c>
      <c r="W78" s="13">
        <f t="shared" si="92"/>
        <v>75.921300000000016</v>
      </c>
      <c r="X78" s="13">
        <f t="shared" si="92"/>
        <v>60.63</v>
      </c>
      <c r="Y78" s="13">
        <f t="shared" si="92"/>
        <v>54.775500000000001</v>
      </c>
      <c r="Z78" s="13">
        <f t="shared" si="92"/>
        <v>61.003199999999993</v>
      </c>
      <c r="AA78" s="13">
        <f t="shared" ref="AA78:AB78" si="93">AA$4*(AA34/100)</f>
        <v>94.560900000000004</v>
      </c>
      <c r="AB78" s="13">
        <f t="shared" si="93"/>
        <v>82.395500000000027</v>
      </c>
      <c r="AC78" s="13">
        <f t="shared" ref="AC78:AD78" si="94">AC$4*(AC34/100)</f>
        <v>71.016000000000005</v>
      </c>
      <c r="AD78" s="13">
        <f t="shared" si="94"/>
        <v>118.1208</v>
      </c>
      <c r="AE78" s="13">
        <f t="shared" ref="AE78:AF78" si="95">AE$4*(AE34/100)</f>
        <v>79.019099999999966</v>
      </c>
      <c r="AF78" s="13">
        <f t="shared" si="95"/>
        <v>93.775499999999994</v>
      </c>
      <c r="AG78" s="13">
        <f t="shared" ref="AG78" si="96">AG$4*(AG34/100)</f>
        <v>87.548900000000003</v>
      </c>
      <c r="AH78" s="13"/>
      <c r="AI78" s="13"/>
      <c r="AJ78" s="13"/>
      <c r="AK78" s="13">
        <f t="shared" ref="AK78:AQ78" si="97">AK$4*(AK34/100)</f>
        <v>136.5</v>
      </c>
      <c r="AL78" s="13">
        <f t="shared" si="97"/>
        <v>147.56</v>
      </c>
      <c r="AM78" s="13">
        <f t="shared" si="97"/>
        <v>153.96415094339625</v>
      </c>
      <c r="AN78" s="13">
        <f t="shared" si="97"/>
        <v>194.58700000000002</v>
      </c>
      <c r="AO78" s="13">
        <f t="shared" si="97"/>
        <v>235.68800000000002</v>
      </c>
      <c r="AP78" s="13">
        <f t="shared" si="97"/>
        <v>275.46750000000003</v>
      </c>
      <c r="AQ78" s="13">
        <f t="shared" si="97"/>
        <v>219.86</v>
      </c>
      <c r="AR78" s="13">
        <f t="shared" ref="AR78:AS78" si="98">AR$4*(AR34/100)</f>
        <v>259.19200000000001</v>
      </c>
      <c r="AS78" s="13">
        <f t="shared" si="98"/>
        <v>437.19</v>
      </c>
      <c r="AT78" s="16" t="e">
        <f>(AS78/#REF!)^(1/9)-1</f>
        <v>#REF!</v>
      </c>
      <c r="AU78" s="13"/>
      <c r="AV78" s="13"/>
      <c r="AW78" s="13"/>
      <c r="AX78" s="13"/>
    </row>
    <row r="79" spans="1:50">
      <c r="A79" s="4"/>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4"/>
      <c r="AL79" s="14"/>
      <c r="AM79" s="14"/>
      <c r="AN79" s="14"/>
      <c r="AO79" s="14"/>
      <c r="AP79" s="14"/>
      <c r="AQ79" s="14"/>
      <c r="AR79" s="14"/>
      <c r="AS79" s="14"/>
      <c r="AT79" s="14"/>
      <c r="AU79" s="14"/>
      <c r="AV79" s="14"/>
      <c r="AW79" s="14"/>
      <c r="AX79" s="14"/>
    </row>
    <row r="80" spans="1:50">
      <c r="A80" s="10" t="s">
        <v>279</v>
      </c>
      <c r="B80" s="255">
        <v>119.74303909952609</v>
      </c>
      <c r="C80" s="255">
        <f t="shared" ref="C80:Z80" si="99">SUM(C73:C79)</f>
        <v>123.7129485179407</v>
      </c>
      <c r="D80" s="255">
        <f t="shared" si="99"/>
        <v>129.06782026234998</v>
      </c>
      <c r="E80" s="255">
        <f t="shared" si="99"/>
        <v>134.5121247113164</v>
      </c>
      <c r="F80" s="255">
        <f t="shared" si="99"/>
        <v>140.10218978102193</v>
      </c>
      <c r="G80" s="255">
        <f t="shared" si="99"/>
        <v>146.97141239739599</v>
      </c>
      <c r="H80" s="255">
        <f t="shared" si="99"/>
        <v>151.2470057770889</v>
      </c>
      <c r="I80" s="255">
        <f t="shared" si="99"/>
        <v>154.80044655316775</v>
      </c>
      <c r="J80" s="255">
        <f t="shared" si="99"/>
        <v>139.9</v>
      </c>
      <c r="K80" s="255">
        <f t="shared" si="99"/>
        <v>154.90000000000003</v>
      </c>
      <c r="L80" s="255">
        <f t="shared" si="99"/>
        <v>160.80000000000001</v>
      </c>
      <c r="M80" s="255">
        <f t="shared" si="99"/>
        <v>172.1</v>
      </c>
      <c r="N80" s="255">
        <f t="shared" si="99"/>
        <v>199.69999999999996</v>
      </c>
      <c r="O80" s="255">
        <f t="shared" si="99"/>
        <v>212.80000000000004</v>
      </c>
      <c r="P80" s="255">
        <f t="shared" si="99"/>
        <v>221.3784</v>
      </c>
      <c r="Q80" s="255">
        <f t="shared" si="99"/>
        <v>232.4</v>
      </c>
      <c r="R80" s="255">
        <f t="shared" si="99"/>
        <v>238.7</v>
      </c>
      <c r="S80" s="255">
        <f t="shared" si="99"/>
        <v>246.9</v>
      </c>
      <c r="T80" s="255">
        <f t="shared" si="99"/>
        <v>251.44830000000002</v>
      </c>
      <c r="U80" s="255">
        <f t="shared" si="99"/>
        <v>264.39999999999998</v>
      </c>
      <c r="V80" s="255">
        <f t="shared" si="99"/>
        <v>271.8</v>
      </c>
      <c r="W80" s="255">
        <f t="shared" si="99"/>
        <v>299.23560000000003</v>
      </c>
      <c r="X80" s="255">
        <f t="shared" si="99"/>
        <v>282.28199999999998</v>
      </c>
      <c r="Y80" s="255">
        <f t="shared" si="99"/>
        <v>280.89999999999998</v>
      </c>
      <c r="Z80" s="255">
        <f t="shared" si="99"/>
        <v>286.39999999999998</v>
      </c>
      <c r="AA80" s="255">
        <f t="shared" ref="AA80:AB80" si="100">SUM(AA73:AA79)</f>
        <v>365.46510000000001</v>
      </c>
      <c r="AB80" s="255">
        <f t="shared" si="100"/>
        <v>390.5</v>
      </c>
      <c r="AC80" s="255">
        <f t="shared" ref="AC80:AD80" si="101">SUM(AC73:AC79)</f>
        <v>403.5</v>
      </c>
      <c r="AD80" s="255">
        <f t="shared" si="101"/>
        <v>442.4</v>
      </c>
      <c r="AE80" s="255">
        <f t="shared" ref="AE80:AF80" si="102">SUM(AE73:AE79)</f>
        <v>462.1</v>
      </c>
      <c r="AF80" s="255">
        <f t="shared" si="102"/>
        <v>480.9</v>
      </c>
      <c r="AG80" s="255">
        <f t="shared" ref="AG80" si="103">SUM(AG73:AG79)</f>
        <v>489.10000000000008</v>
      </c>
      <c r="AH80" s="255"/>
      <c r="AI80" s="255"/>
      <c r="AJ80" s="255"/>
      <c r="AK80" s="274">
        <f t="shared" ref="AK80:AN80" si="104">SUM(AK73:AK78)</f>
        <v>455</v>
      </c>
      <c r="AL80" s="274">
        <f t="shared" si="104"/>
        <v>527</v>
      </c>
      <c r="AM80" s="274">
        <f t="shared" si="104"/>
        <v>592.16981132075489</v>
      </c>
      <c r="AN80" s="274">
        <f t="shared" si="104"/>
        <v>621.423</v>
      </c>
      <c r="AO80" s="274">
        <f>SUM(AO73:AO79)</f>
        <v>866.5</v>
      </c>
      <c r="AP80" s="274">
        <f>SUM(AP73:AP79)</f>
        <v>1000.6983</v>
      </c>
      <c r="AQ80" s="274">
        <f>SUM(AQ73:AQ79)</f>
        <v>1099.3</v>
      </c>
      <c r="AR80" s="274">
        <f>SUM(AR73:AR79)</f>
        <v>1446.5520000000001</v>
      </c>
      <c r="AS80" s="274">
        <f>SUM(AS73:AS79)</f>
        <v>2470</v>
      </c>
      <c r="AT80" s="274"/>
      <c r="AU80" s="274"/>
      <c r="AV80" s="274"/>
      <c r="AW80" s="274"/>
      <c r="AX80" s="274"/>
    </row>
    <row r="81" spans="1:50">
      <c r="A81" s="4"/>
      <c r="B81" s="13"/>
      <c r="C81" s="13"/>
      <c r="D81" s="13"/>
      <c r="E81" s="13"/>
      <c r="F81" s="13"/>
      <c r="G81" s="13"/>
      <c r="H81" s="13"/>
      <c r="I81" s="13">
        <f>I80*0.13</f>
        <v>20.124058051911806</v>
      </c>
      <c r="J81" s="16">
        <f>I81/I75</f>
        <v>0.4814814814814814</v>
      </c>
      <c r="K81" s="13"/>
      <c r="L81" s="13"/>
      <c r="M81" s="13"/>
      <c r="N81" s="13"/>
      <c r="O81" s="13">
        <f>O75+N75</f>
        <v>77.324100000000001</v>
      </c>
      <c r="P81" s="13"/>
      <c r="Q81" s="13"/>
      <c r="R81" s="13"/>
      <c r="S81" s="13"/>
      <c r="T81" s="13"/>
      <c r="U81" s="13"/>
      <c r="V81" s="13"/>
      <c r="W81" s="13"/>
      <c r="X81" s="13"/>
      <c r="Y81" s="13"/>
      <c r="Z81" s="13"/>
      <c r="AA81" s="13"/>
      <c r="AB81" s="13"/>
      <c r="AC81" s="13"/>
      <c r="AD81" s="13"/>
      <c r="AE81" s="13"/>
      <c r="AF81" s="13"/>
      <c r="AG81" s="13"/>
      <c r="AH81" s="13"/>
      <c r="AI81" s="13"/>
      <c r="AJ81" s="13"/>
      <c r="AK81" s="13"/>
      <c r="AL81" s="4"/>
      <c r="AM81" s="340">
        <f>AM80-AM75</f>
        <v>426.36226415094353</v>
      </c>
      <c r="AN81" s="340">
        <f>AN80-AN75</f>
        <v>502.15999999999997</v>
      </c>
      <c r="AO81" s="340"/>
      <c r="AP81" s="340">
        <f>AN81/AM81-1</f>
        <v>0.17777777777777737</v>
      </c>
      <c r="AQ81" s="340"/>
      <c r="AR81" s="340"/>
      <c r="AS81" s="340"/>
      <c r="AT81" s="340"/>
      <c r="AU81" s="340"/>
      <c r="AV81" s="340"/>
      <c r="AW81" s="340"/>
      <c r="AX81" s="340"/>
    </row>
    <row r="82" spans="1:50">
      <c r="A82" s="251" t="s">
        <v>633</v>
      </c>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c r="AK82" s="273"/>
      <c r="AL82" s="273"/>
      <c r="AM82" s="273"/>
      <c r="AN82" s="273"/>
      <c r="AO82" s="273"/>
      <c r="AP82" s="273"/>
      <c r="AQ82" s="273"/>
      <c r="AR82" s="273"/>
      <c r="AS82" s="273"/>
      <c r="AT82" s="273"/>
      <c r="AU82" s="273"/>
      <c r="AV82" s="273"/>
      <c r="AW82" s="273"/>
      <c r="AX82" s="273"/>
    </row>
    <row r="83" spans="1:50">
      <c r="A83" s="4" t="s">
        <v>360</v>
      </c>
      <c r="B83" s="312">
        <v>1.4027473030088888</v>
      </c>
      <c r="C83" s="312">
        <f t="shared" ref="C83:Y83" si="105">(C73/B73-1)*100</f>
        <v>4.3485107299357395</v>
      </c>
      <c r="D83" s="312">
        <f t="shared" si="105"/>
        <v>7.925998332173334</v>
      </c>
      <c r="E83" s="312">
        <f t="shared" si="105"/>
        <v>-2.7297048362842191</v>
      </c>
      <c r="F83" s="312">
        <f t="shared" si="105"/>
        <v>7.8756578468132332</v>
      </c>
      <c r="G83" s="312">
        <f t="shared" si="105"/>
        <v>12.137699002874601</v>
      </c>
      <c r="H83" s="312">
        <f t="shared" si="105"/>
        <v>-0.41051676696444162</v>
      </c>
      <c r="I83" s="312">
        <f t="shared" si="105"/>
        <v>5.7610764698552197</v>
      </c>
      <c r="J83" s="312">
        <f t="shared" si="105"/>
        <v>-3.7949761983000041</v>
      </c>
      <c r="K83" s="312">
        <f t="shared" si="105"/>
        <v>15.083717807091656</v>
      </c>
      <c r="L83" s="312">
        <f t="shared" si="105"/>
        <v>-4.6652876773692125</v>
      </c>
      <c r="M83" s="312">
        <f t="shared" si="105"/>
        <v>6.0080549632788305</v>
      </c>
      <c r="N83" s="312">
        <f t="shared" si="105"/>
        <v>14.549531429252504</v>
      </c>
      <c r="O83" s="312">
        <f t="shared" si="105"/>
        <v>1.0242636682296302</v>
      </c>
      <c r="P83" s="312">
        <f t="shared" si="105"/>
        <v>-0.85745184880007264</v>
      </c>
      <c r="Q83" s="312">
        <f t="shared" si="105"/>
        <v>-3.0484637560709515</v>
      </c>
      <c r="R83" s="312">
        <f t="shared" si="105"/>
        <v>-7.6801368899723554</v>
      </c>
      <c r="S83" s="312">
        <f t="shared" si="105"/>
        <v>3.8830461536787597</v>
      </c>
      <c r="T83" s="312">
        <f t="shared" si="105"/>
        <v>-2.889449868018612</v>
      </c>
      <c r="U83" s="312">
        <f t="shared" si="105"/>
        <v>5.5210091738171485</v>
      </c>
      <c r="V83" s="312">
        <f t="shared" si="105"/>
        <v>4.6510201578280341</v>
      </c>
      <c r="W83" s="312">
        <f t="shared" si="105"/>
        <v>2.3178807947019875</v>
      </c>
      <c r="X83" s="312">
        <f t="shared" si="105"/>
        <v>-1.2897251577550728</v>
      </c>
      <c r="Y83" s="312">
        <f t="shared" si="105"/>
        <v>-2.2011605415860669</v>
      </c>
      <c r="Z83" s="312">
        <f t="shared" ref="Z83:AF83" si="106">(Z73/Y73-1)*100</f>
        <v>-5.5944516962672992</v>
      </c>
      <c r="AA83" s="312">
        <f t="shared" si="106"/>
        <v>21.742493016759788</v>
      </c>
      <c r="AB83" s="312">
        <f t="shared" si="106"/>
        <v>-3.1227190140835193</v>
      </c>
      <c r="AC83" s="312">
        <f t="shared" si="106"/>
        <v>0.34267613035017241</v>
      </c>
      <c r="AD83" s="312">
        <f t="shared" si="106"/>
        <v>1.1565468814539237</v>
      </c>
      <c r="AE83" s="312">
        <f t="shared" si="106"/>
        <v>1.7574228548095538</v>
      </c>
      <c r="AF83" s="312">
        <f t="shared" si="106"/>
        <v>2.0007996892963398</v>
      </c>
      <c r="AG83" s="312">
        <f>(AG73/AF73-1)*100</f>
        <v>1.7051362029528061</v>
      </c>
      <c r="AH83" s="312"/>
      <c r="AI83" s="312"/>
      <c r="AJ83" s="312"/>
      <c r="AK83" s="312" t="e">
        <f>(AK73/#REF!-1)*100</f>
        <v>#REF!</v>
      </c>
      <c r="AL83" s="312">
        <f t="shared" ref="AL83:AL85" si="107">(AL73/AK73-1)*100</f>
        <v>29.188503803888398</v>
      </c>
      <c r="AM83" s="507">
        <v>20.5</v>
      </c>
      <c r="AN83" s="312">
        <f>(AN73/AM73-1)*100</f>
        <v>13.06666666666667</v>
      </c>
      <c r="AO83" s="507">
        <v>20.2</v>
      </c>
      <c r="AP83" s="312">
        <f t="shared" ref="AP83:AS86" si="108">(AP73/AO73-1)*100</f>
        <v>-7.6809960056194786</v>
      </c>
      <c r="AQ83" s="312">
        <f t="shared" si="108"/>
        <v>7.8010744566096024</v>
      </c>
      <c r="AR83" s="312">
        <f t="shared" si="108"/>
        <v>9.7668213105309487</v>
      </c>
      <c r="AS83" s="312">
        <f t="shared" si="108"/>
        <v>38.308197700462898</v>
      </c>
      <c r="AT83" s="312"/>
      <c r="AU83" s="507"/>
      <c r="AV83" s="312"/>
      <c r="AW83" s="312"/>
      <c r="AX83" s="312"/>
    </row>
    <row r="84" spans="1:50">
      <c r="A84" s="4" t="s">
        <v>611</v>
      </c>
      <c r="B84" s="312">
        <v>4.0252321470522379</v>
      </c>
      <c r="C84" s="312">
        <f t="shared" ref="C84:AG84" si="109">(C74/B74-1)*100</f>
        <v>-1.7896369600604922</v>
      </c>
      <c r="D84" s="312">
        <f t="shared" si="109"/>
        <v>-2.1920640114679091</v>
      </c>
      <c r="E84" s="312">
        <f t="shared" si="109"/>
        <v>11.166051615675187</v>
      </c>
      <c r="F84" s="312">
        <f t="shared" si="109"/>
        <v>4.1558075762334612</v>
      </c>
      <c r="G84" s="312">
        <f t="shared" si="109"/>
        <v>11.459446791163664</v>
      </c>
      <c r="H84" s="312">
        <f t="shared" si="109"/>
        <v>-3.1443457184595514</v>
      </c>
      <c r="I84" s="312">
        <f t="shared" si="109"/>
        <v>-4.0474104608168364</v>
      </c>
      <c r="J84" s="312">
        <f t="shared" si="109"/>
        <v>3.6293306890230914</v>
      </c>
      <c r="K84" s="312">
        <f t="shared" si="109"/>
        <v>10.078212011902199</v>
      </c>
      <c r="L84" s="312">
        <f t="shared" si="109"/>
        <v>12.307883977212231</v>
      </c>
      <c r="M84" s="312">
        <f t="shared" si="109"/>
        <v>-2.8075837031060868</v>
      </c>
      <c r="N84" s="312">
        <f t="shared" si="109"/>
        <v>45.737182147699265</v>
      </c>
      <c r="O84" s="312">
        <f t="shared" si="109"/>
        <v>21.710527877123774</v>
      </c>
      <c r="P84" s="312">
        <f t="shared" si="109"/>
        <v>22.715502449068701</v>
      </c>
      <c r="Q84" s="312">
        <f t="shared" si="109"/>
        <v>2.2887323943661997</v>
      </c>
      <c r="R84" s="312">
        <f t="shared" si="109"/>
        <v>9.3851942064286042</v>
      </c>
      <c r="S84" s="312">
        <f t="shared" si="109"/>
        <v>11.149091477139606</v>
      </c>
      <c r="T84" s="312">
        <f t="shared" si="109"/>
        <v>1.4565469870553294E-2</v>
      </c>
      <c r="U84" s="312">
        <f t="shared" si="109"/>
        <v>4.7079218229224562</v>
      </c>
      <c r="V84" s="312">
        <f t="shared" si="109"/>
        <v>3.1303987116295007</v>
      </c>
      <c r="W84" s="312">
        <f t="shared" si="109"/>
        <v>3.962862801047673</v>
      </c>
      <c r="X84" s="312">
        <f t="shared" si="109"/>
        <v>3.3277347643821731</v>
      </c>
      <c r="Y84" s="312">
        <f t="shared" si="109"/>
        <v>4.2501431654992983</v>
      </c>
      <c r="Z84" s="312">
        <f t="shared" si="109"/>
        <v>-2.2776514235189449</v>
      </c>
      <c r="AA84" s="312">
        <f t="shared" si="109"/>
        <v>16.033562792950185</v>
      </c>
      <c r="AB84" s="312">
        <f t="shared" si="109"/>
        <v>1.86380769782577</v>
      </c>
      <c r="AC84" s="312">
        <f t="shared" si="109"/>
        <v>13.292939454911279</v>
      </c>
      <c r="AD84" s="312">
        <f t="shared" si="109"/>
        <v>-1.0734251197785039</v>
      </c>
      <c r="AE84" s="312">
        <f t="shared" si="109"/>
        <v>4.0758971412903966</v>
      </c>
      <c r="AF84" s="312">
        <f t="shared" si="109"/>
        <v>-1.9645662994082103</v>
      </c>
      <c r="AG84" s="312">
        <f t="shared" si="109"/>
        <v>-2.5977734056336521</v>
      </c>
      <c r="AH84" s="312"/>
      <c r="AI84" s="312"/>
      <c r="AJ84" s="312"/>
      <c r="AK84" s="312" t="e">
        <f>(AK74/#REF!-1)*100</f>
        <v>#REF!</v>
      </c>
      <c r="AL84" s="312">
        <f t="shared" si="107"/>
        <v>9.0109890109890003</v>
      </c>
      <c r="AM84" s="507">
        <v>13.9</v>
      </c>
      <c r="AN84" s="312">
        <f>(AN74/AM74-1)*100</f>
        <v>12.62500000000002</v>
      </c>
      <c r="AO84" s="507">
        <v>102</v>
      </c>
      <c r="AP84" s="312">
        <f t="shared" si="108"/>
        <v>39.176945792742934</v>
      </c>
      <c r="AQ84" s="312">
        <f t="shared" si="108"/>
        <v>15.105493299826801</v>
      </c>
      <c r="AR84" s="312">
        <f t="shared" si="108"/>
        <v>24.766014284640757</v>
      </c>
      <c r="AS84" s="312">
        <f t="shared" si="108"/>
        <v>48.208948464812984</v>
      </c>
      <c r="AT84" s="312"/>
      <c r="AU84" s="507"/>
      <c r="AV84" s="312"/>
      <c r="AW84" s="312"/>
      <c r="AX84" s="312"/>
    </row>
    <row r="85" spans="1:50">
      <c r="A85" s="4" t="s">
        <v>612</v>
      </c>
      <c r="B85" s="497">
        <v>1.6717201075261645</v>
      </c>
      <c r="C85" s="497">
        <f t="shared" ref="C85:AG86" si="110">(C75/B75-1)*100</f>
        <v>4.3485107299357395</v>
      </c>
      <c r="D85" s="497">
        <f t="shared" si="110"/>
        <v>0.46444783019592428</v>
      </c>
      <c r="E85" s="497">
        <f t="shared" si="110"/>
        <v>8.2265646739145168</v>
      </c>
      <c r="F85" s="497">
        <f t="shared" si="110"/>
        <v>8.0134300790569277</v>
      </c>
      <c r="G85" s="497">
        <f t="shared" si="110"/>
        <v>4.9030087446246151</v>
      </c>
      <c r="H85" s="497">
        <f t="shared" si="110"/>
        <v>6.5844588410701954</v>
      </c>
      <c r="I85" s="497">
        <f t="shared" si="110"/>
        <v>-4.7091524576387762</v>
      </c>
      <c r="J85" s="497">
        <f t="shared" si="110"/>
        <v>-35.064308289178022</v>
      </c>
      <c r="K85" s="497">
        <f t="shared" si="110"/>
        <v>7.2975542176665131</v>
      </c>
      <c r="L85" s="497">
        <f t="shared" si="110"/>
        <v>10.435009546309914</v>
      </c>
      <c r="M85" s="497">
        <f t="shared" si="110"/>
        <v>1.1408582089551977</v>
      </c>
      <c r="N85" s="497">
        <f t="shared" si="110"/>
        <v>16.037187681580466</v>
      </c>
      <c r="O85" s="497">
        <f t="shared" si="110"/>
        <v>4.8684137317087206</v>
      </c>
      <c r="P85" s="497">
        <f t="shared" si="110"/>
        <v>2.4557361144797119</v>
      </c>
      <c r="Q85" s="497">
        <f t="shared" si="110"/>
        <v>15.189086820145592</v>
      </c>
      <c r="R85" s="497">
        <f t="shared" si="110"/>
        <v>-0.86615117185160351</v>
      </c>
      <c r="S85" s="497">
        <f t="shared" si="110"/>
        <v>2.902102885475033</v>
      </c>
      <c r="T85" s="497">
        <f t="shared" si="110"/>
        <v>1.9441069258809174</v>
      </c>
      <c r="U85" s="497">
        <f t="shared" si="110"/>
        <v>2.3242983978376985</v>
      </c>
      <c r="V85" s="497">
        <f t="shared" si="110"/>
        <v>1.1583834937393567</v>
      </c>
      <c r="W85" s="497">
        <f t="shared" si="110"/>
        <v>2.3178807947019875</v>
      </c>
      <c r="X85" s="497">
        <f t="shared" si="110"/>
        <v>-2.4344733082597103</v>
      </c>
      <c r="Y85" s="497">
        <f t="shared" si="110"/>
        <v>-1.5092836082556405</v>
      </c>
      <c r="Z85" s="497">
        <f t="shared" si="110"/>
        <v>6.5924463574872805</v>
      </c>
      <c r="AA85" s="497">
        <f t="shared" si="110"/>
        <v>25.400587503036242</v>
      </c>
      <c r="AB85" s="497">
        <f t="shared" si="110"/>
        <v>8.7297660067399807</v>
      </c>
      <c r="AC85" s="497">
        <f t="shared" si="110"/>
        <v>7.2600623503868977</v>
      </c>
      <c r="AD85" s="370">
        <f t="shared" si="110"/>
        <v>31.453966276753786</v>
      </c>
      <c r="AE85" s="370">
        <f t="shared" si="110"/>
        <v>6.2774899910768678</v>
      </c>
      <c r="AF85" s="370">
        <f t="shared" si="110"/>
        <v>2.2818017763651888</v>
      </c>
      <c r="AG85" s="370">
        <f t="shared" si="110"/>
        <v>3.9257723645893305</v>
      </c>
      <c r="AH85" s="370"/>
      <c r="AI85" s="370"/>
      <c r="AJ85" s="370"/>
      <c r="AK85" s="312" t="e">
        <f>(AK75/#REF!-1)*100</f>
        <v>#REF!</v>
      </c>
      <c r="AL85" s="312">
        <f t="shared" si="107"/>
        <v>15.824175824175835</v>
      </c>
      <c r="AM85" s="507">
        <v>18</v>
      </c>
      <c r="AN85" s="312">
        <f>(AN75/AM75-1)*100</f>
        <v>-28.07142857142858</v>
      </c>
      <c r="AO85" s="507">
        <v>36</v>
      </c>
      <c r="AP85" s="312">
        <f t="shared" si="108"/>
        <v>16.211437422176324</v>
      </c>
      <c r="AQ85" s="312">
        <f t="shared" si="108"/>
        <v>3.423133552541846</v>
      </c>
      <c r="AR85" s="312">
        <f t="shared" si="108"/>
        <v>33.915521998847751</v>
      </c>
      <c r="AS85" s="312">
        <f t="shared" si="108"/>
        <v>114.39030281073576</v>
      </c>
      <c r="AT85" s="312"/>
      <c r="AU85" s="507"/>
      <c r="AV85" s="312"/>
      <c r="AW85" s="312"/>
      <c r="AX85" s="312"/>
    </row>
    <row r="86" spans="1:50">
      <c r="A86" s="4" t="s">
        <v>613</v>
      </c>
      <c r="B86" s="497"/>
      <c r="C86" s="497"/>
      <c r="D86" s="497"/>
      <c r="E86" s="497"/>
      <c r="F86" s="497"/>
      <c r="G86" s="497"/>
      <c r="H86" s="497"/>
      <c r="I86" s="497"/>
      <c r="J86" s="497"/>
      <c r="K86" s="497"/>
      <c r="L86" s="497"/>
      <c r="M86" s="497"/>
      <c r="N86" s="497"/>
      <c r="O86" s="497"/>
      <c r="P86" s="497"/>
      <c r="Q86" s="497"/>
      <c r="R86" s="497"/>
      <c r="S86" s="497"/>
      <c r="T86" s="497"/>
      <c r="U86" s="497"/>
      <c r="V86" s="497"/>
      <c r="W86" s="497"/>
      <c r="X86" s="497"/>
      <c r="Y86" s="497"/>
      <c r="Z86" s="497"/>
      <c r="AA86" s="497"/>
      <c r="AB86" s="497"/>
      <c r="AC86" s="497"/>
      <c r="AD86" s="370"/>
      <c r="AE86" s="370"/>
      <c r="AF86" s="370">
        <f t="shared" si="110"/>
        <v>9.2718026401211517</v>
      </c>
      <c r="AG86" s="370">
        <f t="shared" si="110"/>
        <v>11.391339650853084</v>
      </c>
      <c r="AH86" s="370"/>
      <c r="AI86" s="370"/>
      <c r="AJ86" s="370"/>
      <c r="AK86" s="312"/>
      <c r="AL86" s="312"/>
      <c r="AM86" s="507"/>
      <c r="AN86" s="312"/>
      <c r="AO86" s="507"/>
      <c r="AP86" s="312"/>
      <c r="AQ86" s="312"/>
      <c r="AR86" s="312" t="e">
        <f t="shared" si="108"/>
        <v>#DIV/0!</v>
      </c>
      <c r="AS86" s="312">
        <f t="shared" si="108"/>
        <v>163.1807419100237</v>
      </c>
      <c r="AT86" s="312"/>
      <c r="AU86" s="507"/>
      <c r="AV86" s="312"/>
      <c r="AW86" s="312"/>
      <c r="AX86" s="312"/>
    </row>
    <row r="87" spans="1:50">
      <c r="A87" s="4" t="s">
        <v>632</v>
      </c>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f t="shared" ref="Z87:AG88" si="111">(Z77/Y77-1)*100</f>
        <v>7.3242022821382369</v>
      </c>
      <c r="AA87" s="312">
        <f t="shared" si="111"/>
        <v>21.105097765363134</v>
      </c>
      <c r="AB87" s="312">
        <f t="shared" si="111"/>
        <v>-1.4869754501290244</v>
      </c>
      <c r="AC87" s="312">
        <f t="shared" si="111"/>
        <v>9.2335833180903659</v>
      </c>
      <c r="AD87" s="312">
        <f t="shared" si="111"/>
        <v>6.6773837034060035</v>
      </c>
      <c r="AE87" s="312">
        <f t="shared" si="111"/>
        <v>0.10077606992164867</v>
      </c>
      <c r="AF87" s="312">
        <f t="shared" si="111"/>
        <v>-4.9810411825033434</v>
      </c>
      <c r="AG87" s="312">
        <f t="shared" si="111"/>
        <v>21.077543098753338</v>
      </c>
      <c r="AH87" s="312"/>
      <c r="AI87" s="312"/>
      <c r="AJ87" s="312"/>
      <c r="AK87" s="312"/>
      <c r="AL87" s="312"/>
      <c r="AM87" s="312"/>
      <c r="AN87" s="312"/>
      <c r="AO87" s="312"/>
      <c r="AP87" s="312"/>
      <c r="AQ87" s="312"/>
      <c r="AR87" s="312">
        <f t="shared" ref="AR87:AS87" si="112">(AR77/AQ77-1)*100</f>
        <v>33.453345909119214</v>
      </c>
      <c r="AS87" s="312">
        <f t="shared" si="112"/>
        <v>55.072827724761432</v>
      </c>
      <c r="AT87" s="312"/>
      <c r="AU87" s="312"/>
      <c r="AV87" s="312"/>
      <c r="AW87" s="312"/>
      <c r="AX87" s="312"/>
    </row>
    <row r="88" spans="1:50">
      <c r="A88" s="4" t="s">
        <v>85</v>
      </c>
      <c r="B88" s="312">
        <v>-8.6209725453345047</v>
      </c>
      <c r="C88" s="312">
        <f t="shared" ref="C88:Y88" si="113">(C78/B78-1)*100</f>
        <v>4.3485107299357395</v>
      </c>
      <c r="D88" s="312">
        <f t="shared" si="113"/>
        <v>8.0544816635211625</v>
      </c>
      <c r="E88" s="312">
        <f t="shared" si="113"/>
        <v>4.2181733896954565</v>
      </c>
      <c r="F88" s="312">
        <f t="shared" si="113"/>
        <v>-3.0273515669550166</v>
      </c>
      <c r="G88" s="312">
        <f t="shared" si="113"/>
        <v>-6.752881115889231</v>
      </c>
      <c r="H88" s="312">
        <f t="shared" si="113"/>
        <v>7.197013202225766</v>
      </c>
      <c r="I88" s="312">
        <f t="shared" si="113"/>
        <v>10.537383149139012</v>
      </c>
      <c r="J88" s="312">
        <f t="shared" si="113"/>
        <v>1.7548983509787508</v>
      </c>
      <c r="K88" s="312">
        <f t="shared" si="113"/>
        <v>8.5366427147210544</v>
      </c>
      <c r="L88" s="312">
        <f t="shared" si="113"/>
        <v>4.5056130606019984</v>
      </c>
      <c r="M88" s="312">
        <f t="shared" si="113"/>
        <v>18.086857379767828</v>
      </c>
      <c r="N88" s="312">
        <f t="shared" si="113"/>
        <v>2.3651323354123566</v>
      </c>
      <c r="O88" s="312">
        <f t="shared" si="113"/>
        <v>2.545599220748973</v>
      </c>
      <c r="P88" s="312">
        <f t="shared" si="113"/>
        <v>-5.8705482567629197</v>
      </c>
      <c r="Q88" s="312">
        <f t="shared" si="113"/>
        <v>9.415418289320332</v>
      </c>
      <c r="R88" s="312">
        <f t="shared" si="113"/>
        <v>8.524664696521933</v>
      </c>
      <c r="S88" s="312">
        <f t="shared" si="113"/>
        <v>-4.6917828715063674</v>
      </c>
      <c r="T88" s="312">
        <f t="shared" si="113"/>
        <v>8.2662220840750589</v>
      </c>
      <c r="U88" s="312">
        <f t="shared" si="113"/>
        <v>7.3459598815645011</v>
      </c>
      <c r="V88" s="312">
        <f t="shared" si="113"/>
        <v>-25.838015993084074</v>
      </c>
      <c r="W88" s="312">
        <f t="shared" si="113"/>
        <v>38.281096321552724</v>
      </c>
      <c r="X88" s="312">
        <f t="shared" si="113"/>
        <v>-20.140988102153166</v>
      </c>
      <c r="Y88" s="312">
        <f t="shared" si="113"/>
        <v>-9.6561108362196997</v>
      </c>
      <c r="Z88" s="312">
        <f t="shared" si="111"/>
        <v>11.369499137388051</v>
      </c>
      <c r="AA88" s="312">
        <f t="shared" si="111"/>
        <v>55.009737194114436</v>
      </c>
      <c r="AB88" s="312">
        <f t="shared" si="111"/>
        <v>-12.865148280103067</v>
      </c>
      <c r="AC88" s="312">
        <f t="shared" si="111"/>
        <v>-13.810827047593644</v>
      </c>
      <c r="AD88" s="312">
        <f t="shared" si="111"/>
        <v>66.329841162554914</v>
      </c>
      <c r="AE88" s="312">
        <f t="shared" si="111"/>
        <v>-33.103145254688449</v>
      </c>
      <c r="AF88" s="312">
        <f t="shared" si="111"/>
        <v>18.674472374400651</v>
      </c>
      <c r="AG88" s="312">
        <f t="shared" si="111"/>
        <v>-6.6399006136997336</v>
      </c>
      <c r="AH88" s="312"/>
      <c r="AI88" s="312"/>
      <c r="AJ88" s="312"/>
      <c r="AK88" s="312" t="e">
        <f>(AK78/#REF!-1)*100</f>
        <v>#REF!</v>
      </c>
      <c r="AL88" s="312">
        <f t="shared" ref="AL88:AS88" si="114">(AL78/AK78-1)*100</f>
        <v>8.1025641025641129</v>
      </c>
      <c r="AM88" s="312">
        <f t="shared" si="114"/>
        <v>4.3400318130904392</v>
      </c>
      <c r="AN88" s="312">
        <f t="shared" si="114"/>
        <v>26.384615384615383</v>
      </c>
      <c r="AO88" s="312">
        <f t="shared" si="114"/>
        <v>21.122171573640578</v>
      </c>
      <c r="AP88" s="312">
        <f t="shared" si="114"/>
        <v>16.878033671633695</v>
      </c>
      <c r="AQ88" s="312">
        <f t="shared" si="114"/>
        <v>-20.186591884705095</v>
      </c>
      <c r="AR88" s="312">
        <f t="shared" si="114"/>
        <v>17.889566087510222</v>
      </c>
      <c r="AS88" s="312">
        <f t="shared" si="114"/>
        <v>68.674187474922064</v>
      </c>
      <c r="AT88" s="312"/>
      <c r="AU88" s="312"/>
      <c r="AV88" s="312"/>
      <c r="AW88" s="312"/>
      <c r="AX88" s="312"/>
    </row>
    <row r="89" spans="1:50">
      <c r="A89" s="4"/>
      <c r="B89" s="260"/>
      <c r="C89" s="260"/>
      <c r="D89" s="260"/>
      <c r="E89" s="260"/>
      <c r="F89" s="260"/>
      <c r="G89" s="260"/>
      <c r="H89" s="260"/>
      <c r="I89" s="260"/>
      <c r="J89" s="260"/>
      <c r="K89" s="260"/>
      <c r="L89" s="312">
        <f>SUM(L83:L84)</f>
        <v>7.642596299843019</v>
      </c>
      <c r="M89" s="312">
        <f t="shared" ref="M89" si="115">SUM(M83:M84)</f>
        <v>3.2004712601727436</v>
      </c>
      <c r="N89" s="312"/>
      <c r="O89" s="312"/>
      <c r="P89" s="312"/>
      <c r="Q89" s="312"/>
      <c r="R89" s="312"/>
      <c r="S89" s="312"/>
      <c r="T89" s="312"/>
      <c r="U89" s="312"/>
      <c r="V89" s="312"/>
      <c r="W89" s="312"/>
      <c r="X89" s="312"/>
      <c r="Y89" s="312"/>
      <c r="Z89" s="312"/>
      <c r="AA89" s="312"/>
      <c r="AB89" s="312"/>
      <c r="AC89" s="312"/>
      <c r="AD89" s="312"/>
      <c r="AE89" s="312"/>
      <c r="AF89" s="312"/>
      <c r="AG89" s="312"/>
      <c r="AH89" s="312"/>
      <c r="AI89" s="312"/>
      <c r="AJ89" s="312"/>
      <c r="AK89" s="16"/>
      <c r="AL89" s="16"/>
      <c r="AM89" s="16"/>
      <c r="AN89" s="312"/>
      <c r="AO89" s="312"/>
      <c r="AP89" s="312"/>
      <c r="AQ89" s="312"/>
      <c r="AR89" s="312"/>
      <c r="AS89" s="312"/>
      <c r="AT89" s="312"/>
      <c r="AU89" s="312"/>
      <c r="AV89" s="312"/>
      <c r="AW89" s="312"/>
      <c r="AX89" s="312"/>
    </row>
    <row r="90" spans="1:50">
      <c r="A90" s="251" t="s">
        <v>634</v>
      </c>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252"/>
      <c r="AF90" s="252"/>
      <c r="AG90" s="252"/>
      <c r="AH90" s="252"/>
      <c r="AI90" s="252"/>
      <c r="AJ90" s="252"/>
      <c r="AK90" s="273"/>
      <c r="AL90" s="273"/>
      <c r="AM90" s="273"/>
      <c r="AN90" s="273"/>
      <c r="AO90" s="273"/>
      <c r="AP90" s="273"/>
      <c r="AQ90" s="273"/>
      <c r="AR90" s="273"/>
      <c r="AS90" s="273"/>
      <c r="AT90" s="273"/>
      <c r="AU90" s="273"/>
      <c r="AV90" s="273"/>
      <c r="AW90" s="273"/>
      <c r="AX90" s="273"/>
    </row>
    <row r="91" spans="1:50">
      <c r="A91" s="4" t="s">
        <v>360</v>
      </c>
      <c r="B91" s="604">
        <v>0.24955453395855942</v>
      </c>
      <c r="C91" s="604" t="e">
        <f>C73/#REF!-1</f>
        <v>#REF!</v>
      </c>
      <c r="D91" s="604" t="e">
        <f>D73/#REF!-1</f>
        <v>#REF!</v>
      </c>
      <c r="E91" s="604" t="e">
        <f>E73/#REF!-1</f>
        <v>#REF!</v>
      </c>
      <c r="F91" s="604">
        <f t="shared" ref="F91:G93" si="116">F73/B73-1</f>
        <v>0.1817239043116301</v>
      </c>
      <c r="G91" s="604">
        <f t="shared" si="116"/>
        <v>0.26993474616195856</v>
      </c>
      <c r="H91" s="604">
        <f t="shared" ref="H91:Q93" si="117">H73/D73-1</f>
        <v>0.17184132706089228</v>
      </c>
      <c r="I91" s="604">
        <f t="shared" si="117"/>
        <v>0.27413204610131081</v>
      </c>
      <c r="J91" s="604">
        <f t="shared" si="117"/>
        <v>0.13628881870412091</v>
      </c>
      <c r="K91" s="604">
        <f t="shared" si="117"/>
        <v>0.16614076195505301</v>
      </c>
      <c r="L91" s="604">
        <f t="shared" si="117"/>
        <v>0.11631961989938522</v>
      </c>
      <c r="M91" s="604">
        <f t="shared" si="117"/>
        <v>0.11892650465419918</v>
      </c>
      <c r="N91" s="604">
        <f t="shared" si="117"/>
        <v>0.33228496545151276</v>
      </c>
      <c r="O91" s="604">
        <f t="shared" si="117"/>
        <v>0.16952345818895664</v>
      </c>
      <c r="P91" s="604">
        <f t="shared" si="117"/>
        <v>0.21623627892284625</v>
      </c>
      <c r="Q91" s="604">
        <f t="shared" si="117"/>
        <v>0.11233033865224451</v>
      </c>
      <c r="R91" s="604">
        <f t="shared" ref="R91:AA93" si="118">R73/N73-1</f>
        <v>-0.10353029544316472</v>
      </c>
      <c r="S91" s="604">
        <f t="shared" si="118"/>
        <v>-7.8162014625605125E-2</v>
      </c>
      <c r="T91" s="604">
        <f t="shared" si="118"/>
        <v>-9.7055748902683092E-2</v>
      </c>
      <c r="U91" s="604">
        <f t="shared" si="118"/>
        <v>-1.7245189764059199E-2</v>
      </c>
      <c r="V91" s="604">
        <f t="shared" si="118"/>
        <v>0.11402129500160529</v>
      </c>
      <c r="W91" s="604">
        <f t="shared" si="118"/>
        <v>9.7236770436167186E-2</v>
      </c>
      <c r="X91" s="604">
        <f t="shared" si="118"/>
        <v>0.11531180731208779</v>
      </c>
      <c r="Y91" s="604">
        <f t="shared" si="118"/>
        <v>3.369178558285979E-2</v>
      </c>
      <c r="Z91" s="604">
        <f t="shared" si="118"/>
        <v>-6.7507993253759002E-2</v>
      </c>
      <c r="AA91" s="604">
        <f t="shared" si="118"/>
        <v>0.1095216274784967</v>
      </c>
      <c r="AB91" s="604">
        <f t="shared" ref="AB91:AG93" si="119">AB73/X73-1</f>
        <v>8.8918439716312081E-2</v>
      </c>
      <c r="AC91" s="604">
        <f t="shared" si="119"/>
        <v>0.11724219769787592</v>
      </c>
      <c r="AD91" s="604">
        <f t="shared" si="119"/>
        <v>0.19713687150837989</v>
      </c>
      <c r="AE91" s="604">
        <f t="shared" si="119"/>
        <v>6.1662801986384075E-4</v>
      </c>
      <c r="AF91" s="604">
        <f t="shared" si="119"/>
        <v>5.353592918520067E-2</v>
      </c>
      <c r="AG91" s="604">
        <f t="shared" si="119"/>
        <v>6.7840915796306023E-2</v>
      </c>
      <c r="AH91" s="604"/>
      <c r="AI91" s="604"/>
      <c r="AJ91" s="604"/>
      <c r="AK91" s="16"/>
      <c r="AL91" s="16"/>
      <c r="AM91" s="16"/>
      <c r="AN91" s="16"/>
      <c r="AO91" s="16"/>
      <c r="AP91" s="16"/>
      <c r="AQ91" s="16"/>
      <c r="AR91" s="16"/>
      <c r="AS91" s="16"/>
      <c r="AT91" s="16"/>
      <c r="AU91" s="16"/>
      <c r="AV91" s="16"/>
      <c r="AW91" s="16"/>
      <c r="AX91" s="16"/>
    </row>
    <row r="92" spans="1:50">
      <c r="A92" s="4" t="s">
        <v>611</v>
      </c>
      <c r="B92" s="604">
        <v>7.7202184447033861E-2</v>
      </c>
      <c r="C92" s="604" t="e">
        <f>C74/#REF!-1</f>
        <v>#REF!</v>
      </c>
      <c r="D92" s="604" t="e">
        <f>D74/#REF!-1</f>
        <v>#REF!</v>
      </c>
      <c r="E92" s="604" t="e">
        <f>E74/#REF!-1</f>
        <v>#REF!</v>
      </c>
      <c r="F92" s="604">
        <f t="shared" si="116"/>
        <v>0.11221073346976929</v>
      </c>
      <c r="G92" s="604">
        <f t="shared" si="116"/>
        <v>0.26225368922952752</v>
      </c>
      <c r="H92" s="604">
        <f t="shared" si="117"/>
        <v>0.24996408219828492</v>
      </c>
      <c r="I92" s="604">
        <f t="shared" si="117"/>
        <v>7.8902135811593999E-2</v>
      </c>
      <c r="J92" s="604">
        <f t="shared" si="117"/>
        <v>7.3448603730332351E-2</v>
      </c>
      <c r="K92" s="604">
        <f t="shared" si="117"/>
        <v>6.0146146308306614E-2</v>
      </c>
      <c r="L92" s="604">
        <f t="shared" si="117"/>
        <v>0.22928053381777547</v>
      </c>
      <c r="M92" s="604">
        <f t="shared" si="117"/>
        <v>0.24516436671774988</v>
      </c>
      <c r="N92" s="604">
        <f t="shared" si="117"/>
        <v>0.75111375234802225</v>
      </c>
      <c r="O92" s="604">
        <f t="shared" si="117"/>
        <v>0.93615952944552028</v>
      </c>
      <c r="P92" s="604">
        <f t="shared" si="117"/>
        <v>1.1155842409573751</v>
      </c>
      <c r="Q92" s="604">
        <f t="shared" si="117"/>
        <v>1.2265155917102457</v>
      </c>
      <c r="R92" s="604">
        <f t="shared" si="118"/>
        <v>0.67114415699378482</v>
      </c>
      <c r="S92" s="604">
        <f t="shared" si="118"/>
        <v>0.52613054940255211</v>
      </c>
      <c r="T92" s="604">
        <f t="shared" si="118"/>
        <v>0.24381419382722358</v>
      </c>
      <c r="U92" s="604">
        <f t="shared" si="118"/>
        <v>0.27323114013558114</v>
      </c>
      <c r="V92" s="604">
        <f t="shared" si="118"/>
        <v>0.20042603651132906</v>
      </c>
      <c r="W92" s="604">
        <f t="shared" si="118"/>
        <v>0.12281374213752105</v>
      </c>
      <c r="X92" s="604">
        <f t="shared" si="118"/>
        <v>0.16000904460600385</v>
      </c>
      <c r="Y92" s="604">
        <f t="shared" si="118"/>
        <v>0.15493753355131523</v>
      </c>
      <c r="Z92" s="604">
        <f t="shared" si="118"/>
        <v>9.4373818464020598E-2</v>
      </c>
      <c r="AA92" s="604">
        <f t="shared" si="118"/>
        <v>0.22143705706443795</v>
      </c>
      <c r="AB92" s="604">
        <f t="shared" si="119"/>
        <v>0.204131976564909</v>
      </c>
      <c r="AC92" s="604">
        <f t="shared" si="119"/>
        <v>0.30857998823197597</v>
      </c>
      <c r="AD92" s="604">
        <f t="shared" si="119"/>
        <v>0.32470553643392086</v>
      </c>
      <c r="AE92" s="604">
        <f t="shared" si="119"/>
        <v>0.18818998429281342</v>
      </c>
      <c r="AF92" s="604">
        <f t="shared" si="119"/>
        <v>0.14353393085787447</v>
      </c>
      <c r="AG92" s="604">
        <f t="shared" si="119"/>
        <v>-1.6860612959083476E-2</v>
      </c>
      <c r="AH92" s="604"/>
      <c r="AI92" s="604"/>
      <c r="AJ92" s="604"/>
      <c r="AK92" s="16"/>
      <c r="AL92" s="16"/>
      <c r="AM92" s="16"/>
      <c r="AN92" s="16"/>
      <c r="AO92" s="16"/>
      <c r="AP92" s="16"/>
      <c r="AQ92" s="16"/>
      <c r="AR92" s="16"/>
      <c r="AS92" s="16"/>
      <c r="AT92" s="16"/>
      <c r="AU92" s="16"/>
      <c r="AV92" s="16"/>
      <c r="AW92" s="16"/>
      <c r="AX92" s="16"/>
    </row>
    <row r="93" spans="1:50">
      <c r="A93" s="4" t="s">
        <v>612</v>
      </c>
      <c r="B93" s="604">
        <v>2.9123786231008975E-3</v>
      </c>
      <c r="C93" s="604" t="e">
        <f>C75/#REF!-1</f>
        <v>#REF!</v>
      </c>
      <c r="D93" s="604" t="e">
        <f>D75/#REF!-1</f>
        <v>#REF!</v>
      </c>
      <c r="E93" s="604" t="e">
        <f>E75/#REF!-1</f>
        <v>#REF!</v>
      </c>
      <c r="F93" s="604">
        <f t="shared" si="116"/>
        <v>0.2254914563231718</v>
      </c>
      <c r="G93" s="604">
        <f t="shared" si="116"/>
        <v>0.2320036008166193</v>
      </c>
      <c r="H93" s="604">
        <f t="shared" si="117"/>
        <v>0.30705378787561033</v>
      </c>
      <c r="I93" s="604">
        <f t="shared" si="117"/>
        <v>0.15082894486570031</v>
      </c>
      <c r="J93" s="604">
        <f t="shared" si="117"/>
        <v>-0.30814276038643018</v>
      </c>
      <c r="K93" s="604">
        <f t="shared" si="117"/>
        <v>-0.29235023316596742</v>
      </c>
      <c r="L93" s="604">
        <f t="shared" si="117"/>
        <v>-0.26678514292322797</v>
      </c>
      <c r="M93" s="604">
        <f t="shared" si="117"/>
        <v>-0.22177227080140649</v>
      </c>
      <c r="N93" s="604">
        <f t="shared" si="117"/>
        <v>0.39065827579346002</v>
      </c>
      <c r="O93" s="604">
        <f t="shared" si="117"/>
        <v>0.3591747592818979</v>
      </c>
      <c r="P93" s="604">
        <f t="shared" si="117"/>
        <v>0.26097014925373108</v>
      </c>
      <c r="Q93" s="604">
        <f t="shared" si="117"/>
        <v>0.43611595325715036</v>
      </c>
      <c r="R93" s="604">
        <f t="shared" si="118"/>
        <v>0.22691444574268815</v>
      </c>
      <c r="S93" s="604">
        <f t="shared" si="118"/>
        <v>0.20390947125879189</v>
      </c>
      <c r="T93" s="604">
        <f t="shared" si="118"/>
        <v>0.19789755577913248</v>
      </c>
      <c r="U93" s="604">
        <f t="shared" si="118"/>
        <v>6.4111456486928287E-2</v>
      </c>
      <c r="V93" s="604">
        <f t="shared" si="118"/>
        <v>8.5842989733911024E-2</v>
      </c>
      <c r="W93" s="604">
        <f t="shared" si="118"/>
        <v>7.9678164682477126E-2</v>
      </c>
      <c r="X93" s="604">
        <f t="shared" si="118"/>
        <v>3.3305131324609327E-2</v>
      </c>
      <c r="Y93" s="604">
        <f t="shared" si="118"/>
        <v>-5.4076672997068753E-3</v>
      </c>
      <c r="Z93" s="604">
        <f t="shared" si="118"/>
        <v>4.8020205636099433E-2</v>
      </c>
      <c r="AA93" s="604">
        <f t="shared" si="118"/>
        <v>0.2844514417329953</v>
      </c>
      <c r="AB93" s="604">
        <f t="shared" si="119"/>
        <v>0.43142879910749854</v>
      </c>
      <c r="AC93" s="604">
        <f t="shared" si="119"/>
        <v>0.55887933266448742</v>
      </c>
      <c r="AD93" s="604">
        <f t="shared" si="119"/>
        <v>0.92247085256254557</v>
      </c>
      <c r="AE93" s="604">
        <f t="shared" si="119"/>
        <v>0.62930159148102893</v>
      </c>
      <c r="AF93" s="604">
        <f t="shared" si="119"/>
        <v>0.53267967488726797</v>
      </c>
      <c r="AG93" s="604">
        <f t="shared" si="119"/>
        <v>0.48503474182058803</v>
      </c>
      <c r="AH93" s="604"/>
      <c r="AI93" s="604"/>
      <c r="AJ93" s="604"/>
      <c r="AK93" s="16"/>
      <c r="AL93" s="16"/>
      <c r="AM93" s="16"/>
      <c r="AN93" s="16"/>
      <c r="AO93" s="16"/>
      <c r="AP93" s="16"/>
      <c r="AQ93" s="16"/>
      <c r="AR93" s="16"/>
      <c r="AS93" s="16"/>
      <c r="AT93" s="16"/>
      <c r="AU93" s="16"/>
      <c r="AV93" s="16"/>
      <c r="AW93" s="16"/>
      <c r="AX93" s="16"/>
    </row>
    <row r="94" spans="1:50">
      <c r="A94" s="4" t="s">
        <v>613</v>
      </c>
      <c r="B94" s="604"/>
      <c r="C94" s="604"/>
      <c r="D94" s="604"/>
      <c r="E94" s="604"/>
      <c r="F94" s="604"/>
      <c r="G94" s="604"/>
      <c r="H94" s="604"/>
      <c r="I94" s="604"/>
      <c r="J94" s="604"/>
      <c r="K94" s="604"/>
      <c r="L94" s="604"/>
      <c r="M94" s="604"/>
      <c r="N94" s="604"/>
      <c r="O94" s="604"/>
      <c r="P94" s="604"/>
      <c r="Q94" s="604"/>
      <c r="R94" s="604"/>
      <c r="S94" s="604"/>
      <c r="T94" s="604"/>
      <c r="U94" s="604"/>
      <c r="V94" s="604"/>
      <c r="W94" s="604"/>
      <c r="X94" s="604"/>
      <c r="Y94" s="604"/>
      <c r="Z94" s="604"/>
      <c r="AA94" s="604"/>
      <c r="AB94" s="604"/>
      <c r="AC94" s="604"/>
      <c r="AD94" s="604"/>
      <c r="AE94" s="604"/>
      <c r="AF94" s="604">
        <f t="shared" ref="AF94:AG96" si="120">AF76/AB76-1</f>
        <v>0.57691827238374827</v>
      </c>
      <c r="AG94" s="604">
        <f>AG76/AC76-1</f>
        <v>0.65948250427804322</v>
      </c>
      <c r="AH94" s="604"/>
      <c r="AI94" s="604"/>
      <c r="AJ94" s="604"/>
      <c r="AK94" s="16"/>
      <c r="AL94" s="16"/>
      <c r="AM94" s="16"/>
      <c r="AN94" s="16"/>
      <c r="AO94" s="16"/>
      <c r="AP94" s="16"/>
      <c r="AQ94" s="16"/>
      <c r="AR94" s="16"/>
      <c r="AS94" s="16"/>
      <c r="AT94" s="16"/>
      <c r="AU94" s="16"/>
      <c r="AV94" s="16"/>
      <c r="AW94" s="16"/>
      <c r="AX94" s="16"/>
    </row>
    <row r="95" spans="1:50">
      <c r="A95" s="4" t="s">
        <v>632</v>
      </c>
      <c r="B95" s="604"/>
      <c r="C95" s="604"/>
      <c r="D95" s="604"/>
      <c r="E95" s="604"/>
      <c r="F95" s="604"/>
      <c r="G95" s="604"/>
      <c r="H95" s="604"/>
      <c r="I95" s="604"/>
      <c r="J95" s="604"/>
      <c r="K95" s="604"/>
      <c r="L95" s="604"/>
      <c r="M95" s="604"/>
      <c r="N95" s="604"/>
      <c r="O95" s="604"/>
      <c r="P95" s="604"/>
      <c r="Q95" s="604"/>
      <c r="R95" s="604"/>
      <c r="S95" s="604"/>
      <c r="T95" s="604"/>
      <c r="U95" s="604"/>
      <c r="V95" s="604"/>
      <c r="W95" s="604"/>
      <c r="X95" s="604"/>
      <c r="Y95" s="604"/>
      <c r="Z95" s="604">
        <f t="shared" ref="Z95:AE96" si="121">Z77/V77-1</f>
        <v>0.10917470276131813</v>
      </c>
      <c r="AA95" s="604">
        <f t="shared" si="121"/>
        <v>0.31283710895361394</v>
      </c>
      <c r="AB95" s="604">
        <f t="shared" si="121"/>
        <v>0.46867612293144201</v>
      </c>
      <c r="AC95" s="604">
        <f t="shared" si="121"/>
        <v>0.39865282644132627</v>
      </c>
      <c r="AD95" s="604">
        <f t="shared" si="121"/>
        <v>0.39022346368715088</v>
      </c>
      <c r="AE95" s="604">
        <f t="shared" si="121"/>
        <v>0.14910478744107603</v>
      </c>
      <c r="AF95" s="604">
        <f t="shared" si="120"/>
        <v>0.10834827144686288</v>
      </c>
      <c r="AG95" s="604">
        <f t="shared" si="120"/>
        <v>0.22852406309655349</v>
      </c>
      <c r="AH95" s="604"/>
      <c r="AI95" s="604"/>
      <c r="AJ95" s="604"/>
      <c r="AK95" s="16"/>
      <c r="AL95" s="16"/>
      <c r="AM95" s="16"/>
      <c r="AN95" s="16"/>
      <c r="AO95" s="16"/>
      <c r="AP95" s="16"/>
      <c r="AQ95" s="16"/>
      <c r="AR95" s="16"/>
      <c r="AS95" s="16"/>
      <c r="AT95" s="16"/>
      <c r="AU95" s="16"/>
      <c r="AV95" s="16"/>
      <c r="AW95" s="16"/>
      <c r="AX95" s="16"/>
    </row>
    <row r="96" spans="1:50">
      <c r="A96" s="4" t="s">
        <v>85</v>
      </c>
      <c r="B96" s="16">
        <v>4.005728153506749E-2</v>
      </c>
      <c r="C96" s="16" t="e">
        <f>C78/#REF!-1</f>
        <v>#REF!</v>
      </c>
      <c r="D96" s="16" t="e">
        <f>D78/#REF!-1</f>
        <v>#REF!</v>
      </c>
      <c r="E96" s="16" t="e">
        <f>E78/#REF!-1</f>
        <v>#REF!</v>
      </c>
      <c r="F96" s="16">
        <f t="shared" ref="F96:Y96" si="122">F78/B78-1</f>
        <v>0.13951947915764329</v>
      </c>
      <c r="G96" s="16">
        <f t="shared" si="122"/>
        <v>1.8288690470879221E-2</v>
      </c>
      <c r="H96" s="16">
        <f t="shared" si="122"/>
        <v>1.0208040569734456E-2</v>
      </c>
      <c r="I96" s="16">
        <f t="shared" si="122"/>
        <v>7.1461431426686817E-2</v>
      </c>
      <c r="J96" s="16">
        <f t="shared" si="122"/>
        <v>0.12430103543159698</v>
      </c>
      <c r="K96" s="16">
        <f t="shared" si="122"/>
        <v>0.3086501893757021</v>
      </c>
      <c r="L96" s="16">
        <f t="shared" si="122"/>
        <v>0.27579385131358314</v>
      </c>
      <c r="M96" s="16">
        <f t="shared" si="122"/>
        <v>0.36292792785573802</v>
      </c>
      <c r="N96" s="16">
        <f t="shared" si="122"/>
        <v>0.37110153869305118</v>
      </c>
      <c r="O96" s="16">
        <f t="shared" si="122"/>
        <v>0.29541899731803611</v>
      </c>
      <c r="P96" s="16">
        <f t="shared" si="122"/>
        <v>0.16679933665008284</v>
      </c>
      <c r="Q96" s="16">
        <f t="shared" si="122"/>
        <v>8.1118088092533958E-2</v>
      </c>
      <c r="R96" s="16">
        <f t="shared" si="122"/>
        <v>0.14617131176216391</v>
      </c>
      <c r="S96" s="16">
        <f t="shared" si="122"/>
        <v>6.527774061488234E-2</v>
      </c>
      <c r="T96" s="16">
        <f t="shared" si="122"/>
        <v>0.22526578356405791</v>
      </c>
      <c r="U96" s="16">
        <f t="shared" si="122"/>
        <v>0.20209138440554653</v>
      </c>
      <c r="V96" s="16">
        <f t="shared" si="122"/>
        <v>-0.17853252738045366</v>
      </c>
      <c r="W96" s="16">
        <f>W78/S78-1</f>
        <v>0.19185340077425206</v>
      </c>
      <c r="X96" s="16">
        <f t="shared" si="122"/>
        <v>-0.12086860443872161</v>
      </c>
      <c r="Y96" s="16">
        <f t="shared" si="122"/>
        <v>-0.26011049275988751</v>
      </c>
      <c r="Z96" s="16">
        <f t="shared" si="121"/>
        <v>0.11109654011758785</v>
      </c>
      <c r="AA96" s="16">
        <f t="shared" si="121"/>
        <v>0.24551212900727437</v>
      </c>
      <c r="AB96" s="16">
        <f t="shared" si="121"/>
        <v>0.35898894936500114</v>
      </c>
      <c r="AC96" s="16">
        <f t="shared" si="121"/>
        <v>0.29649204480105174</v>
      </c>
      <c r="AD96" s="16">
        <f t="shared" si="121"/>
        <v>0.93630498072232315</v>
      </c>
      <c r="AE96" s="16">
        <f t="shared" si="121"/>
        <v>-0.16435757273883855</v>
      </c>
      <c r="AF96" s="16">
        <f t="shared" si="120"/>
        <v>0.13811433876850021</v>
      </c>
      <c r="AG96" s="16">
        <f t="shared" si="120"/>
        <v>0.2328052833164358</v>
      </c>
      <c r="AH96" s="16"/>
      <c r="AI96" s="16"/>
      <c r="AJ96" s="16"/>
      <c r="AK96" s="16"/>
      <c r="AL96" s="16"/>
      <c r="AM96" s="16"/>
      <c r="AN96" s="16"/>
      <c r="AO96" s="16"/>
      <c r="AP96" s="16"/>
      <c r="AQ96" s="16"/>
      <c r="AR96" s="16"/>
      <c r="AS96" s="16"/>
      <c r="AT96" s="16"/>
      <c r="AU96" s="16"/>
      <c r="AV96" s="16"/>
      <c r="AW96" s="16"/>
      <c r="AX96" s="16"/>
    </row>
    <row r="97" spans="1:50">
      <c r="A97" s="4"/>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row>
    <row r="98" spans="1:50">
      <c r="A98" s="4" t="s">
        <v>635</v>
      </c>
      <c r="B98" s="16">
        <v>0.12271776970535941</v>
      </c>
      <c r="C98" s="16" t="e">
        <f>(C73+C74+C78)/(#REF!+#REF!+#REF!)-1</f>
        <v>#REF!</v>
      </c>
      <c r="D98" s="16" t="e">
        <f>(D73+D74+D78)/(#REF!+#REF!+#REF!)-1</f>
        <v>#REF!</v>
      </c>
      <c r="E98" s="16" t="e">
        <f>(E73+E74+E78)/(#REF!+#REF!+#REF!)-1</f>
        <v>#REF!</v>
      </c>
      <c r="F98" s="16">
        <f t="shared" ref="F98:AG98" si="123">(F73+F74+F78)/(B73+B74+B78)-1</f>
        <v>0.1497854204113156</v>
      </c>
      <c r="G98" s="16">
        <f t="shared" si="123"/>
        <v>0.17172945204868273</v>
      </c>
      <c r="H98" s="16">
        <f t="shared" si="123"/>
        <v>0.12433424623409928</v>
      </c>
      <c r="I98" s="16">
        <f t="shared" si="123"/>
        <v>0.15082894486570031</v>
      </c>
      <c r="J98" s="16">
        <f t="shared" si="123"/>
        <v>0.11782890776052679</v>
      </c>
      <c r="K98" s="16">
        <f t="shared" si="123"/>
        <v>0.18861739795645427</v>
      </c>
      <c r="L98" s="16">
        <f t="shared" si="123"/>
        <v>0.19792849888599351</v>
      </c>
      <c r="M98" s="16">
        <f t="shared" si="123"/>
        <v>0.23511289311166239</v>
      </c>
      <c r="N98" s="16">
        <f t="shared" si="123"/>
        <v>0.43630331484559148</v>
      </c>
      <c r="O98" s="16">
        <f t="shared" si="123"/>
        <v>0.37717325972262428</v>
      </c>
      <c r="P98" s="16">
        <f t="shared" si="123"/>
        <v>0.40567164179104465</v>
      </c>
      <c r="Q98" s="16">
        <f t="shared" si="123"/>
        <v>0.330396759834094</v>
      </c>
      <c r="R98" s="16">
        <f t="shared" si="123"/>
        <v>0.18792368577527219</v>
      </c>
      <c r="S98" s="16">
        <f t="shared" si="123"/>
        <v>0.15026682954314508</v>
      </c>
      <c r="T98" s="16">
        <f t="shared" si="123"/>
        <v>0.12191083563389249</v>
      </c>
      <c r="U98" s="16">
        <f t="shared" si="123"/>
        <v>0.15620429150896431</v>
      </c>
      <c r="V98" s="16">
        <f t="shared" si="123"/>
        <v>4.4014258374300175E-2</v>
      </c>
      <c r="W98" s="16">
        <f t="shared" si="123"/>
        <v>0.13753291747031238</v>
      </c>
      <c r="X98" s="16">
        <f t="shared" si="123"/>
        <v>5.2268889171499744E-2</v>
      </c>
      <c r="Y98" s="16">
        <f t="shared" si="123"/>
        <v>-2.1330943562150151E-2</v>
      </c>
      <c r="Z98" s="16">
        <f t="shared" si="123"/>
        <v>4.9438365589598909E-2</v>
      </c>
      <c r="AA98" s="16">
        <f t="shared" si="123"/>
        <v>0.19846725038219448</v>
      </c>
      <c r="AB98" s="16">
        <f t="shared" si="123"/>
        <v>0.21463035311091772</v>
      </c>
      <c r="AC98" s="16">
        <f t="shared" si="123"/>
        <v>0.25017609555230269</v>
      </c>
      <c r="AD98" s="16">
        <f t="shared" si="123"/>
        <v>0.46703834709740111</v>
      </c>
      <c r="AE98" s="16">
        <f t="shared" si="123"/>
        <v>1.7307822573282339E-2</v>
      </c>
      <c r="AF98" s="16">
        <f t="shared" si="123"/>
        <v>0.11836346667078046</v>
      </c>
      <c r="AG98" s="16">
        <f t="shared" si="123"/>
        <v>7.2495845682079008E-2</v>
      </c>
      <c r="AH98" s="16"/>
      <c r="AI98" s="16"/>
      <c r="AJ98" s="16"/>
      <c r="AK98" s="13"/>
      <c r="AL98" s="4"/>
      <c r="AM98" s="4"/>
      <c r="AN98" s="4"/>
      <c r="AO98" s="4"/>
      <c r="AP98" s="4"/>
      <c r="AQ98" s="4"/>
      <c r="AR98" s="4"/>
      <c r="AS98" s="4"/>
      <c r="AT98" s="4"/>
      <c r="AU98" s="4"/>
      <c r="AV98" s="4"/>
      <c r="AW98" s="4"/>
      <c r="AX98" s="4"/>
    </row>
    <row r="99" spans="1:50">
      <c r="A99" s="4" t="s">
        <v>636</v>
      </c>
      <c r="B99" s="16"/>
      <c r="C99" s="16"/>
      <c r="D99" s="16"/>
      <c r="E99" s="16"/>
      <c r="F99" s="16"/>
      <c r="G99" s="16"/>
      <c r="H99" s="16"/>
      <c r="I99" s="16"/>
      <c r="J99" s="16"/>
      <c r="K99" s="16"/>
      <c r="L99" s="16">
        <f t="shared" ref="L99:AG99" si="124">(L74+L75+L78)/(H74+H75+H78)-1</f>
        <v>4.0379509702148209E-2</v>
      </c>
      <c r="M99" s="16">
        <f t="shared" si="124"/>
        <v>0.10853142378598846</v>
      </c>
      <c r="N99" s="16">
        <f t="shared" si="124"/>
        <v>0.47431960995593814</v>
      </c>
      <c r="O99" s="16">
        <f t="shared" si="124"/>
        <v>0.48043073893600519</v>
      </c>
      <c r="P99" s="16">
        <f t="shared" si="124"/>
        <v>0.45053564295311754</v>
      </c>
      <c r="Q99" s="16">
        <f t="shared" si="124"/>
        <v>0.45832939205167378</v>
      </c>
      <c r="R99" s="16">
        <f t="shared" si="124"/>
        <v>0.32829518844741123</v>
      </c>
      <c r="S99" s="16">
        <f t="shared" si="124"/>
        <v>0.25857015419905682</v>
      </c>
      <c r="T99" s="16">
        <f t="shared" si="124"/>
        <v>0.22562551009678677</v>
      </c>
      <c r="U99" s="16">
        <f t="shared" si="124"/>
        <v>0.19128619843727912</v>
      </c>
      <c r="V99" s="16">
        <f t="shared" si="124"/>
        <v>3.3537208208964886E-2</v>
      </c>
      <c r="W99" s="16">
        <f t="shared" si="124"/>
        <v>0.13516669198055919</v>
      </c>
      <c r="X99" s="16">
        <f t="shared" si="124"/>
        <v>2.9656433935613347E-2</v>
      </c>
      <c r="Y99" s="16">
        <f t="shared" si="124"/>
        <v>-3.3183732678927713E-2</v>
      </c>
      <c r="Z99" s="16">
        <f t="shared" si="124"/>
        <v>8.6927645685876076E-2</v>
      </c>
      <c r="AA99" s="16">
        <f t="shared" si="124"/>
        <v>0.24499022993792297</v>
      </c>
      <c r="AB99" s="16">
        <f t="shared" si="124"/>
        <v>0.30728314238952548</v>
      </c>
      <c r="AC99" s="16">
        <f t="shared" si="124"/>
        <v>0.36747198773916789</v>
      </c>
      <c r="AD99" s="16">
        <f t="shared" si="124"/>
        <v>0.65839928615766619</v>
      </c>
      <c r="AE99" s="16">
        <f t="shared" si="124"/>
        <v>0.17256516634985597</v>
      </c>
      <c r="AF99" s="16">
        <f t="shared" si="124"/>
        <v>0.24791805377720832</v>
      </c>
      <c r="AG99" s="16">
        <f t="shared" si="124"/>
        <v>0.19056254803113704</v>
      </c>
      <c r="AH99" s="16"/>
      <c r="AI99" s="16"/>
      <c r="AJ99" s="16"/>
      <c r="AK99" s="13"/>
      <c r="AL99" s="4"/>
      <c r="AM99" s="4"/>
      <c r="AN99" s="4"/>
      <c r="AO99" s="4"/>
      <c r="AP99" s="4"/>
      <c r="AQ99" s="4"/>
      <c r="AR99" s="4"/>
      <c r="AS99" s="4"/>
      <c r="AT99" s="4"/>
      <c r="AU99" s="4"/>
      <c r="AV99" s="4"/>
      <c r="AW99" s="4"/>
      <c r="AX99" s="4"/>
    </row>
    <row r="100" spans="1:50">
      <c r="A100" s="251" t="s">
        <v>637</v>
      </c>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73"/>
      <c r="AL100" s="273"/>
      <c r="AM100" s="273"/>
      <c r="AN100" s="273"/>
      <c r="AO100" s="273"/>
      <c r="AP100" s="273"/>
      <c r="AQ100" s="273"/>
      <c r="AR100" s="273"/>
      <c r="AS100" s="273"/>
      <c r="AT100" s="273"/>
      <c r="AU100" s="273"/>
      <c r="AV100" s="273"/>
      <c r="AW100" s="273"/>
      <c r="AX100" s="273"/>
    </row>
    <row r="101" spans="1:50">
      <c r="A101" s="4" t="s">
        <v>621</v>
      </c>
      <c r="B101" s="13">
        <v>0</v>
      </c>
      <c r="C101" s="13">
        <f t="shared" ref="C101:Y101" si="125">C$4*(C46/100)</f>
        <v>0</v>
      </c>
      <c r="D101" s="13">
        <f t="shared" si="125"/>
        <v>0</v>
      </c>
      <c r="E101" s="13">
        <f t="shared" si="125"/>
        <v>0</v>
      </c>
      <c r="F101" s="13">
        <f t="shared" si="125"/>
        <v>0</v>
      </c>
      <c r="G101" s="13">
        <f t="shared" si="125"/>
        <v>0</v>
      </c>
      <c r="H101" s="13">
        <f t="shared" si="125"/>
        <v>0</v>
      </c>
      <c r="I101" s="13">
        <f t="shared" si="125"/>
        <v>24.768071448506841</v>
      </c>
      <c r="J101" s="13">
        <f t="shared" si="125"/>
        <v>22.384</v>
      </c>
      <c r="K101" s="13">
        <f t="shared" si="125"/>
        <v>25.403600000000008</v>
      </c>
      <c r="L101" s="13">
        <f t="shared" si="125"/>
        <v>26.692800000000002</v>
      </c>
      <c r="M101" s="13">
        <f t="shared" si="125"/>
        <v>27.536000000000001</v>
      </c>
      <c r="N101" s="13">
        <f t="shared" si="125"/>
        <v>27.958000000000002</v>
      </c>
      <c r="O101" s="13">
        <f t="shared" si="125"/>
        <v>27.025600000000001</v>
      </c>
      <c r="P101" s="13">
        <f t="shared" si="125"/>
        <v>23.932800000000004</v>
      </c>
      <c r="Q101" s="13">
        <f t="shared" si="125"/>
        <v>24.866800000000001</v>
      </c>
      <c r="R101" s="13">
        <f t="shared" si="125"/>
        <v>25.063499999999998</v>
      </c>
      <c r="S101" s="13">
        <f t="shared" si="125"/>
        <v>25.924499999999998</v>
      </c>
      <c r="T101" s="13">
        <f t="shared" si="125"/>
        <v>24.918299999999999</v>
      </c>
      <c r="U101" s="13">
        <f t="shared" si="125"/>
        <v>25.117999999999999</v>
      </c>
      <c r="V101" s="13">
        <f t="shared" si="125"/>
        <v>25.549200000000003</v>
      </c>
      <c r="W101" s="13">
        <f t="shared" si="125"/>
        <v>24.750900000000005</v>
      </c>
      <c r="X101" s="13">
        <f t="shared" si="125"/>
        <v>21.995999999999999</v>
      </c>
      <c r="Y101" s="13">
        <f t="shared" si="125"/>
        <v>21.9102</v>
      </c>
      <c r="Z101" s="335"/>
      <c r="AA101" s="335"/>
      <c r="AB101" s="335"/>
      <c r="AC101" s="335"/>
      <c r="AD101" s="335"/>
      <c r="AE101" s="335"/>
      <c r="AF101" s="335"/>
      <c r="AG101" s="335"/>
      <c r="AH101" s="335"/>
      <c r="AI101" s="335"/>
      <c r="AJ101" s="335"/>
      <c r="AK101" s="13">
        <f t="shared" ref="AK101:AQ102" si="126">AK$4*(AK46/100)</f>
        <v>0</v>
      </c>
      <c r="AL101" s="13">
        <f t="shared" si="126"/>
        <v>0</v>
      </c>
      <c r="AM101" s="13">
        <f t="shared" si="126"/>
        <v>88.825471698113219</v>
      </c>
      <c r="AN101" s="13">
        <f t="shared" si="126"/>
        <v>98.548900000000003</v>
      </c>
      <c r="AO101" s="13">
        <f t="shared" si="126"/>
        <v>103.97999999999999</v>
      </c>
      <c r="AP101" s="13">
        <f t="shared" si="126"/>
        <v>101.17170000000002</v>
      </c>
      <c r="AQ101" s="13">
        <f t="shared" si="126"/>
        <v>93.4405</v>
      </c>
      <c r="AR101" s="13">
        <f t="shared" ref="AR101:AS101" si="127">AR$4*(AR46/100)</f>
        <v>0</v>
      </c>
      <c r="AS101" s="13">
        <f t="shared" si="127"/>
        <v>0</v>
      </c>
      <c r="AT101" s="13"/>
      <c r="AU101" s="13"/>
      <c r="AV101" s="13"/>
      <c r="AW101" s="13"/>
      <c r="AX101" s="13"/>
    </row>
    <row r="102" spans="1:50">
      <c r="A102" s="4" t="s">
        <v>622</v>
      </c>
      <c r="B102" s="13">
        <v>0</v>
      </c>
      <c r="C102" s="13">
        <f t="shared" ref="C102:Y102" si="128">C$4*(C47/100)</f>
        <v>0</v>
      </c>
      <c r="D102" s="13">
        <f t="shared" si="128"/>
        <v>0</v>
      </c>
      <c r="E102" s="13">
        <f t="shared" si="128"/>
        <v>0</v>
      </c>
      <c r="F102" s="13">
        <f t="shared" si="128"/>
        <v>0</v>
      </c>
      <c r="G102" s="13">
        <f t="shared" si="128"/>
        <v>0</v>
      </c>
      <c r="H102" s="13">
        <f t="shared" si="128"/>
        <v>0</v>
      </c>
      <c r="I102" s="13">
        <f t="shared" si="128"/>
        <v>21.672062517443486</v>
      </c>
      <c r="J102" s="13">
        <f t="shared" si="128"/>
        <v>20.4254</v>
      </c>
      <c r="K102" s="13">
        <f t="shared" si="128"/>
        <v>23.080100000000002</v>
      </c>
      <c r="L102" s="13">
        <f t="shared" si="128"/>
        <v>24.602400000000003</v>
      </c>
      <c r="M102" s="13">
        <f t="shared" si="128"/>
        <v>25.814999999999998</v>
      </c>
      <c r="N102" s="13">
        <f t="shared" si="128"/>
        <v>28.956499999999995</v>
      </c>
      <c r="O102" s="13">
        <f t="shared" si="128"/>
        <v>30.430399999999999</v>
      </c>
      <c r="P102" s="13">
        <f t="shared" si="128"/>
        <v>31.024000000000001</v>
      </c>
      <c r="Q102" s="13">
        <f t="shared" si="128"/>
        <v>29.514800000000001</v>
      </c>
      <c r="R102" s="13">
        <f t="shared" si="128"/>
        <v>30.0762</v>
      </c>
      <c r="S102" s="13">
        <f t="shared" si="128"/>
        <v>31.109400000000001</v>
      </c>
      <c r="T102" s="13">
        <f t="shared" si="128"/>
        <v>29.700600000000001</v>
      </c>
      <c r="U102" s="13">
        <f t="shared" si="128"/>
        <v>29.348399999999998</v>
      </c>
      <c r="V102" s="13">
        <f t="shared" si="128"/>
        <v>31.257000000000001</v>
      </c>
      <c r="W102" s="13">
        <f t="shared" si="128"/>
        <v>33.650100000000002</v>
      </c>
      <c r="X102" s="13">
        <f t="shared" si="128"/>
        <v>31.866</v>
      </c>
      <c r="Y102" s="13">
        <f t="shared" si="128"/>
        <v>31.460799999999995</v>
      </c>
      <c r="Z102" s="335"/>
      <c r="AA102" s="335"/>
      <c r="AB102" s="335"/>
      <c r="AC102" s="335"/>
      <c r="AD102" s="335"/>
      <c r="AE102" s="335"/>
      <c r="AF102" s="335"/>
      <c r="AG102" s="335"/>
      <c r="AH102" s="335"/>
      <c r="AI102" s="335"/>
      <c r="AJ102" s="335"/>
      <c r="AK102" s="13">
        <f t="shared" si="126"/>
        <v>0</v>
      </c>
      <c r="AL102" s="13">
        <f t="shared" si="126"/>
        <v>0</v>
      </c>
      <c r="AM102" s="13">
        <f t="shared" si="126"/>
        <v>88.825471698113219</v>
      </c>
      <c r="AN102" s="13">
        <f t="shared" si="126"/>
        <v>94.782700000000006</v>
      </c>
      <c r="AO102" s="13">
        <f t="shared" si="126"/>
        <v>119.57700000000001</v>
      </c>
      <c r="AP102" s="13">
        <f t="shared" si="126"/>
        <v>120.20399999999999</v>
      </c>
      <c r="AQ102" s="13">
        <f t="shared" si="126"/>
        <v>126.4195</v>
      </c>
      <c r="AR102" s="13">
        <f t="shared" ref="AR102:AS102" si="129">AR$4*(AR47/100)</f>
        <v>0</v>
      </c>
      <c r="AS102" s="13">
        <f t="shared" si="129"/>
        <v>0</v>
      </c>
      <c r="AT102" s="13"/>
      <c r="AU102" s="13"/>
      <c r="AV102" s="13"/>
      <c r="AW102" s="13"/>
      <c r="AX102" s="13"/>
    </row>
    <row r="103" spans="1:50">
      <c r="A103" s="4" t="s">
        <v>623</v>
      </c>
      <c r="B103" s="13">
        <v>0</v>
      </c>
      <c r="C103" s="13">
        <f t="shared" ref="C103:Y103" si="130">C$4*(C48/100)</f>
        <v>0</v>
      </c>
      <c r="D103" s="13">
        <f t="shared" si="130"/>
        <v>0</v>
      </c>
      <c r="E103" s="13">
        <f t="shared" si="130"/>
        <v>0</v>
      </c>
      <c r="F103" s="13">
        <f t="shared" si="130"/>
        <v>0</v>
      </c>
      <c r="G103" s="13">
        <f t="shared" si="130"/>
        <v>0</v>
      </c>
      <c r="H103" s="13">
        <f t="shared" si="130"/>
        <v>0</v>
      </c>
      <c r="I103" s="13">
        <f t="shared" si="130"/>
        <v>32.508093776165225</v>
      </c>
      <c r="J103" s="13">
        <f t="shared" si="130"/>
        <v>26.581000000000003</v>
      </c>
      <c r="K103" s="13">
        <f t="shared" si="130"/>
        <v>29.7408</v>
      </c>
      <c r="L103" s="13">
        <f t="shared" si="130"/>
        <v>30.873600000000003</v>
      </c>
      <c r="M103" s="13">
        <f t="shared" si="130"/>
        <v>39.582999999999998</v>
      </c>
      <c r="N103" s="13">
        <f t="shared" si="130"/>
        <v>40.339400000000005</v>
      </c>
      <c r="O103" s="13">
        <f t="shared" si="130"/>
        <v>43.836799999999997</v>
      </c>
      <c r="P103" s="13">
        <f t="shared" si="130"/>
        <v>45.427999999999997</v>
      </c>
      <c r="Q103" s="13">
        <f t="shared" si="130"/>
        <v>51.128</v>
      </c>
      <c r="R103" s="13">
        <f t="shared" si="130"/>
        <v>55.617100000000001</v>
      </c>
      <c r="S103" s="13">
        <f t="shared" si="130"/>
        <v>57.033900000000003</v>
      </c>
      <c r="T103" s="13">
        <f t="shared" si="130"/>
        <v>60.156299999999995</v>
      </c>
      <c r="U103" s="13">
        <f t="shared" si="130"/>
        <v>62.398399999999995</v>
      </c>
      <c r="V103" s="13">
        <f t="shared" si="130"/>
        <v>65.231999999999999</v>
      </c>
      <c r="W103" s="13">
        <f t="shared" si="130"/>
        <v>68.134500000000003</v>
      </c>
      <c r="X103" s="13">
        <f t="shared" si="130"/>
        <v>72.474000000000004</v>
      </c>
      <c r="Y103" s="13">
        <f t="shared" si="130"/>
        <v>70.786799999999999</v>
      </c>
      <c r="Z103" s="335"/>
      <c r="AA103" s="335"/>
      <c r="AB103" s="335"/>
      <c r="AC103" s="335"/>
      <c r="AD103" s="335"/>
      <c r="AE103" s="335"/>
      <c r="AF103" s="335"/>
      <c r="AG103" s="335"/>
      <c r="AH103" s="335"/>
      <c r="AI103" s="335"/>
      <c r="AJ103" s="335"/>
      <c r="AK103" s="299">
        <f t="shared" ref="AK103:AL103" si="131">AK$4*(19/100)</f>
        <v>86.45</v>
      </c>
      <c r="AL103" s="299">
        <f t="shared" si="131"/>
        <v>100.13</v>
      </c>
      <c r="AM103" s="299">
        <f>AM$4*(19/100)</f>
        <v>112.51226415094341</v>
      </c>
      <c r="AN103" s="299">
        <f>AN$4*(19/100)</f>
        <v>119.26300000000001</v>
      </c>
      <c r="AO103" s="299">
        <f>AO$4*(19/100)</f>
        <v>164.63499999999999</v>
      </c>
      <c r="AP103" s="299">
        <f t="shared" ref="AP103:AQ106" si="132">AP$4*(AP48/100)</f>
        <v>235.39949999999996</v>
      </c>
      <c r="AQ103" s="299">
        <f t="shared" si="132"/>
        <v>273.72569999999996</v>
      </c>
      <c r="AR103" s="299">
        <f t="shared" ref="AR103:AS103" si="133">AR$4*(AR48/100)</f>
        <v>0</v>
      </c>
      <c r="AS103" s="299">
        <f t="shared" si="133"/>
        <v>0</v>
      </c>
      <c r="AT103" s="299"/>
      <c r="AU103" s="299"/>
      <c r="AV103" s="299"/>
      <c r="AW103" s="299"/>
      <c r="AX103" s="299"/>
    </row>
    <row r="104" spans="1:50">
      <c r="A104" s="4" t="s">
        <v>624</v>
      </c>
      <c r="B104" s="13">
        <v>0</v>
      </c>
      <c r="C104" s="13">
        <f t="shared" ref="C104:Y104" si="134">C$4*(C49/100)</f>
        <v>0</v>
      </c>
      <c r="D104" s="13">
        <f t="shared" si="134"/>
        <v>0</v>
      </c>
      <c r="E104" s="13">
        <f t="shared" si="134"/>
        <v>0</v>
      </c>
      <c r="F104" s="13">
        <f t="shared" si="134"/>
        <v>0</v>
      </c>
      <c r="G104" s="13">
        <f t="shared" si="134"/>
        <v>0</v>
      </c>
      <c r="H104" s="13">
        <f t="shared" si="134"/>
        <v>0</v>
      </c>
      <c r="I104" s="13">
        <f t="shared" si="134"/>
        <v>27.864080379570193</v>
      </c>
      <c r="J104" s="13">
        <f t="shared" si="134"/>
        <v>26.860800000000001</v>
      </c>
      <c r="K104" s="13">
        <f t="shared" si="134"/>
        <v>32.219200000000001</v>
      </c>
      <c r="L104" s="13">
        <f t="shared" si="134"/>
        <v>31.677599999999998</v>
      </c>
      <c r="M104" s="13">
        <f t="shared" si="134"/>
        <v>32.698999999999998</v>
      </c>
      <c r="N104" s="13">
        <f t="shared" si="134"/>
        <v>34.148699999999998</v>
      </c>
      <c r="O104" s="13">
        <f t="shared" si="134"/>
        <v>36.176000000000002</v>
      </c>
      <c r="P104" s="13">
        <f t="shared" si="134"/>
        <v>41.217600000000004</v>
      </c>
      <c r="Q104" s="13">
        <f t="shared" si="134"/>
        <v>41.832000000000001</v>
      </c>
      <c r="R104" s="13">
        <f t="shared" si="134"/>
        <v>43.443399999999997</v>
      </c>
      <c r="S104" s="13">
        <f t="shared" si="134"/>
        <v>43.207499999999996</v>
      </c>
      <c r="T104" s="13">
        <f t="shared" si="134"/>
        <v>46.816200000000002</v>
      </c>
      <c r="U104" s="13">
        <f t="shared" si="134"/>
        <v>50.235999999999997</v>
      </c>
      <c r="V104" s="13">
        <f t="shared" si="134"/>
        <v>54.360000000000007</v>
      </c>
      <c r="W104" s="13">
        <f t="shared" si="134"/>
        <v>51.448500000000003</v>
      </c>
      <c r="X104" s="13">
        <f t="shared" si="134"/>
        <v>53.297999999999995</v>
      </c>
      <c r="Y104" s="13">
        <f t="shared" si="134"/>
        <v>53.651899999999998</v>
      </c>
      <c r="Z104" s="335"/>
      <c r="AA104" s="335"/>
      <c r="AB104" s="335"/>
      <c r="AC104" s="335"/>
      <c r="AD104" s="335"/>
      <c r="AE104" s="335"/>
      <c r="AF104" s="335"/>
      <c r="AG104" s="335"/>
      <c r="AH104" s="335"/>
      <c r="AI104" s="335"/>
      <c r="AJ104" s="335"/>
      <c r="AK104" s="13">
        <f t="shared" ref="AK104:AO106" si="135">AK$4*(AK49/100)</f>
        <v>0</v>
      </c>
      <c r="AL104" s="13">
        <f t="shared" si="135"/>
        <v>0</v>
      </c>
      <c r="AM104" s="13">
        <f t="shared" si="135"/>
        <v>106.59056603773585</v>
      </c>
      <c r="AN104" s="13">
        <f t="shared" si="135"/>
        <v>129.93389999999999</v>
      </c>
      <c r="AO104" s="13">
        <f t="shared" si="135"/>
        <v>155.1035</v>
      </c>
      <c r="AP104" s="13">
        <f t="shared" si="132"/>
        <v>183.31109999999998</v>
      </c>
      <c r="AQ104" s="13">
        <f t="shared" si="132"/>
        <v>209.96629999999999</v>
      </c>
      <c r="AR104" s="13">
        <f t="shared" ref="AR104:AS104" si="136">AR$4*(AR49/100)</f>
        <v>0</v>
      </c>
      <c r="AS104" s="13">
        <f t="shared" si="136"/>
        <v>0</v>
      </c>
      <c r="AT104" s="13"/>
      <c r="AU104" s="13"/>
      <c r="AV104" s="13"/>
      <c r="AW104" s="13"/>
      <c r="AX104" s="13"/>
    </row>
    <row r="105" spans="1:50">
      <c r="A105" s="4" t="s">
        <v>625</v>
      </c>
      <c r="B105" s="13">
        <v>0</v>
      </c>
      <c r="C105" s="13">
        <f t="shared" ref="C105:Y105" si="137">C$4*(C50/100)</f>
        <v>0</v>
      </c>
      <c r="D105" s="13">
        <f t="shared" si="137"/>
        <v>0</v>
      </c>
      <c r="E105" s="13">
        <f t="shared" si="137"/>
        <v>0</v>
      </c>
      <c r="F105" s="13">
        <f t="shared" si="137"/>
        <v>0</v>
      </c>
      <c r="G105" s="13">
        <f t="shared" si="137"/>
        <v>0</v>
      </c>
      <c r="H105" s="13">
        <f t="shared" si="137"/>
        <v>0</v>
      </c>
      <c r="I105" s="13">
        <f t="shared" si="137"/>
        <v>44.89212950041864</v>
      </c>
      <c r="J105" s="13">
        <f t="shared" si="137"/>
        <v>40.431100000000001</v>
      </c>
      <c r="K105" s="13">
        <f t="shared" si="137"/>
        <v>41.513200000000005</v>
      </c>
      <c r="L105" s="13">
        <f t="shared" si="137"/>
        <v>44.54160000000001</v>
      </c>
      <c r="M105" s="13">
        <f t="shared" si="137"/>
        <v>44.746000000000002</v>
      </c>
      <c r="N105" s="13">
        <f t="shared" si="137"/>
        <v>51.722299999999997</v>
      </c>
      <c r="O105" s="13">
        <f t="shared" si="137"/>
        <v>50.859200000000001</v>
      </c>
      <c r="P105" s="13">
        <f t="shared" si="137"/>
        <v>54.735199999999999</v>
      </c>
      <c r="Q105" s="13">
        <f t="shared" si="137"/>
        <v>58.797200000000004</v>
      </c>
      <c r="R105" s="13">
        <f t="shared" si="137"/>
        <v>57.765399999999993</v>
      </c>
      <c r="S105" s="13">
        <f t="shared" si="137"/>
        <v>63.700200000000002</v>
      </c>
      <c r="T105" s="13">
        <f t="shared" si="137"/>
        <v>67.203900000000004</v>
      </c>
      <c r="U105" s="13">
        <f t="shared" si="137"/>
        <v>73.238799999999983</v>
      </c>
      <c r="V105" s="13">
        <f t="shared" si="137"/>
        <v>69.580800000000011</v>
      </c>
      <c r="W105" s="13">
        <f t="shared" si="137"/>
        <v>73.974600000000009</v>
      </c>
      <c r="X105" s="13">
        <f t="shared" si="137"/>
        <v>76.422000000000011</v>
      </c>
      <c r="Y105" s="13">
        <f t="shared" si="137"/>
        <v>76.685699999999997</v>
      </c>
      <c r="Z105" s="335"/>
      <c r="AA105" s="335"/>
      <c r="AB105" s="335"/>
      <c r="AC105" s="335"/>
      <c r="AD105" s="335"/>
      <c r="AE105" s="335"/>
      <c r="AF105" s="335"/>
      <c r="AG105" s="335"/>
      <c r="AH105" s="335"/>
      <c r="AI105" s="335"/>
      <c r="AJ105" s="335"/>
      <c r="AK105" s="13">
        <f t="shared" si="135"/>
        <v>0</v>
      </c>
      <c r="AL105" s="13">
        <f t="shared" si="135"/>
        <v>0</v>
      </c>
      <c r="AM105" s="13">
        <f t="shared" si="135"/>
        <v>189.49433962264152</v>
      </c>
      <c r="AN105" s="13">
        <f t="shared" si="135"/>
        <v>169.47900000000001</v>
      </c>
      <c r="AO105" s="13">
        <f t="shared" si="135"/>
        <v>214.892</v>
      </c>
      <c r="AP105" s="13">
        <f t="shared" si="132"/>
        <v>262.44540000000001</v>
      </c>
      <c r="AQ105" s="13">
        <f t="shared" si="132"/>
        <v>293.51310000000001</v>
      </c>
      <c r="AR105" s="13">
        <f t="shared" ref="AR105:AS105" si="138">AR$4*(AR50/100)</f>
        <v>0</v>
      </c>
      <c r="AS105" s="13">
        <f t="shared" si="138"/>
        <v>0</v>
      </c>
      <c r="AT105" s="13"/>
      <c r="AU105" s="13"/>
      <c r="AV105" s="13"/>
      <c r="AW105" s="13"/>
      <c r="AX105" s="13"/>
    </row>
    <row r="106" spans="1:50">
      <c r="A106" s="4" t="s">
        <v>626</v>
      </c>
      <c r="B106" s="13">
        <v>0</v>
      </c>
      <c r="C106" s="13">
        <f t="shared" ref="C106:Y106" si="139">C$4*(C51/100)</f>
        <v>0</v>
      </c>
      <c r="D106" s="13">
        <f t="shared" si="139"/>
        <v>0</v>
      </c>
      <c r="E106" s="13">
        <f t="shared" si="139"/>
        <v>0</v>
      </c>
      <c r="F106" s="13">
        <f t="shared" si="139"/>
        <v>0</v>
      </c>
      <c r="G106" s="13">
        <f t="shared" si="139"/>
        <v>0</v>
      </c>
      <c r="H106" s="13">
        <f t="shared" si="139"/>
        <v>0</v>
      </c>
      <c r="I106" s="13">
        <f t="shared" si="139"/>
        <v>3.0960089310633552</v>
      </c>
      <c r="J106" s="13">
        <f t="shared" si="139"/>
        <v>3.2177000000000002</v>
      </c>
      <c r="K106" s="13">
        <f t="shared" si="139"/>
        <v>2.9430999999999998</v>
      </c>
      <c r="L106" s="13">
        <f t="shared" si="139"/>
        <v>2.4119999999999999</v>
      </c>
      <c r="M106" s="13">
        <f t="shared" si="139"/>
        <v>1.7210000000000001</v>
      </c>
      <c r="N106" s="13">
        <f t="shared" si="139"/>
        <v>16.575099999999999</v>
      </c>
      <c r="O106" s="13">
        <f t="shared" si="139"/>
        <v>24.472000000000001</v>
      </c>
      <c r="P106" s="13">
        <f t="shared" si="139"/>
        <v>25.2624</v>
      </c>
      <c r="Q106" s="13">
        <f t="shared" si="139"/>
        <v>26.028799999999997</v>
      </c>
      <c r="R106" s="13">
        <f t="shared" si="139"/>
        <v>26.495699999999999</v>
      </c>
      <c r="S106" s="13">
        <f t="shared" si="139"/>
        <v>25.677600000000002</v>
      </c>
      <c r="T106" s="13">
        <f t="shared" si="139"/>
        <v>22.904699999999998</v>
      </c>
      <c r="U106" s="13">
        <f t="shared" si="139"/>
        <v>23.795999999999996</v>
      </c>
      <c r="V106" s="13">
        <f t="shared" si="139"/>
        <v>25.821000000000002</v>
      </c>
      <c r="W106" s="13">
        <f t="shared" si="139"/>
        <v>26.419500000000003</v>
      </c>
      <c r="X106" s="13">
        <f t="shared" si="139"/>
        <v>25.943999999999999</v>
      </c>
      <c r="Y106" s="13">
        <f t="shared" si="139"/>
        <v>26.404599999999999</v>
      </c>
      <c r="Z106" s="335"/>
      <c r="AA106" s="335"/>
      <c r="AB106" s="335"/>
      <c r="AC106" s="335"/>
      <c r="AD106" s="335"/>
      <c r="AE106" s="335"/>
      <c r="AF106" s="335"/>
      <c r="AG106" s="335"/>
      <c r="AH106" s="335"/>
      <c r="AI106" s="335"/>
      <c r="AJ106" s="335"/>
      <c r="AK106" s="13">
        <f t="shared" si="135"/>
        <v>0</v>
      </c>
      <c r="AL106" s="13">
        <f t="shared" si="135"/>
        <v>0</v>
      </c>
      <c r="AM106" s="13">
        <f t="shared" si="135"/>
        <v>11.843396226415095</v>
      </c>
      <c r="AN106" s="13">
        <f t="shared" si="135"/>
        <v>12.554000000000002</v>
      </c>
      <c r="AO106" s="13">
        <f t="shared" si="135"/>
        <v>92.715499999999992</v>
      </c>
      <c r="AP106" s="13">
        <f t="shared" si="132"/>
        <v>99.168300000000002</v>
      </c>
      <c r="AQ106" s="13">
        <f t="shared" si="132"/>
        <v>103.3342</v>
      </c>
      <c r="AR106" s="13">
        <f t="shared" ref="AR106:AS106" si="140">AR$4*(AR51/100)</f>
        <v>0</v>
      </c>
      <c r="AS106" s="13">
        <f t="shared" si="140"/>
        <v>0</v>
      </c>
      <c r="AT106" s="13"/>
      <c r="AU106" s="13"/>
      <c r="AV106" s="13"/>
      <c r="AW106" s="13"/>
      <c r="AX106" s="13"/>
    </row>
    <row r="107" spans="1:50">
      <c r="A107" s="10" t="s">
        <v>279</v>
      </c>
      <c r="B107" s="254">
        <v>0</v>
      </c>
      <c r="C107" s="254">
        <f t="shared" ref="C107:N107" si="141">C101+C102+C103+C104+C105+C106</f>
        <v>0</v>
      </c>
      <c r="D107" s="254">
        <f t="shared" si="141"/>
        <v>0</v>
      </c>
      <c r="E107" s="255">
        <f t="shared" si="141"/>
        <v>0</v>
      </c>
      <c r="F107" s="255">
        <f t="shared" si="141"/>
        <v>0</v>
      </c>
      <c r="G107" s="255">
        <f t="shared" si="141"/>
        <v>0</v>
      </c>
      <c r="H107" s="255">
        <f t="shared" si="141"/>
        <v>0</v>
      </c>
      <c r="I107" s="255">
        <f t="shared" si="141"/>
        <v>154.80044655316775</v>
      </c>
      <c r="J107" s="255">
        <f t="shared" si="141"/>
        <v>139.9</v>
      </c>
      <c r="K107" s="255">
        <f t="shared" si="141"/>
        <v>154.9</v>
      </c>
      <c r="L107" s="255">
        <f t="shared" si="141"/>
        <v>160.80000000000001</v>
      </c>
      <c r="M107" s="255">
        <f t="shared" si="141"/>
        <v>172.1</v>
      </c>
      <c r="N107" s="255">
        <f t="shared" si="141"/>
        <v>199.7</v>
      </c>
      <c r="O107" s="255">
        <f t="shared" ref="O107:T107" si="142">O101+O102+O103+O104+O105+O106</f>
        <v>212.79999999999998</v>
      </c>
      <c r="P107" s="255">
        <f t="shared" si="142"/>
        <v>221.59999999999997</v>
      </c>
      <c r="Q107" s="255">
        <f t="shared" si="142"/>
        <v>232.16759999999999</v>
      </c>
      <c r="R107" s="255">
        <f t="shared" si="142"/>
        <v>238.46129999999999</v>
      </c>
      <c r="S107" s="255">
        <f t="shared" si="142"/>
        <v>246.65310000000002</v>
      </c>
      <c r="T107" s="255">
        <f t="shared" si="142"/>
        <v>251.7</v>
      </c>
      <c r="U107" s="255">
        <f t="shared" ref="U107:V107" si="143">U101+U102+U103+U104+U105+U106</f>
        <v>264.13559999999995</v>
      </c>
      <c r="V107" s="255">
        <f t="shared" si="143"/>
        <v>271.8</v>
      </c>
      <c r="W107" s="255">
        <f t="shared" ref="W107:X107" si="144">W101+W102+W103+W104+W105+W106</f>
        <v>278.37810000000002</v>
      </c>
      <c r="X107" s="255">
        <f t="shared" si="144"/>
        <v>282</v>
      </c>
      <c r="Y107" s="255">
        <f t="shared" ref="Y107:Z107" si="145">Y101+Y102+Y103+Y104+Y105+Y106</f>
        <v>280.89999999999998</v>
      </c>
      <c r="Z107" s="255">
        <f t="shared" si="145"/>
        <v>0</v>
      </c>
      <c r="AA107" s="255">
        <f t="shared" ref="AA107:AB107" si="146">AA101+AA102+AA103+AA104+AA105+AA106</f>
        <v>0</v>
      </c>
      <c r="AB107" s="255">
        <f t="shared" si="146"/>
        <v>0</v>
      </c>
      <c r="AC107" s="255">
        <f t="shared" ref="AC107:AD107" si="147">AC101+AC102+AC103+AC104+AC105+AC106</f>
        <v>0</v>
      </c>
      <c r="AD107" s="255">
        <f t="shared" si="147"/>
        <v>0</v>
      </c>
      <c r="AE107" s="255">
        <f t="shared" ref="AE107:AF107" si="148">AE101+AE102+AE103+AE104+AE105+AE106</f>
        <v>0</v>
      </c>
      <c r="AF107" s="255">
        <f t="shared" si="148"/>
        <v>0</v>
      </c>
      <c r="AG107" s="255">
        <f t="shared" ref="AG107" si="149">AG101+AG102+AG103+AG104+AG105+AG106</f>
        <v>0</v>
      </c>
      <c r="AH107" s="255"/>
      <c r="AI107" s="255"/>
      <c r="AJ107" s="255"/>
      <c r="AK107" s="274">
        <f t="shared" ref="AK107:AM107" si="150">SUM(AK104:AK106)</f>
        <v>0</v>
      </c>
      <c r="AL107" s="274">
        <f t="shared" si="150"/>
        <v>0</v>
      </c>
      <c r="AM107" s="274">
        <f t="shared" si="150"/>
        <v>307.9283018867925</v>
      </c>
      <c r="AN107" s="274">
        <f t="shared" ref="AN107:AS107" si="151">SUM(AN101:AN106)</f>
        <v>624.56150000000002</v>
      </c>
      <c r="AO107" s="274">
        <f t="shared" si="151"/>
        <v>850.90300000000002</v>
      </c>
      <c r="AP107" s="274">
        <f t="shared" si="151"/>
        <v>1001.7</v>
      </c>
      <c r="AQ107" s="274">
        <f t="shared" si="151"/>
        <v>1100.3992999999998</v>
      </c>
      <c r="AR107" s="274">
        <f t="shared" si="151"/>
        <v>0</v>
      </c>
      <c r="AS107" s="274">
        <f t="shared" si="151"/>
        <v>0</v>
      </c>
      <c r="AT107" s="274"/>
      <c r="AU107" s="274"/>
      <c r="AV107" s="274"/>
      <c r="AW107" s="274"/>
      <c r="AX107" s="274"/>
    </row>
    <row r="108" spans="1:50">
      <c r="A108" s="4"/>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4"/>
      <c r="AM108" s="4"/>
      <c r="AN108" s="4"/>
      <c r="AO108" s="4"/>
      <c r="AP108" s="4"/>
      <c r="AQ108" s="4"/>
      <c r="AR108" s="4"/>
      <c r="AS108" s="4"/>
      <c r="AT108" s="4"/>
      <c r="AU108" s="4"/>
      <c r="AV108" s="4"/>
      <c r="AW108" s="4"/>
      <c r="AX108" s="4"/>
    </row>
    <row r="109" spans="1:50">
      <c r="A109" s="251" t="s">
        <v>633</v>
      </c>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c r="AA109" s="252"/>
      <c r="AB109" s="252"/>
      <c r="AC109" s="252"/>
      <c r="AD109" s="252"/>
      <c r="AE109" s="252"/>
      <c r="AF109" s="252"/>
      <c r="AG109" s="252"/>
      <c r="AH109" s="252"/>
      <c r="AI109" s="252"/>
      <c r="AJ109" s="252"/>
      <c r="AK109" s="273"/>
      <c r="AL109" s="273"/>
      <c r="AM109" s="273"/>
      <c r="AN109" s="273"/>
      <c r="AO109" s="273"/>
      <c r="AP109" s="273"/>
      <c r="AQ109" s="273"/>
      <c r="AR109" s="273"/>
      <c r="AS109" s="273"/>
      <c r="AT109" s="273"/>
      <c r="AU109" s="273"/>
      <c r="AV109" s="273"/>
      <c r="AW109" s="273"/>
      <c r="AX109" s="273"/>
    </row>
    <row r="110" spans="1:50">
      <c r="A110" s="4" t="s">
        <v>621</v>
      </c>
      <c r="B110" s="260"/>
      <c r="C110" s="260"/>
      <c r="D110" s="260"/>
      <c r="E110" s="260"/>
      <c r="F110" s="260"/>
      <c r="G110" s="497" t="e">
        <f t="shared" ref="G110:O110" si="152">(G101/F101-1)*100</f>
        <v>#DIV/0!</v>
      </c>
      <c r="H110" s="497" t="e">
        <f t="shared" si="152"/>
        <v>#DIV/0!</v>
      </c>
      <c r="I110" s="497" t="e">
        <f t="shared" si="152"/>
        <v>#DIV/0!</v>
      </c>
      <c r="J110" s="497">
        <f t="shared" si="152"/>
        <v>-9.6255837014333494</v>
      </c>
      <c r="K110" s="497">
        <f t="shared" si="152"/>
        <v>13.489992852037203</v>
      </c>
      <c r="L110" s="497">
        <f t="shared" si="152"/>
        <v>5.0748712780865457</v>
      </c>
      <c r="M110" s="497">
        <f t="shared" si="152"/>
        <v>3.1589042738116691</v>
      </c>
      <c r="N110" s="497">
        <f t="shared" si="152"/>
        <v>1.5325392213829225</v>
      </c>
      <c r="O110" s="497">
        <f t="shared" si="152"/>
        <v>-3.3350025037556352</v>
      </c>
      <c r="P110" s="497">
        <f t="shared" ref="P110:Y115" si="153">(P101/O101-1)*100</f>
        <v>-11.443964241311932</v>
      </c>
      <c r="Q110" s="497">
        <f t="shared" si="153"/>
        <v>3.9025939296697398</v>
      </c>
      <c r="R110" s="497">
        <f t="shared" si="153"/>
        <v>0.79101452539127592</v>
      </c>
      <c r="S110" s="497">
        <f t="shared" si="153"/>
        <v>3.4352744030163418</v>
      </c>
      <c r="T110" s="497">
        <f t="shared" si="153"/>
        <v>-3.8812706127408392</v>
      </c>
      <c r="U110" s="497">
        <f t="shared" si="153"/>
        <v>0.80141903741426379</v>
      </c>
      <c r="V110" s="497">
        <f t="shared" si="153"/>
        <v>1.7166971892666805</v>
      </c>
      <c r="W110" s="497">
        <f t="shared" si="153"/>
        <v>-3.1245596731013014</v>
      </c>
      <c r="X110" s="497">
        <f t="shared" si="153"/>
        <v>-11.130504345296554</v>
      </c>
      <c r="Y110" s="497">
        <f t="shared" si="153"/>
        <v>-0.39007092198580784</v>
      </c>
      <c r="Z110" s="606"/>
      <c r="AA110" s="606"/>
      <c r="AB110" s="606"/>
      <c r="AC110" s="606"/>
      <c r="AD110" s="606"/>
      <c r="AE110" s="606"/>
      <c r="AF110" s="606"/>
      <c r="AG110" s="606"/>
      <c r="AH110" s="606"/>
      <c r="AI110" s="606"/>
      <c r="AJ110" s="606"/>
      <c r="AK110" s="16"/>
      <c r="AL110" s="16"/>
      <c r="AM110" s="16"/>
      <c r="AN110" s="312">
        <f t="shared" ref="AN110:AO115" si="154">(AN101/AM101-1)*100</f>
        <v>10.94666666666666</v>
      </c>
      <c r="AO110" s="312">
        <f t="shared" si="154"/>
        <v>5.511071153508551</v>
      </c>
      <c r="AP110" s="312">
        <f t="shared" ref="AP110:AP115" si="155">(AP101/AO101-1)*100</f>
        <v>-2.7008078476629893</v>
      </c>
      <c r="AQ110" s="312">
        <f t="shared" ref="AQ110:AQ115" si="156">(AQ101/AP101-1)*100</f>
        <v>-7.6416626388604918</v>
      </c>
      <c r="AR110" s="312"/>
      <c r="AS110" s="312"/>
      <c r="AT110" s="312"/>
      <c r="AU110" s="312"/>
      <c r="AV110" s="312"/>
      <c r="AW110" s="312"/>
      <c r="AX110" s="312"/>
    </row>
    <row r="111" spans="1:50">
      <c r="A111" s="4" t="s">
        <v>622</v>
      </c>
      <c r="B111" s="260"/>
      <c r="C111" s="260"/>
      <c r="D111" s="260"/>
      <c r="E111" s="260"/>
      <c r="F111" s="260"/>
      <c r="G111" s="497" t="e">
        <f t="shared" ref="G111:O111" si="157">(G102/F102-1)*100</f>
        <v>#DIV/0!</v>
      </c>
      <c r="H111" s="497" t="e">
        <f t="shared" si="157"/>
        <v>#DIV/0!</v>
      </c>
      <c r="I111" s="497" t="e">
        <f t="shared" si="157"/>
        <v>#DIV/0!</v>
      </c>
      <c r="J111" s="497">
        <f t="shared" si="157"/>
        <v>-5.7523944314947784</v>
      </c>
      <c r="K111" s="497">
        <f t="shared" si="157"/>
        <v>12.997052689298627</v>
      </c>
      <c r="L111" s="497">
        <f t="shared" si="157"/>
        <v>6.5957253218140277</v>
      </c>
      <c r="M111" s="497">
        <f t="shared" si="157"/>
        <v>4.9287874353721284</v>
      </c>
      <c r="N111" s="497">
        <f t="shared" si="157"/>
        <v>12.169281425527778</v>
      </c>
      <c r="O111" s="497">
        <f t="shared" si="157"/>
        <v>5.0900488664030741</v>
      </c>
      <c r="P111" s="497">
        <f t="shared" si="153"/>
        <v>1.9506808980493284</v>
      </c>
      <c r="Q111" s="497">
        <f t="shared" si="153"/>
        <v>-4.8646209386281614</v>
      </c>
      <c r="R111" s="497">
        <f t="shared" si="153"/>
        <v>1.9020965752774899</v>
      </c>
      <c r="S111" s="497">
        <f t="shared" si="153"/>
        <v>3.4352744030163418</v>
      </c>
      <c r="T111" s="497">
        <f t="shared" si="153"/>
        <v>-4.5285347836988121</v>
      </c>
      <c r="U111" s="497">
        <f t="shared" si="153"/>
        <v>-1.185834629603455</v>
      </c>
      <c r="V111" s="497">
        <f t="shared" si="153"/>
        <v>6.5032506030993309</v>
      </c>
      <c r="W111" s="497">
        <f t="shared" si="153"/>
        <v>7.6562050100777546</v>
      </c>
      <c r="X111" s="497">
        <f t="shared" si="153"/>
        <v>-5.3019158932662958</v>
      </c>
      <c r="Y111" s="497">
        <f t="shared" si="153"/>
        <v>-1.2715747191363924</v>
      </c>
      <c r="Z111" s="606"/>
      <c r="AA111" s="606"/>
      <c r="AB111" s="606"/>
      <c r="AC111" s="606"/>
      <c r="AD111" s="606"/>
      <c r="AE111" s="606"/>
      <c r="AF111" s="606"/>
      <c r="AG111" s="606"/>
      <c r="AH111" s="606"/>
      <c r="AI111" s="606"/>
      <c r="AJ111" s="606"/>
      <c r="AK111" s="16"/>
      <c r="AL111" s="16"/>
      <c r="AM111" s="16"/>
      <c r="AN111" s="312">
        <f t="shared" si="154"/>
        <v>6.7066666666666608</v>
      </c>
      <c r="AO111" s="507">
        <v>27.2</v>
      </c>
      <c r="AP111" s="312">
        <f t="shared" si="155"/>
        <v>0.52434832785568375</v>
      </c>
      <c r="AQ111" s="312">
        <f t="shared" si="156"/>
        <v>5.1707929852583989</v>
      </c>
      <c r="AR111" s="312"/>
      <c r="AS111" s="312"/>
      <c r="AT111" s="312"/>
      <c r="AU111" s="507"/>
      <c r="AV111" s="312"/>
      <c r="AW111" s="312"/>
      <c r="AX111" s="312"/>
    </row>
    <row r="112" spans="1:50">
      <c r="A112" s="4" t="s">
        <v>623</v>
      </c>
      <c r="B112" s="260"/>
      <c r="C112" s="260"/>
      <c r="D112" s="260"/>
      <c r="E112" s="260"/>
      <c r="F112" s="260"/>
      <c r="G112" s="497" t="e">
        <f t="shared" ref="G112:O115" si="158">(G103/F103-1)*100</f>
        <v>#DIV/0!</v>
      </c>
      <c r="H112" s="497" t="e">
        <f t="shared" si="158"/>
        <v>#DIV/0!</v>
      </c>
      <c r="I112" s="497" t="e">
        <f t="shared" si="158"/>
        <v>#DIV/0!</v>
      </c>
      <c r="J112" s="497">
        <f t="shared" si="158"/>
        <v>-18.232670967963482</v>
      </c>
      <c r="K112" s="497">
        <f t="shared" si="158"/>
        <v>11.887438395846651</v>
      </c>
      <c r="L112" s="497">
        <f t="shared" si="158"/>
        <v>3.808908973531322</v>
      </c>
      <c r="M112" s="497">
        <f t="shared" si="158"/>
        <v>28.209862147595331</v>
      </c>
      <c r="N112" s="497">
        <f t="shared" si="158"/>
        <v>1.9109213551272264</v>
      </c>
      <c r="O112" s="497">
        <f t="shared" si="158"/>
        <v>8.6699355964639846</v>
      </c>
      <c r="P112" s="497">
        <f t="shared" si="153"/>
        <v>3.629826994671137</v>
      </c>
      <c r="Q112" s="497">
        <f t="shared" si="153"/>
        <v>12.547327639341388</v>
      </c>
      <c r="R112" s="497">
        <f t="shared" si="153"/>
        <v>8.7801204819277103</v>
      </c>
      <c r="S112" s="497">
        <f t="shared" si="153"/>
        <v>2.5474179703724342</v>
      </c>
      <c r="T112" s="497">
        <f t="shared" si="153"/>
        <v>5.4746387674698527</v>
      </c>
      <c r="U112" s="497">
        <f t="shared" si="153"/>
        <v>3.7271241748578321</v>
      </c>
      <c r="V112" s="497">
        <f t="shared" si="153"/>
        <v>4.541142080566174</v>
      </c>
      <c r="W112" s="497">
        <f t="shared" si="153"/>
        <v>4.4495033112582849</v>
      </c>
      <c r="X112" s="497">
        <f t="shared" si="153"/>
        <v>6.369020099949374</v>
      </c>
      <c r="Y112" s="497">
        <f t="shared" si="153"/>
        <v>-2.3280072853713141</v>
      </c>
      <c r="Z112" s="606"/>
      <c r="AA112" s="606"/>
      <c r="AB112" s="606"/>
      <c r="AC112" s="606"/>
      <c r="AD112" s="606"/>
      <c r="AE112" s="606"/>
      <c r="AF112" s="606"/>
      <c r="AG112" s="606"/>
      <c r="AH112" s="606"/>
      <c r="AI112" s="606"/>
      <c r="AJ112" s="606"/>
      <c r="AK112" s="16"/>
      <c r="AL112" s="16"/>
      <c r="AM112" s="16"/>
      <c r="AN112" s="312">
        <f t="shared" si="154"/>
        <v>5.9999999999999831</v>
      </c>
      <c r="AO112" s="507">
        <v>43</v>
      </c>
      <c r="AP112" s="312">
        <f t="shared" si="155"/>
        <v>42.982658608436822</v>
      </c>
      <c r="AQ112" s="312">
        <f t="shared" si="156"/>
        <v>16.281342993506787</v>
      </c>
      <c r="AR112" s="312"/>
      <c r="AS112" s="312"/>
      <c r="AT112" s="312"/>
      <c r="AU112" s="507"/>
      <c r="AV112" s="312"/>
      <c r="AW112" s="312"/>
      <c r="AX112" s="312"/>
    </row>
    <row r="113" spans="1:50">
      <c r="A113" s="4" t="s">
        <v>624</v>
      </c>
      <c r="B113" s="260"/>
      <c r="C113" s="260"/>
      <c r="D113" s="260"/>
      <c r="E113" s="260"/>
      <c r="F113" s="260"/>
      <c r="G113" s="497" t="e">
        <f t="shared" si="158"/>
        <v>#DIV/0!</v>
      </c>
      <c r="H113" s="497" t="e">
        <f t="shared" si="158"/>
        <v>#DIV/0!</v>
      </c>
      <c r="I113" s="497" t="e">
        <f t="shared" si="158"/>
        <v>#DIV/0!</v>
      </c>
      <c r="J113" s="497">
        <f t="shared" si="158"/>
        <v>-3.6006226148622256</v>
      </c>
      <c r="K113" s="497">
        <f t="shared" si="158"/>
        <v>19.948772933047422</v>
      </c>
      <c r="L113" s="497">
        <f t="shared" si="158"/>
        <v>-1.6809852510304535</v>
      </c>
      <c r="M113" s="497">
        <f t="shared" si="158"/>
        <v>3.2243604313458185</v>
      </c>
      <c r="N113" s="497">
        <f t="shared" si="158"/>
        <v>4.4334689134224226</v>
      </c>
      <c r="O113" s="497">
        <f t="shared" si="158"/>
        <v>5.9366828019807638</v>
      </c>
      <c r="P113" s="497">
        <f t="shared" si="153"/>
        <v>13.936311366651921</v>
      </c>
      <c r="Q113" s="497">
        <f t="shared" si="153"/>
        <v>1.4906253639221934</v>
      </c>
      <c r="R113" s="497">
        <f t="shared" si="153"/>
        <v>3.8520749665327925</v>
      </c>
      <c r="S113" s="497">
        <f t="shared" si="153"/>
        <v>-0.54300538171505597</v>
      </c>
      <c r="T113" s="497">
        <f t="shared" si="153"/>
        <v>8.3520222183648851</v>
      </c>
      <c r="U113" s="497">
        <f t="shared" si="153"/>
        <v>7.3047363946667998</v>
      </c>
      <c r="V113" s="497">
        <f t="shared" si="153"/>
        <v>8.2092523290071107</v>
      </c>
      <c r="W113" s="497">
        <f t="shared" si="153"/>
        <v>-5.3559602649006717</v>
      </c>
      <c r="X113" s="497">
        <f t="shared" si="153"/>
        <v>3.5948569929152185</v>
      </c>
      <c r="Y113" s="497">
        <f t="shared" si="153"/>
        <v>0.66400240159105728</v>
      </c>
      <c r="Z113" s="606"/>
      <c r="AA113" s="606"/>
      <c r="AB113" s="606"/>
      <c r="AC113" s="606"/>
      <c r="AD113" s="606"/>
      <c r="AE113" s="606"/>
      <c r="AF113" s="606"/>
      <c r="AG113" s="606"/>
      <c r="AH113" s="606"/>
      <c r="AI113" s="606"/>
      <c r="AJ113" s="606"/>
      <c r="AK113" s="16"/>
      <c r="AL113" s="16"/>
      <c r="AM113" s="16"/>
      <c r="AN113" s="312">
        <f t="shared" si="154"/>
        <v>21.899999999999984</v>
      </c>
      <c r="AO113" s="507">
        <v>19.100000000000001</v>
      </c>
      <c r="AP113" s="312">
        <f t="shared" si="155"/>
        <v>18.186307852498484</v>
      </c>
      <c r="AQ113" s="312">
        <f t="shared" si="156"/>
        <v>14.540963422291409</v>
      </c>
      <c r="AR113" s="312"/>
      <c r="AS113" s="312"/>
      <c r="AT113" s="312"/>
      <c r="AU113" s="507"/>
      <c r="AV113" s="312"/>
      <c r="AW113" s="312"/>
      <c r="AX113" s="312"/>
    </row>
    <row r="114" spans="1:50">
      <c r="A114" s="4" t="s">
        <v>625</v>
      </c>
      <c r="B114" s="260"/>
      <c r="C114" s="260"/>
      <c r="D114" s="260"/>
      <c r="E114" s="260"/>
      <c r="F114" s="260"/>
      <c r="G114" s="497" t="e">
        <f t="shared" si="158"/>
        <v>#DIV/0!</v>
      </c>
      <c r="H114" s="497" t="e">
        <f t="shared" si="158"/>
        <v>#DIV/0!</v>
      </c>
      <c r="I114" s="497" t="e">
        <f t="shared" si="158"/>
        <v>#DIV/0!</v>
      </c>
      <c r="J114" s="497">
        <f t="shared" si="158"/>
        <v>-9.9372196197042513</v>
      </c>
      <c r="K114" s="497">
        <f t="shared" si="158"/>
        <v>2.6764050446314913</v>
      </c>
      <c r="L114" s="497">
        <f t="shared" si="158"/>
        <v>7.2950290510006566</v>
      </c>
      <c r="M114" s="497">
        <f t="shared" si="158"/>
        <v>0.45889685148263748</v>
      </c>
      <c r="N114" s="497">
        <f t="shared" si="158"/>
        <v>15.590890805882074</v>
      </c>
      <c r="O114" s="497">
        <f t="shared" si="158"/>
        <v>-1.6687192951589491</v>
      </c>
      <c r="P114" s="497">
        <f t="shared" si="153"/>
        <v>7.6210400478182949</v>
      </c>
      <c r="Q114" s="497">
        <f t="shared" si="153"/>
        <v>7.4211841739867612</v>
      </c>
      <c r="R114" s="497">
        <f t="shared" si="153"/>
        <v>-1.7548454688318671</v>
      </c>
      <c r="S114" s="497">
        <f t="shared" si="153"/>
        <v>10.273970231314955</v>
      </c>
      <c r="T114" s="497">
        <f t="shared" si="153"/>
        <v>5.5002967023651372</v>
      </c>
      <c r="U114" s="497">
        <f t="shared" si="153"/>
        <v>8.9799847925491996</v>
      </c>
      <c r="V114" s="497">
        <f t="shared" si="153"/>
        <v>-4.9946203378536724</v>
      </c>
      <c r="W114" s="497">
        <f t="shared" si="153"/>
        <v>6.3146730132450202</v>
      </c>
      <c r="X114" s="497">
        <f t="shared" si="153"/>
        <v>3.3084328945340635</v>
      </c>
      <c r="Y114" s="497">
        <f t="shared" si="153"/>
        <v>0.34505770589619011</v>
      </c>
      <c r="Z114" s="606"/>
      <c r="AA114" s="606"/>
      <c r="AB114" s="606"/>
      <c r="AC114" s="606"/>
      <c r="AD114" s="606"/>
      <c r="AE114" s="606"/>
      <c r="AF114" s="606"/>
      <c r="AG114" s="606"/>
      <c r="AH114" s="606"/>
      <c r="AI114" s="606"/>
      <c r="AJ114" s="606"/>
      <c r="AK114" s="16"/>
      <c r="AL114" s="16"/>
      <c r="AM114" s="16"/>
      <c r="AN114" s="370">
        <f t="shared" si="154"/>
        <v>-10.562499999999996</v>
      </c>
      <c r="AO114" s="507">
        <v>27.8</v>
      </c>
      <c r="AP114" s="312">
        <f t="shared" si="155"/>
        <v>22.128976416060176</v>
      </c>
      <c r="AQ114" s="312">
        <f t="shared" si="156"/>
        <v>11.837776543235279</v>
      </c>
      <c r="AR114" s="312"/>
      <c r="AS114" s="312"/>
      <c r="AT114" s="370"/>
      <c r="AU114" s="507"/>
      <c r="AV114" s="312"/>
      <c r="AW114" s="312"/>
      <c r="AX114" s="312"/>
    </row>
    <row r="115" spans="1:50">
      <c r="A115" s="4" t="s">
        <v>626</v>
      </c>
      <c r="B115" s="260"/>
      <c r="C115" s="260"/>
      <c r="D115" s="260"/>
      <c r="E115" s="260"/>
      <c r="F115" s="260"/>
      <c r="G115" s="497" t="e">
        <f t="shared" si="158"/>
        <v>#DIV/0!</v>
      </c>
      <c r="H115" s="497" t="e">
        <f t="shared" si="158"/>
        <v>#DIV/0!</v>
      </c>
      <c r="I115" s="497" t="e">
        <f t="shared" si="158"/>
        <v>#DIV/0!</v>
      </c>
      <c r="J115" s="497">
        <f t="shared" si="158"/>
        <v>3.9305787433516537</v>
      </c>
      <c r="K115" s="497">
        <f t="shared" si="158"/>
        <v>-8.534046057743117</v>
      </c>
      <c r="L115" s="497">
        <f t="shared" si="158"/>
        <v>-18.045598178791067</v>
      </c>
      <c r="M115" s="497">
        <f t="shared" si="158"/>
        <v>-28.648424543946927</v>
      </c>
      <c r="N115" s="497">
        <f t="shared" si="158"/>
        <v>863.10865775711784</v>
      </c>
      <c r="O115" s="497">
        <f t="shared" si="158"/>
        <v>47.643151474199264</v>
      </c>
      <c r="P115" s="497">
        <f t="shared" si="153"/>
        <v>3.2298136645962705</v>
      </c>
      <c r="Q115" s="497">
        <f t="shared" si="153"/>
        <v>3.0337576793970422</v>
      </c>
      <c r="R115" s="497">
        <f t="shared" si="153"/>
        <v>1.7937822719449326</v>
      </c>
      <c r="S115" s="497">
        <f t="shared" si="153"/>
        <v>-3.0876708296063038</v>
      </c>
      <c r="T115" s="497">
        <f t="shared" si="153"/>
        <v>-10.798906439854205</v>
      </c>
      <c r="U115" s="497">
        <f t="shared" si="153"/>
        <v>3.891341078468602</v>
      </c>
      <c r="V115" s="497">
        <f t="shared" si="153"/>
        <v>8.5098335854765672</v>
      </c>
      <c r="W115" s="497">
        <f t="shared" si="153"/>
        <v>2.3178807947019875</v>
      </c>
      <c r="X115" s="497">
        <f t="shared" si="153"/>
        <v>-1.7998069607676248</v>
      </c>
      <c r="Y115" s="497">
        <f t="shared" si="153"/>
        <v>1.7753623188405676</v>
      </c>
      <c r="Z115" s="606"/>
      <c r="AA115" s="606"/>
      <c r="AB115" s="606"/>
      <c r="AC115" s="606"/>
      <c r="AD115" s="606"/>
      <c r="AE115" s="606"/>
      <c r="AF115" s="606"/>
      <c r="AG115" s="606"/>
      <c r="AH115" s="606"/>
      <c r="AI115" s="606"/>
      <c r="AJ115" s="606"/>
      <c r="AK115" s="16"/>
      <c r="AL115" s="16"/>
      <c r="AM115" s="16"/>
      <c r="AN115" s="312">
        <f t="shared" si="154"/>
        <v>6.0000000000000053</v>
      </c>
      <c r="AO115" s="312">
        <f t="shared" si="154"/>
        <v>638.53353512824583</v>
      </c>
      <c r="AP115" s="312">
        <f t="shared" si="155"/>
        <v>6.9597855806202924</v>
      </c>
      <c r="AQ115" s="312">
        <f t="shared" si="156"/>
        <v>4.2008383727461185</v>
      </c>
      <c r="AR115" s="312"/>
      <c r="AS115" s="312"/>
      <c r="AT115" s="312"/>
      <c r="AU115" s="312"/>
      <c r="AV115" s="312"/>
      <c r="AW115" s="312"/>
      <c r="AX115" s="312"/>
    </row>
    <row r="116" spans="1:50">
      <c r="A116" s="4"/>
      <c r="B116" s="260"/>
      <c r="C116" s="260"/>
      <c r="D116" s="260"/>
      <c r="E116" s="260"/>
      <c r="F116" s="260"/>
      <c r="G116" s="312"/>
      <c r="H116" s="312"/>
      <c r="I116" s="312"/>
      <c r="J116" s="312"/>
      <c r="K116" s="312"/>
      <c r="L116" s="312"/>
      <c r="M116" s="312"/>
      <c r="N116" s="312"/>
      <c r="O116" s="312"/>
      <c r="P116" s="312"/>
      <c r="Q116" s="312"/>
      <c r="R116" s="312"/>
      <c r="S116" s="312"/>
      <c r="T116" s="312"/>
      <c r="U116" s="312"/>
      <c r="V116" s="312"/>
      <c r="W116" s="312"/>
      <c r="X116" s="312"/>
      <c r="Y116" s="312"/>
      <c r="Z116" s="312"/>
      <c r="AA116" s="312"/>
      <c r="AB116" s="312"/>
      <c r="AC116" s="312"/>
      <c r="AD116" s="312"/>
      <c r="AE116" s="312"/>
      <c r="AF116" s="312"/>
      <c r="AG116" s="312"/>
      <c r="AH116" s="312"/>
      <c r="AI116" s="312"/>
      <c r="AJ116" s="312"/>
      <c r="AK116" s="16"/>
      <c r="AL116" s="16"/>
      <c r="AM116" s="16"/>
      <c r="AN116" s="16"/>
      <c r="AO116" s="16"/>
      <c r="AP116" s="16"/>
      <c r="AQ116" s="16"/>
      <c r="AR116" s="16"/>
      <c r="AS116" s="16"/>
      <c r="AT116" s="16"/>
      <c r="AU116" s="16"/>
      <c r="AV116" s="16"/>
      <c r="AW116" s="16"/>
      <c r="AX116" s="16"/>
    </row>
    <row r="117" spans="1:50">
      <c r="A117" s="251" t="s">
        <v>634</v>
      </c>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c r="AA117" s="252"/>
      <c r="AB117" s="252"/>
      <c r="AC117" s="252"/>
      <c r="AD117" s="252"/>
      <c r="AE117" s="252"/>
      <c r="AF117" s="252"/>
      <c r="AG117" s="252"/>
      <c r="AH117" s="252"/>
      <c r="AI117" s="252"/>
      <c r="AJ117" s="252"/>
      <c r="AK117" s="273"/>
      <c r="AL117" s="273"/>
      <c r="AM117" s="273"/>
      <c r="AN117" s="273"/>
      <c r="AO117" s="273"/>
      <c r="AP117" s="273"/>
      <c r="AQ117" s="273"/>
      <c r="AR117" s="273"/>
      <c r="AS117" s="273"/>
      <c r="AT117" s="273"/>
      <c r="AU117" s="273"/>
      <c r="AV117" s="273"/>
      <c r="AW117" s="273"/>
      <c r="AX117" s="273"/>
    </row>
    <row r="118" spans="1:50">
      <c r="A118" s="4" t="s">
        <v>621</v>
      </c>
      <c r="B118" s="16"/>
      <c r="C118" s="16"/>
      <c r="D118" s="16"/>
      <c r="E118" s="16"/>
      <c r="F118" s="16"/>
      <c r="G118" s="497" t="e">
        <f t="shared" ref="G118:O122" si="159">(G101/C101-1)*100</f>
        <v>#DIV/0!</v>
      </c>
      <c r="H118" s="497" t="e">
        <f t="shared" si="159"/>
        <v>#DIV/0!</v>
      </c>
      <c r="I118" s="497" t="e">
        <f t="shared" si="159"/>
        <v>#DIV/0!</v>
      </c>
      <c r="J118" s="497" t="e">
        <f t="shared" si="159"/>
        <v>#DIV/0!</v>
      </c>
      <c r="K118" s="497" t="e">
        <f t="shared" si="159"/>
        <v>#DIV/0!</v>
      </c>
      <c r="L118" s="497" t="e">
        <f t="shared" si="159"/>
        <v>#DIV/0!</v>
      </c>
      <c r="M118" s="497">
        <f t="shared" si="159"/>
        <v>11.175389885513386</v>
      </c>
      <c r="N118" s="497">
        <f t="shared" si="159"/>
        <v>24.90171551107936</v>
      </c>
      <c r="O118" s="497">
        <f t="shared" si="159"/>
        <v>6.3849218221039283</v>
      </c>
      <c r="P118" s="497">
        <f t="shared" ref="P118:Y123" si="160">(P101/L101-1)*100</f>
        <v>-10.339866930408192</v>
      </c>
      <c r="Q118" s="497">
        <f t="shared" si="160"/>
        <v>-9.6934921557234155</v>
      </c>
      <c r="R118" s="497">
        <f t="shared" si="160"/>
        <v>-10.353029544316495</v>
      </c>
      <c r="S118" s="497">
        <f t="shared" si="160"/>
        <v>-4.0742851222544623</v>
      </c>
      <c r="T118" s="497">
        <f t="shared" si="160"/>
        <v>4.1177797833934715</v>
      </c>
      <c r="U118" s="497">
        <f t="shared" si="160"/>
        <v>1.0101822510334868</v>
      </c>
      <c r="V118" s="497">
        <f t="shared" si="160"/>
        <v>1.9378777904123679</v>
      </c>
      <c r="W118" s="497">
        <f t="shared" si="160"/>
        <v>-4.5269918416941284</v>
      </c>
      <c r="X118" s="497">
        <f t="shared" si="160"/>
        <v>-11.727525553508865</v>
      </c>
      <c r="Y118" s="497">
        <f t="shared" si="160"/>
        <v>-12.770921251692013</v>
      </c>
      <c r="Z118" s="606"/>
      <c r="AA118" s="606"/>
      <c r="AB118" s="606"/>
      <c r="AC118" s="606"/>
      <c r="AD118" s="606"/>
      <c r="AE118" s="606"/>
      <c r="AF118" s="606"/>
      <c r="AG118" s="606"/>
      <c r="AH118" s="606"/>
      <c r="AI118" s="606"/>
      <c r="AJ118" s="606"/>
      <c r="AK118" s="16"/>
      <c r="AL118" s="16"/>
      <c r="AM118" s="16"/>
      <c r="AN118" s="16"/>
      <c r="AO118" s="16"/>
      <c r="AP118" s="16"/>
      <c r="AQ118" s="16"/>
      <c r="AR118" s="16"/>
      <c r="AS118" s="16"/>
      <c r="AT118" s="16"/>
      <c r="AU118" s="16"/>
      <c r="AV118" s="16"/>
      <c r="AW118" s="16"/>
      <c r="AX118" s="16"/>
    </row>
    <row r="119" spans="1:50">
      <c r="A119" s="4" t="s">
        <v>622</v>
      </c>
      <c r="B119" s="16"/>
      <c r="C119" s="16"/>
      <c r="D119" s="16"/>
      <c r="E119" s="16"/>
      <c r="F119" s="16"/>
      <c r="G119" s="497" t="e">
        <f t="shared" si="159"/>
        <v>#DIV/0!</v>
      </c>
      <c r="H119" s="497" t="e">
        <f t="shared" si="159"/>
        <v>#DIV/0!</v>
      </c>
      <c r="I119" s="497" t="e">
        <f t="shared" si="159"/>
        <v>#DIV/0!</v>
      </c>
      <c r="J119" s="497" t="e">
        <f t="shared" si="159"/>
        <v>#DIV/0!</v>
      </c>
      <c r="K119" s="497" t="e">
        <f t="shared" si="159"/>
        <v>#DIV/0!</v>
      </c>
      <c r="L119" s="497" t="e">
        <f t="shared" si="159"/>
        <v>#DIV/0!</v>
      </c>
      <c r="M119" s="497">
        <f t="shared" si="159"/>
        <v>19.116489163050019</v>
      </c>
      <c r="N119" s="497">
        <f t="shared" si="159"/>
        <v>41.76711349594131</v>
      </c>
      <c r="O119" s="497">
        <f t="shared" si="159"/>
        <v>31.84691574126628</v>
      </c>
      <c r="P119" s="497">
        <f t="shared" si="160"/>
        <v>26.101518551035664</v>
      </c>
      <c r="Q119" s="497">
        <f t="shared" si="160"/>
        <v>14.331977532442398</v>
      </c>
      <c r="R119" s="497">
        <f t="shared" si="160"/>
        <v>3.8668347348609355</v>
      </c>
      <c r="S119" s="497">
        <f t="shared" si="160"/>
        <v>2.2313213102686857</v>
      </c>
      <c r="T119" s="497">
        <f t="shared" si="160"/>
        <v>-4.2657297576070174</v>
      </c>
      <c r="U119" s="497">
        <f t="shared" si="160"/>
        <v>-0.56378494856819117</v>
      </c>
      <c r="V119" s="497">
        <f t="shared" si="160"/>
        <v>3.926027889161543</v>
      </c>
      <c r="W119" s="497">
        <f t="shared" si="160"/>
        <v>8.1669848984551319</v>
      </c>
      <c r="X119" s="497">
        <f t="shared" si="160"/>
        <v>7.2907618027918675</v>
      </c>
      <c r="Y119" s="497">
        <f t="shared" si="160"/>
        <v>7.1976666530372935</v>
      </c>
      <c r="Z119" s="606"/>
      <c r="AA119" s="606"/>
      <c r="AB119" s="606"/>
      <c r="AC119" s="606"/>
      <c r="AD119" s="606"/>
      <c r="AE119" s="606"/>
      <c r="AF119" s="606"/>
      <c r="AG119" s="606"/>
      <c r="AH119" s="606"/>
      <c r="AI119" s="606"/>
      <c r="AJ119" s="606"/>
      <c r="AK119" s="16"/>
      <c r="AL119" s="16"/>
      <c r="AM119" s="16"/>
      <c r="AN119" s="16"/>
      <c r="AO119" s="16"/>
      <c r="AP119" s="16"/>
      <c r="AQ119" s="16"/>
      <c r="AR119" s="16"/>
      <c r="AS119" s="16"/>
      <c r="AT119" s="16"/>
      <c r="AU119" s="16"/>
      <c r="AV119" s="16"/>
      <c r="AW119" s="16"/>
      <c r="AX119" s="16"/>
    </row>
    <row r="120" spans="1:50">
      <c r="A120" s="4" t="s">
        <v>623</v>
      </c>
      <c r="B120" s="16"/>
      <c r="C120" s="16"/>
      <c r="D120" s="16"/>
      <c r="E120" s="16"/>
      <c r="F120" s="16"/>
      <c r="G120" s="497" t="e">
        <f t="shared" si="159"/>
        <v>#DIV/0!</v>
      </c>
      <c r="H120" s="497" t="e">
        <f t="shared" si="159"/>
        <v>#DIV/0!</v>
      </c>
      <c r="I120" s="497" t="e">
        <f t="shared" si="159"/>
        <v>#DIV/0!</v>
      </c>
      <c r="J120" s="497" t="e">
        <f t="shared" si="159"/>
        <v>#DIV/0!</v>
      </c>
      <c r="K120" s="497" t="e">
        <f t="shared" si="159"/>
        <v>#DIV/0!</v>
      </c>
      <c r="L120" s="497" t="e">
        <f t="shared" si="159"/>
        <v>#DIV/0!</v>
      </c>
      <c r="M120" s="497">
        <f t="shared" si="159"/>
        <v>21.763522255562286</v>
      </c>
      <c r="N120" s="497">
        <f t="shared" si="159"/>
        <v>51.760279899176112</v>
      </c>
      <c r="O120" s="497">
        <f t="shared" si="159"/>
        <v>47.396169571766713</v>
      </c>
      <c r="P120" s="497">
        <f t="shared" si="160"/>
        <v>47.141894693200648</v>
      </c>
      <c r="Q120" s="497">
        <f t="shared" si="160"/>
        <v>29.166561402622349</v>
      </c>
      <c r="R120" s="497">
        <f t="shared" si="160"/>
        <v>37.872898456595763</v>
      </c>
      <c r="S120" s="497">
        <f t="shared" si="160"/>
        <v>30.105071538068493</v>
      </c>
      <c r="T120" s="497">
        <f t="shared" si="160"/>
        <v>32.421193977282734</v>
      </c>
      <c r="U120" s="497">
        <f t="shared" si="160"/>
        <v>22.043498670004681</v>
      </c>
      <c r="V120" s="497">
        <f t="shared" si="160"/>
        <v>17.287668720591331</v>
      </c>
      <c r="W120" s="497">
        <f t="shared" si="160"/>
        <v>19.463161382966977</v>
      </c>
      <c r="X120" s="497">
        <f t="shared" si="160"/>
        <v>20.476159604230993</v>
      </c>
      <c r="Y120" s="497">
        <f t="shared" si="160"/>
        <v>13.443293417779945</v>
      </c>
      <c r="Z120" s="606"/>
      <c r="AA120" s="606"/>
      <c r="AB120" s="606"/>
      <c r="AC120" s="606"/>
      <c r="AD120" s="606"/>
      <c r="AE120" s="606"/>
      <c r="AF120" s="606"/>
      <c r="AG120" s="606"/>
      <c r="AH120" s="606"/>
      <c r="AI120" s="606"/>
      <c r="AJ120" s="606"/>
      <c r="AK120" s="16"/>
      <c r="AL120" s="16"/>
      <c r="AM120" s="16"/>
      <c r="AN120" s="16"/>
      <c r="AO120" s="16"/>
      <c r="AP120" s="16"/>
      <c r="AQ120" s="16"/>
      <c r="AR120" s="16"/>
      <c r="AS120" s="16"/>
      <c r="AT120" s="16"/>
      <c r="AU120" s="16"/>
      <c r="AV120" s="16"/>
      <c r="AW120" s="16"/>
      <c r="AX120" s="16"/>
    </row>
    <row r="121" spans="1:50">
      <c r="A121" s="4" t="s">
        <v>624</v>
      </c>
      <c r="B121" s="16"/>
      <c r="C121" s="16"/>
      <c r="D121" s="16"/>
      <c r="E121" s="16"/>
      <c r="F121" s="16"/>
      <c r="G121" s="497" t="e">
        <f t="shared" si="159"/>
        <v>#DIV/0!</v>
      </c>
      <c r="H121" s="497" t="e">
        <f t="shared" si="159"/>
        <v>#DIV/0!</v>
      </c>
      <c r="I121" s="497" t="e">
        <f t="shared" si="159"/>
        <v>#DIV/0!</v>
      </c>
      <c r="J121" s="497" t="e">
        <f t="shared" si="159"/>
        <v>#DIV/0!</v>
      </c>
      <c r="K121" s="497" t="e">
        <f t="shared" si="159"/>
        <v>#DIV/0!</v>
      </c>
      <c r="L121" s="497" t="e">
        <f t="shared" si="159"/>
        <v>#DIV/0!</v>
      </c>
      <c r="M121" s="497">
        <f t="shared" si="159"/>
        <v>17.351800434708565</v>
      </c>
      <c r="N121" s="497">
        <f t="shared" si="159"/>
        <v>27.132103288062879</v>
      </c>
      <c r="O121" s="497">
        <f t="shared" si="159"/>
        <v>12.280875999404085</v>
      </c>
      <c r="P121" s="497">
        <f t="shared" si="160"/>
        <v>30.115917872566133</v>
      </c>
      <c r="Q121" s="497">
        <f t="shared" si="160"/>
        <v>27.930517752836479</v>
      </c>
      <c r="R121" s="497">
        <f t="shared" si="160"/>
        <v>27.218312849391047</v>
      </c>
      <c r="S121" s="497">
        <f t="shared" si="160"/>
        <v>19.436919504643946</v>
      </c>
      <c r="T121" s="497">
        <f t="shared" si="160"/>
        <v>13.583032490974723</v>
      </c>
      <c r="U121" s="497">
        <f t="shared" si="160"/>
        <v>20.089883342895387</v>
      </c>
      <c r="V121" s="497">
        <f t="shared" si="160"/>
        <v>25.128327893304881</v>
      </c>
      <c r="W121" s="497">
        <f t="shared" si="160"/>
        <v>19.073077590696073</v>
      </c>
      <c r="X121" s="497">
        <f t="shared" si="160"/>
        <v>13.845207428197925</v>
      </c>
      <c r="Y121" s="497">
        <f t="shared" si="160"/>
        <v>6.7997053905565652</v>
      </c>
      <c r="Z121" s="606"/>
      <c r="AA121" s="606"/>
      <c r="AB121" s="606"/>
      <c r="AC121" s="606"/>
      <c r="AD121" s="606"/>
      <c r="AE121" s="606"/>
      <c r="AF121" s="606"/>
      <c r="AG121" s="606"/>
      <c r="AH121" s="606"/>
      <c r="AI121" s="606"/>
      <c r="AJ121" s="606"/>
      <c r="AK121" s="16"/>
      <c r="AL121" s="16"/>
      <c r="AM121" s="16"/>
      <c r="AN121" s="16"/>
      <c r="AO121" s="16"/>
      <c r="AP121" s="16"/>
      <c r="AQ121" s="16"/>
      <c r="AR121" s="16"/>
      <c r="AS121" s="16"/>
      <c r="AT121" s="16"/>
      <c r="AU121" s="16"/>
      <c r="AV121" s="16"/>
      <c r="AW121" s="16"/>
      <c r="AX121" s="16"/>
    </row>
    <row r="122" spans="1:50">
      <c r="A122" s="4" t="s">
        <v>625</v>
      </c>
      <c r="B122" s="16"/>
      <c r="C122" s="16"/>
      <c r="D122" s="16"/>
      <c r="E122" s="16"/>
      <c r="F122" s="16"/>
      <c r="G122" s="497" t="e">
        <f t="shared" si="159"/>
        <v>#DIV/0!</v>
      </c>
      <c r="H122" s="497" t="e">
        <f t="shared" si="159"/>
        <v>#DIV/0!</v>
      </c>
      <c r="I122" s="497" t="e">
        <f t="shared" si="159"/>
        <v>#DIV/0!</v>
      </c>
      <c r="J122" s="497" t="e">
        <f t="shared" si="159"/>
        <v>#DIV/0!</v>
      </c>
      <c r="K122" s="497" t="e">
        <f t="shared" si="159"/>
        <v>#DIV/0!</v>
      </c>
      <c r="L122" s="497" t="e">
        <f t="shared" si="159"/>
        <v>#DIV/0!</v>
      </c>
      <c r="M122" s="497">
        <f t="shared" si="159"/>
        <v>-0.325512516436266</v>
      </c>
      <c r="N122" s="497">
        <f t="shared" si="159"/>
        <v>27.927016578821728</v>
      </c>
      <c r="O122" s="497">
        <f t="shared" si="159"/>
        <v>22.513321064143433</v>
      </c>
      <c r="P122" s="497">
        <f t="shared" si="160"/>
        <v>22.885572139303445</v>
      </c>
      <c r="Q122" s="497">
        <f t="shared" si="160"/>
        <v>31.402136503821577</v>
      </c>
      <c r="R122" s="497">
        <f t="shared" si="160"/>
        <v>11.683741828959636</v>
      </c>
      <c r="S122" s="497">
        <f t="shared" si="160"/>
        <v>25.248136030452706</v>
      </c>
      <c r="T122" s="497">
        <f t="shared" si="160"/>
        <v>22.780039170405896</v>
      </c>
      <c r="U122" s="497">
        <f t="shared" si="160"/>
        <v>24.561713823107191</v>
      </c>
      <c r="V122" s="497">
        <f t="shared" si="160"/>
        <v>20.45411266952193</v>
      </c>
      <c r="W122" s="497">
        <f t="shared" si="160"/>
        <v>16.129305716465581</v>
      </c>
      <c r="X122" s="497">
        <f t="shared" si="160"/>
        <v>13.71661466075631</v>
      </c>
      <c r="Y122" s="497">
        <f t="shared" si="160"/>
        <v>4.7063851401170087</v>
      </c>
      <c r="Z122" s="606"/>
      <c r="AA122" s="606"/>
      <c r="AB122" s="606"/>
      <c r="AC122" s="606"/>
      <c r="AD122" s="606"/>
      <c r="AE122" s="606"/>
      <c r="AF122" s="606"/>
      <c r="AG122" s="606"/>
      <c r="AH122" s="606"/>
      <c r="AI122" s="606"/>
      <c r="AJ122" s="606"/>
      <c r="AK122" s="16"/>
      <c r="AL122" s="16"/>
      <c r="AM122" s="16"/>
      <c r="AN122" s="16"/>
      <c r="AO122" s="16"/>
      <c r="AP122" s="16"/>
      <c r="AQ122" s="16"/>
      <c r="AR122" s="16"/>
      <c r="AS122" s="16"/>
      <c r="AT122" s="16"/>
      <c r="AU122" s="16"/>
      <c r="AV122" s="16"/>
      <c r="AW122" s="16"/>
      <c r="AX122" s="16"/>
    </row>
    <row r="123" spans="1:50">
      <c r="A123" s="4" t="s">
        <v>626</v>
      </c>
      <c r="B123" s="16"/>
      <c r="C123" s="16"/>
      <c r="D123" s="16"/>
      <c r="E123" s="16"/>
      <c r="F123" s="16"/>
      <c r="G123" s="497" t="e">
        <f t="shared" ref="G123:O123" si="161">(G106/C106-1)*100</f>
        <v>#DIV/0!</v>
      </c>
      <c r="H123" s="497" t="e">
        <f t="shared" si="161"/>
        <v>#DIV/0!</v>
      </c>
      <c r="I123" s="497" t="e">
        <f t="shared" si="161"/>
        <v>#DIV/0!</v>
      </c>
      <c r="J123" s="497" t="e">
        <f t="shared" si="161"/>
        <v>#DIV/0!</v>
      </c>
      <c r="K123" s="497" t="e">
        <f t="shared" si="161"/>
        <v>#DIV/0!</v>
      </c>
      <c r="L123" s="497" t="e">
        <f t="shared" si="161"/>
        <v>#DIV/0!</v>
      </c>
      <c r="M123" s="497">
        <f t="shared" si="161"/>
        <v>-44.412305057243309</v>
      </c>
      <c r="N123" s="497">
        <f t="shared" si="161"/>
        <v>415.12260310159422</v>
      </c>
      <c r="O123" s="497">
        <f t="shared" si="161"/>
        <v>731.50419625564882</v>
      </c>
      <c r="P123" s="497">
        <f t="shared" si="160"/>
        <v>947.36318407960209</v>
      </c>
      <c r="Q123" s="497">
        <f t="shared" si="160"/>
        <v>1412.4230098779776</v>
      </c>
      <c r="R123" s="497">
        <f t="shared" si="160"/>
        <v>59.852429246279073</v>
      </c>
      <c r="S123" s="497">
        <f t="shared" si="160"/>
        <v>4.9264465511605016</v>
      </c>
      <c r="T123" s="497">
        <f t="shared" si="160"/>
        <v>-9.3328424852745613</v>
      </c>
      <c r="U123" s="497">
        <f t="shared" si="160"/>
        <v>-8.5781903122694949</v>
      </c>
      <c r="V123" s="497">
        <f t="shared" si="160"/>
        <v>-2.5464509335476948</v>
      </c>
      <c r="W123" s="497">
        <f t="shared" si="160"/>
        <v>2.8892887185718363</v>
      </c>
      <c r="X123" s="497">
        <f t="shared" si="160"/>
        <v>13.269329002344499</v>
      </c>
      <c r="Y123" s="497">
        <f t="shared" si="160"/>
        <v>10.962346612876118</v>
      </c>
      <c r="Z123" s="606"/>
      <c r="AA123" s="606"/>
      <c r="AB123" s="606"/>
      <c r="AC123" s="606"/>
      <c r="AD123" s="606"/>
      <c r="AE123" s="606"/>
      <c r="AF123" s="606"/>
      <c r="AG123" s="606"/>
      <c r="AH123" s="606"/>
      <c r="AI123" s="606"/>
      <c r="AJ123" s="606"/>
      <c r="AK123" s="16"/>
      <c r="AL123" s="16"/>
      <c r="AM123" s="16"/>
      <c r="AN123" s="16"/>
      <c r="AO123" s="16"/>
      <c r="AP123" s="16"/>
      <c r="AQ123" s="16"/>
      <c r="AR123" s="16"/>
      <c r="AS123" s="16"/>
      <c r="AT123" s="16"/>
      <c r="AU123" s="16"/>
      <c r="AV123" s="16"/>
      <c r="AW123" s="16"/>
      <c r="AX123" s="16"/>
    </row>
    <row r="124" spans="1:50">
      <c r="A124" s="4"/>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4"/>
      <c r="AM124" s="4"/>
      <c r="AN124" s="4"/>
      <c r="AO124" s="4"/>
      <c r="AP124" s="4"/>
      <c r="AQ124" s="4"/>
      <c r="AR124" s="4"/>
      <c r="AS124" s="4"/>
      <c r="AT124" s="4"/>
      <c r="AU124" s="4"/>
      <c r="AV124" s="4"/>
      <c r="AW124" s="4"/>
      <c r="AX124" s="4"/>
    </row>
    <row r="125" spans="1:50">
      <c r="A125" s="251" t="s">
        <v>638</v>
      </c>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73"/>
      <c r="AL125" s="273"/>
      <c r="AM125" s="273"/>
      <c r="AN125" s="273"/>
      <c r="AO125" s="273"/>
      <c r="AP125" s="273"/>
      <c r="AQ125" s="273"/>
      <c r="AR125" s="273"/>
      <c r="AS125" s="273"/>
      <c r="AT125" s="273"/>
      <c r="AU125" s="273"/>
      <c r="AV125" s="273"/>
      <c r="AW125" s="273"/>
      <c r="AX125" s="273"/>
    </row>
    <row r="126" spans="1:50">
      <c r="A126" s="4" t="s">
        <v>639</v>
      </c>
      <c r="B126" s="13">
        <v>0</v>
      </c>
      <c r="C126" s="13">
        <f t="shared" ref="C126:X126" si="162">C$4*(C55/100)</f>
        <v>0</v>
      </c>
      <c r="D126" s="13">
        <f t="shared" si="162"/>
        <v>0</v>
      </c>
      <c r="E126" s="13">
        <f t="shared" si="162"/>
        <v>0</v>
      </c>
      <c r="F126" s="13">
        <f t="shared" si="162"/>
        <v>0</v>
      </c>
      <c r="G126" s="13">
        <f t="shared" si="162"/>
        <v>0</v>
      </c>
      <c r="H126" s="13">
        <f t="shared" si="162"/>
        <v>0</v>
      </c>
      <c r="I126" s="13">
        <f t="shared" si="162"/>
        <v>0</v>
      </c>
      <c r="J126" s="13">
        <f t="shared" si="162"/>
        <v>0</v>
      </c>
      <c r="K126" s="13">
        <f t="shared" si="162"/>
        <v>0</v>
      </c>
      <c r="L126" s="13">
        <f t="shared" si="162"/>
        <v>0</v>
      </c>
      <c r="M126" s="13">
        <f t="shared" si="162"/>
        <v>0</v>
      </c>
      <c r="N126" s="13">
        <f t="shared" si="162"/>
        <v>0</v>
      </c>
      <c r="O126" s="13">
        <f t="shared" si="162"/>
        <v>0</v>
      </c>
      <c r="P126" s="13">
        <f t="shared" si="162"/>
        <v>0</v>
      </c>
      <c r="Q126" s="13">
        <f t="shared" si="162"/>
        <v>0</v>
      </c>
      <c r="R126" s="13">
        <f t="shared" si="162"/>
        <v>0</v>
      </c>
      <c r="S126" s="13">
        <f t="shared" si="162"/>
        <v>0</v>
      </c>
      <c r="T126" s="13">
        <f t="shared" si="162"/>
        <v>0</v>
      </c>
      <c r="U126" s="13">
        <f t="shared" si="162"/>
        <v>0</v>
      </c>
      <c r="V126" s="13">
        <f t="shared" si="162"/>
        <v>95.13</v>
      </c>
      <c r="W126" s="13">
        <f t="shared" si="162"/>
        <v>98.725499999999997</v>
      </c>
      <c r="X126" s="13">
        <f t="shared" si="162"/>
        <v>0</v>
      </c>
      <c r="Y126" s="13">
        <f t="shared" ref="Y126:AD126" si="163">Y$4*(Y55/100)</f>
        <v>98.5959</v>
      </c>
      <c r="Z126" s="13">
        <f t="shared" si="163"/>
        <v>91.934399999999997</v>
      </c>
      <c r="AA126" s="13">
        <f t="shared" si="163"/>
        <v>154.80240000000001</v>
      </c>
      <c r="AB126" s="13">
        <f t="shared" si="163"/>
        <v>163.61949999999999</v>
      </c>
      <c r="AC126" s="13">
        <f t="shared" si="163"/>
        <v>178.75049999999999</v>
      </c>
      <c r="AD126" s="13">
        <f t="shared" si="163"/>
        <v>203.06159999999997</v>
      </c>
      <c r="AE126" s="13">
        <f t="shared" ref="AE126:AF126" si="164">AE$4*(AE55/100)</f>
        <v>213.02810000000002</v>
      </c>
      <c r="AF126" s="13">
        <f t="shared" si="164"/>
        <v>213.5196</v>
      </c>
      <c r="AG126" s="13">
        <f t="shared" ref="AG126" si="165">AG$4*(AG55/100)</f>
        <v>220.58410000000001</v>
      </c>
      <c r="AH126" s="13"/>
      <c r="AI126" s="13"/>
      <c r="AJ126" s="13"/>
      <c r="AK126" s="13"/>
      <c r="AL126" s="13"/>
      <c r="AM126" s="13"/>
      <c r="AN126" s="13"/>
      <c r="AO126" s="13"/>
      <c r="AP126" s="13"/>
      <c r="AQ126" s="13">
        <f t="shared" ref="AQ126:AR130" si="166">AQ$4*(AQ55/100)</f>
        <v>385.85430000000002</v>
      </c>
      <c r="AR126" s="13">
        <f t="shared" si="166"/>
        <v>598.024</v>
      </c>
      <c r="AS126" s="13">
        <f t="shared" ref="AS126" si="167">AS$4*(AS55/100)</f>
        <v>1089.27</v>
      </c>
      <c r="AT126" s="13"/>
      <c r="AU126" s="13"/>
      <c r="AV126" s="13"/>
      <c r="AW126" s="13"/>
      <c r="AX126" s="13"/>
    </row>
    <row r="127" spans="1:50">
      <c r="A127" s="4" t="s">
        <v>622</v>
      </c>
      <c r="B127" s="13">
        <v>0</v>
      </c>
      <c r="C127" s="13">
        <f t="shared" ref="C127:X127" si="168">C$4*(C56/100)</f>
        <v>0</v>
      </c>
      <c r="D127" s="13">
        <f t="shared" si="168"/>
        <v>0</v>
      </c>
      <c r="E127" s="13">
        <f t="shared" si="168"/>
        <v>0</v>
      </c>
      <c r="F127" s="13">
        <f t="shared" si="168"/>
        <v>0</v>
      </c>
      <c r="G127" s="13">
        <f t="shared" si="168"/>
        <v>0</v>
      </c>
      <c r="H127" s="13">
        <f t="shared" si="168"/>
        <v>0</v>
      </c>
      <c r="I127" s="13">
        <f t="shared" si="168"/>
        <v>0</v>
      </c>
      <c r="J127" s="13">
        <f t="shared" si="168"/>
        <v>0</v>
      </c>
      <c r="K127" s="13">
        <f t="shared" si="168"/>
        <v>0</v>
      </c>
      <c r="L127" s="13">
        <f t="shared" si="168"/>
        <v>0</v>
      </c>
      <c r="M127" s="13">
        <f t="shared" si="168"/>
        <v>0</v>
      </c>
      <c r="N127" s="13">
        <f t="shared" si="168"/>
        <v>0</v>
      </c>
      <c r="O127" s="13">
        <f t="shared" si="168"/>
        <v>0</v>
      </c>
      <c r="P127" s="13">
        <f t="shared" si="168"/>
        <v>0</v>
      </c>
      <c r="Q127" s="13">
        <f t="shared" si="168"/>
        <v>0</v>
      </c>
      <c r="R127" s="13">
        <f t="shared" si="168"/>
        <v>0</v>
      </c>
      <c r="S127" s="13">
        <f t="shared" si="168"/>
        <v>0</v>
      </c>
      <c r="T127" s="13">
        <f t="shared" si="168"/>
        <v>0</v>
      </c>
      <c r="U127" s="13">
        <f t="shared" si="168"/>
        <v>0</v>
      </c>
      <c r="V127" s="13">
        <f t="shared" si="168"/>
        <v>31.257000000000001</v>
      </c>
      <c r="W127" s="13">
        <f t="shared" si="168"/>
        <v>33.650100000000002</v>
      </c>
      <c r="X127" s="13">
        <f t="shared" si="168"/>
        <v>0</v>
      </c>
      <c r="Y127" s="13">
        <f t="shared" ref="Y127:Z130" si="169">Y$4*(Y56/100)</f>
        <v>31.460799999999995</v>
      </c>
      <c r="Z127" s="13">
        <f t="shared" si="169"/>
        <v>31.790399999999998</v>
      </c>
      <c r="AA127" s="13">
        <f t="shared" ref="AA127:AB127" si="170">AA$4*(AA56/100)</f>
        <v>33.2241</v>
      </c>
      <c r="AB127" s="13">
        <f t="shared" si="170"/>
        <v>34.754500000000007</v>
      </c>
      <c r="AC127" s="13">
        <f t="shared" ref="AC127:AD127" si="171">AC$4*(AC56/100)</f>
        <v>35.508000000000003</v>
      </c>
      <c r="AD127" s="13">
        <f t="shared" si="171"/>
        <v>37.1616</v>
      </c>
      <c r="AE127" s="13">
        <f t="shared" ref="AE127:AF127" si="172">AE$4*(AE56/100)</f>
        <v>36.043800000000005</v>
      </c>
      <c r="AF127" s="13">
        <f t="shared" si="172"/>
        <v>37.510199999999998</v>
      </c>
      <c r="AG127" s="13">
        <f t="shared" ref="AG127" si="173">AG$4*(AG56/100)</f>
        <v>41.084400000000002</v>
      </c>
      <c r="AH127" s="13"/>
      <c r="AI127" s="13"/>
      <c r="AJ127" s="13"/>
      <c r="AK127" s="13"/>
      <c r="AL127" s="13"/>
      <c r="AM127" s="13"/>
      <c r="AN127" s="13"/>
      <c r="AO127" s="13"/>
      <c r="AP127" s="13"/>
      <c r="AQ127" s="13">
        <f t="shared" si="166"/>
        <v>126.4195</v>
      </c>
      <c r="AR127" s="13">
        <f t="shared" si="166"/>
        <v>133.21600000000001</v>
      </c>
      <c r="AS127" s="13">
        <f t="shared" ref="AS127" si="174">AS$4*(AS56/100)</f>
        <v>202.53999999999996</v>
      </c>
      <c r="AT127" s="13"/>
      <c r="AU127" s="13"/>
      <c r="AV127" s="13"/>
      <c r="AW127" s="13"/>
      <c r="AX127" s="13"/>
    </row>
    <row r="128" spans="1:50">
      <c r="A128" s="4" t="s">
        <v>623</v>
      </c>
      <c r="B128" s="13">
        <v>0</v>
      </c>
      <c r="C128" s="13">
        <f t="shared" ref="C128:X128" si="175">C$4*(C57/100)</f>
        <v>0</v>
      </c>
      <c r="D128" s="13">
        <f t="shared" si="175"/>
        <v>0</v>
      </c>
      <c r="E128" s="13">
        <f t="shared" si="175"/>
        <v>0</v>
      </c>
      <c r="F128" s="13">
        <f t="shared" si="175"/>
        <v>0</v>
      </c>
      <c r="G128" s="13">
        <f t="shared" si="175"/>
        <v>0</v>
      </c>
      <c r="H128" s="13">
        <f t="shared" si="175"/>
        <v>0</v>
      </c>
      <c r="I128" s="13">
        <f t="shared" si="175"/>
        <v>0</v>
      </c>
      <c r="J128" s="13">
        <f t="shared" si="175"/>
        <v>0</v>
      </c>
      <c r="K128" s="13">
        <f t="shared" si="175"/>
        <v>0</v>
      </c>
      <c r="L128" s="13">
        <f t="shared" si="175"/>
        <v>0</v>
      </c>
      <c r="M128" s="13">
        <f t="shared" si="175"/>
        <v>0</v>
      </c>
      <c r="N128" s="13">
        <f t="shared" si="175"/>
        <v>0</v>
      </c>
      <c r="O128" s="13">
        <f t="shared" si="175"/>
        <v>0</v>
      </c>
      <c r="P128" s="13">
        <f t="shared" si="175"/>
        <v>0</v>
      </c>
      <c r="Q128" s="13">
        <f t="shared" si="175"/>
        <v>0</v>
      </c>
      <c r="R128" s="13">
        <f t="shared" si="175"/>
        <v>0</v>
      </c>
      <c r="S128" s="13">
        <f t="shared" si="175"/>
        <v>0</v>
      </c>
      <c r="T128" s="13">
        <f t="shared" si="175"/>
        <v>0</v>
      </c>
      <c r="U128" s="13">
        <f t="shared" si="175"/>
        <v>0</v>
      </c>
      <c r="V128" s="13">
        <f t="shared" si="175"/>
        <v>65.231999999999999</v>
      </c>
      <c r="W128" s="13">
        <f t="shared" si="175"/>
        <v>68.134500000000003</v>
      </c>
      <c r="X128" s="13">
        <f t="shared" si="175"/>
        <v>0</v>
      </c>
      <c r="Y128" s="13">
        <f t="shared" si="169"/>
        <v>70.786799999999999</v>
      </c>
      <c r="Z128" s="13">
        <f t="shared" si="169"/>
        <v>79.619200000000006</v>
      </c>
      <c r="AA128" s="13">
        <f t="shared" ref="AA128:AB128" si="176">AA$4*(AA57/100)</f>
        <v>84.703199999999995</v>
      </c>
      <c r="AB128" s="13">
        <f t="shared" si="176"/>
        <v>87.471999999999994</v>
      </c>
      <c r="AC128" s="13">
        <f t="shared" ref="AC128:AD128" si="177">AC$4*(AC57/100)</f>
        <v>90.383999999999986</v>
      </c>
      <c r="AD128" s="13">
        <f t="shared" si="177"/>
        <v>90.249599999999987</v>
      </c>
      <c r="AE128" s="13">
        <f t="shared" ref="AE128:AF128" si="178">AE$4*(AE57/100)</f>
        <v>97.965199999999996</v>
      </c>
      <c r="AF128" s="13">
        <f t="shared" si="178"/>
        <v>106.7598</v>
      </c>
      <c r="AG128" s="13">
        <f t="shared" ref="AG128" si="179">AG$4*(AG57/100)</f>
        <v>102.22190000000001</v>
      </c>
      <c r="AH128" s="13"/>
      <c r="AI128" s="13"/>
      <c r="AJ128" s="13"/>
      <c r="AK128" s="299"/>
      <c r="AL128" s="299"/>
      <c r="AM128" s="299"/>
      <c r="AN128" s="299"/>
      <c r="AO128" s="299"/>
      <c r="AP128" s="299"/>
      <c r="AQ128" s="13">
        <f t="shared" si="166"/>
        <v>273.72569999999996</v>
      </c>
      <c r="AR128" s="13">
        <f t="shared" si="166"/>
        <v>340.28</v>
      </c>
      <c r="AS128" s="13">
        <f t="shared" ref="AS128" si="180">AS$4*(AS57/100)</f>
        <v>531.04999999999995</v>
      </c>
      <c r="AT128" s="299"/>
      <c r="AU128" s="299"/>
      <c r="AV128" s="299"/>
      <c r="AW128" s="13"/>
      <c r="AX128" s="13"/>
    </row>
    <row r="129" spans="1:50">
      <c r="A129" s="4" t="s">
        <v>624</v>
      </c>
      <c r="B129" s="13">
        <v>0</v>
      </c>
      <c r="C129" s="13">
        <f t="shared" ref="C129:X129" si="181">C$4*(C58/100)</f>
        <v>0</v>
      </c>
      <c r="D129" s="13">
        <f t="shared" si="181"/>
        <v>0</v>
      </c>
      <c r="E129" s="13">
        <f t="shared" si="181"/>
        <v>0</v>
      </c>
      <c r="F129" s="13">
        <f t="shared" si="181"/>
        <v>0</v>
      </c>
      <c r="G129" s="13">
        <f t="shared" si="181"/>
        <v>0</v>
      </c>
      <c r="H129" s="13">
        <f t="shared" si="181"/>
        <v>0</v>
      </c>
      <c r="I129" s="13">
        <f t="shared" si="181"/>
        <v>0</v>
      </c>
      <c r="J129" s="13">
        <f t="shared" si="181"/>
        <v>0</v>
      </c>
      <c r="K129" s="13">
        <f t="shared" si="181"/>
        <v>0</v>
      </c>
      <c r="L129" s="13">
        <f t="shared" si="181"/>
        <v>0</v>
      </c>
      <c r="M129" s="13">
        <f t="shared" si="181"/>
        <v>0</v>
      </c>
      <c r="N129" s="13">
        <f t="shared" si="181"/>
        <v>0</v>
      </c>
      <c r="O129" s="13">
        <f t="shared" si="181"/>
        <v>0</v>
      </c>
      <c r="P129" s="13">
        <f t="shared" si="181"/>
        <v>0</v>
      </c>
      <c r="Q129" s="13">
        <f t="shared" si="181"/>
        <v>0</v>
      </c>
      <c r="R129" s="13">
        <f t="shared" si="181"/>
        <v>0</v>
      </c>
      <c r="S129" s="13">
        <f t="shared" si="181"/>
        <v>0</v>
      </c>
      <c r="T129" s="13">
        <f t="shared" si="181"/>
        <v>0</v>
      </c>
      <c r="U129" s="13">
        <f t="shared" si="181"/>
        <v>0</v>
      </c>
      <c r="V129" s="13">
        <f t="shared" si="181"/>
        <v>54.360000000000007</v>
      </c>
      <c r="W129" s="13">
        <f t="shared" si="181"/>
        <v>51.448500000000003</v>
      </c>
      <c r="X129" s="13">
        <f t="shared" si="181"/>
        <v>0</v>
      </c>
      <c r="Y129" s="13">
        <f t="shared" si="169"/>
        <v>53.651899999999998</v>
      </c>
      <c r="Z129" s="13">
        <f t="shared" si="169"/>
        <v>56.420799999999993</v>
      </c>
      <c r="AA129" s="13">
        <f t="shared" ref="AA129:AB129" si="182">AA$4*(AA58/100)</f>
        <v>62.797199999999997</v>
      </c>
      <c r="AB129" s="13">
        <f t="shared" si="182"/>
        <v>74.585499999999996</v>
      </c>
      <c r="AC129" s="13">
        <f t="shared" ref="AC129:AD129" si="183">AC$4*(AC58/100)</f>
        <v>67.384499999999989</v>
      </c>
      <c r="AD129" s="13">
        <f t="shared" si="183"/>
        <v>79.189599999999999</v>
      </c>
      <c r="AE129" s="13">
        <f t="shared" ref="AE129:AF129" si="184">AE$4*(AE58/100)</f>
        <v>79.019100000000009</v>
      </c>
      <c r="AF129" s="13">
        <f t="shared" si="184"/>
        <v>85.119299999999996</v>
      </c>
      <c r="AG129" s="13">
        <f t="shared" ref="AG129" si="185">AG$4*(AG58/100)</f>
        <v>86.570700000000002</v>
      </c>
      <c r="AH129" s="13"/>
      <c r="AI129" s="13"/>
      <c r="AJ129" s="13"/>
      <c r="AK129" s="13"/>
      <c r="AL129" s="13"/>
      <c r="AM129" s="13"/>
      <c r="AN129" s="13"/>
      <c r="AO129" s="13"/>
      <c r="AP129" s="13"/>
      <c r="AQ129" s="13">
        <f t="shared" si="166"/>
        <v>209.96629999999999</v>
      </c>
      <c r="AR129" s="13">
        <f t="shared" si="166"/>
        <v>259.19200000000001</v>
      </c>
      <c r="AS129" s="13">
        <f t="shared" ref="AS129" si="186">AS$4*(AS58/100)</f>
        <v>454.48</v>
      </c>
      <c r="AT129" s="13"/>
      <c r="AU129" s="13"/>
      <c r="AV129" s="13"/>
      <c r="AW129" s="13"/>
      <c r="AX129" s="13"/>
    </row>
    <row r="130" spans="1:50">
      <c r="A130" s="4" t="s">
        <v>626</v>
      </c>
      <c r="B130" s="13">
        <v>0</v>
      </c>
      <c r="C130" s="13">
        <f t="shared" ref="C130:X130" si="187">C$4*(C59/100)</f>
        <v>0</v>
      </c>
      <c r="D130" s="13">
        <f t="shared" si="187"/>
        <v>0</v>
      </c>
      <c r="E130" s="13">
        <f t="shared" si="187"/>
        <v>0</v>
      </c>
      <c r="F130" s="13">
        <f t="shared" si="187"/>
        <v>0</v>
      </c>
      <c r="G130" s="13">
        <f t="shared" si="187"/>
        <v>0</v>
      </c>
      <c r="H130" s="13">
        <f t="shared" si="187"/>
        <v>0</v>
      </c>
      <c r="I130" s="13">
        <f t="shared" si="187"/>
        <v>0</v>
      </c>
      <c r="J130" s="13">
        <f t="shared" si="187"/>
        <v>0</v>
      </c>
      <c r="K130" s="13">
        <f t="shared" si="187"/>
        <v>0</v>
      </c>
      <c r="L130" s="13">
        <f t="shared" si="187"/>
        <v>0</v>
      </c>
      <c r="M130" s="13">
        <f t="shared" si="187"/>
        <v>0</v>
      </c>
      <c r="N130" s="13">
        <f t="shared" si="187"/>
        <v>0</v>
      </c>
      <c r="O130" s="13">
        <f t="shared" si="187"/>
        <v>0</v>
      </c>
      <c r="P130" s="13">
        <f t="shared" si="187"/>
        <v>0</v>
      </c>
      <c r="Q130" s="13">
        <f t="shared" si="187"/>
        <v>0</v>
      </c>
      <c r="R130" s="13">
        <f t="shared" si="187"/>
        <v>0</v>
      </c>
      <c r="S130" s="13">
        <f t="shared" si="187"/>
        <v>0</v>
      </c>
      <c r="T130" s="13">
        <f t="shared" si="187"/>
        <v>0</v>
      </c>
      <c r="U130" s="13">
        <f t="shared" si="187"/>
        <v>0</v>
      </c>
      <c r="V130" s="13">
        <f t="shared" si="187"/>
        <v>25.821000000000002</v>
      </c>
      <c r="W130" s="13">
        <f t="shared" si="187"/>
        <v>26.419500000000003</v>
      </c>
      <c r="X130" s="13">
        <f t="shared" si="187"/>
        <v>0</v>
      </c>
      <c r="Y130" s="13">
        <f t="shared" si="169"/>
        <v>26.404599999999999</v>
      </c>
      <c r="Z130" s="13">
        <f t="shared" si="169"/>
        <v>26.921599999999998</v>
      </c>
      <c r="AA130" s="13">
        <f t="shared" ref="AA130:AB130" si="188">AA$4*(AA59/100)</f>
        <v>29.573100000000004</v>
      </c>
      <c r="AB130" s="13">
        <f t="shared" si="188"/>
        <v>29.678000000000001</v>
      </c>
      <c r="AC130" s="13">
        <f t="shared" ref="AC130:AD130" si="189">AC$4*(AC59/100)</f>
        <v>31.472999999999999</v>
      </c>
      <c r="AD130" s="13">
        <f t="shared" si="189"/>
        <v>33.18</v>
      </c>
      <c r="AE130" s="13">
        <f t="shared" ref="AE130:AF130" si="190">AE$4*(AE59/100)</f>
        <v>36.043800000000005</v>
      </c>
      <c r="AF130" s="13">
        <f t="shared" si="190"/>
        <v>37.991099999999996</v>
      </c>
      <c r="AG130" s="13">
        <f t="shared" ref="AG130" si="191">AG$4*(AG59/100)</f>
        <v>39.128</v>
      </c>
      <c r="AH130" s="13"/>
      <c r="AI130" s="13"/>
      <c r="AJ130" s="13"/>
      <c r="AK130" s="13"/>
      <c r="AL130" s="13"/>
      <c r="AM130" s="13"/>
      <c r="AN130" s="13"/>
      <c r="AO130" s="13"/>
      <c r="AP130" s="13"/>
      <c r="AQ130" s="13">
        <f t="shared" si="166"/>
        <v>103.3342</v>
      </c>
      <c r="AR130" s="13">
        <f t="shared" si="166"/>
        <v>117.288</v>
      </c>
      <c r="AS130" s="13">
        <f t="shared" ref="AS130" si="192">AS$4*(AS59/100)</f>
        <v>195.13</v>
      </c>
      <c r="AT130" s="13"/>
      <c r="AU130" s="13"/>
      <c r="AV130" s="13"/>
      <c r="AW130" s="13"/>
      <c r="AX130" s="13"/>
    </row>
    <row r="131" spans="1:50">
      <c r="A131" s="10" t="s">
        <v>279</v>
      </c>
      <c r="B131" s="255">
        <v>0</v>
      </c>
      <c r="C131" s="255">
        <f t="shared" ref="C131:Y131" si="193">SUM(C126:C130)</f>
        <v>0</v>
      </c>
      <c r="D131" s="255">
        <f t="shared" si="193"/>
        <v>0</v>
      </c>
      <c r="E131" s="255">
        <f t="shared" si="193"/>
        <v>0</v>
      </c>
      <c r="F131" s="255">
        <f t="shared" si="193"/>
        <v>0</v>
      </c>
      <c r="G131" s="255">
        <f t="shared" si="193"/>
        <v>0</v>
      </c>
      <c r="H131" s="255">
        <f t="shared" si="193"/>
        <v>0</v>
      </c>
      <c r="I131" s="255">
        <f t="shared" si="193"/>
        <v>0</v>
      </c>
      <c r="J131" s="255">
        <f t="shared" si="193"/>
        <v>0</v>
      </c>
      <c r="K131" s="255">
        <f t="shared" si="193"/>
        <v>0</v>
      </c>
      <c r="L131" s="255">
        <f t="shared" si="193"/>
        <v>0</v>
      </c>
      <c r="M131" s="255">
        <f t="shared" si="193"/>
        <v>0</v>
      </c>
      <c r="N131" s="255">
        <f t="shared" si="193"/>
        <v>0</v>
      </c>
      <c r="O131" s="255">
        <f t="shared" si="193"/>
        <v>0</v>
      </c>
      <c r="P131" s="255">
        <f t="shared" si="193"/>
        <v>0</v>
      </c>
      <c r="Q131" s="255">
        <f t="shared" si="193"/>
        <v>0</v>
      </c>
      <c r="R131" s="255">
        <f t="shared" si="193"/>
        <v>0</v>
      </c>
      <c r="S131" s="255">
        <f t="shared" si="193"/>
        <v>0</v>
      </c>
      <c r="T131" s="255">
        <f t="shared" si="193"/>
        <v>0</v>
      </c>
      <c r="U131" s="255">
        <f t="shared" si="193"/>
        <v>0</v>
      </c>
      <c r="V131" s="255">
        <f t="shared" si="193"/>
        <v>271.8</v>
      </c>
      <c r="W131" s="255">
        <f t="shared" si="193"/>
        <v>278.37810000000002</v>
      </c>
      <c r="X131" s="255">
        <f t="shared" si="193"/>
        <v>0</v>
      </c>
      <c r="Y131" s="255">
        <f t="shared" si="193"/>
        <v>280.90000000000003</v>
      </c>
      <c r="Z131" s="255">
        <f t="shared" ref="Z131:AE131" si="194">SUM(Z126:Z130)</f>
        <v>286.68639999999999</v>
      </c>
      <c r="AA131" s="255">
        <f t="shared" si="194"/>
        <v>365.09999999999997</v>
      </c>
      <c r="AB131" s="255">
        <f t="shared" si="194"/>
        <v>390.10950000000003</v>
      </c>
      <c r="AC131" s="255">
        <f t="shared" si="194"/>
        <v>403.5</v>
      </c>
      <c r="AD131" s="255">
        <f t="shared" si="194"/>
        <v>442.84239999999994</v>
      </c>
      <c r="AE131" s="255">
        <f t="shared" si="194"/>
        <v>462.1</v>
      </c>
      <c r="AF131" s="255">
        <f t="shared" ref="AF131:AG131" si="195">SUM(AF126:AF130)</f>
        <v>480.90000000000003</v>
      </c>
      <c r="AG131" s="255">
        <f t="shared" si="195"/>
        <v>489.58909999999997</v>
      </c>
      <c r="AH131" s="255"/>
      <c r="AI131" s="255"/>
      <c r="AJ131" s="255"/>
      <c r="AK131" s="255">
        <f t="shared" ref="AK131:AQ131" si="196">SUM(AK126:AK130)</f>
        <v>0</v>
      </c>
      <c r="AL131" s="255">
        <f t="shared" si="196"/>
        <v>0</v>
      </c>
      <c r="AM131" s="255">
        <f t="shared" si="196"/>
        <v>0</v>
      </c>
      <c r="AN131" s="255">
        <f t="shared" si="196"/>
        <v>0</v>
      </c>
      <c r="AO131" s="255">
        <f t="shared" si="196"/>
        <v>0</v>
      </c>
      <c r="AP131" s="255">
        <f t="shared" si="196"/>
        <v>0</v>
      </c>
      <c r="AQ131" s="255">
        <f t="shared" si="196"/>
        <v>1099.3</v>
      </c>
      <c r="AR131" s="255">
        <f>SUM(AR126:AR130)</f>
        <v>1448</v>
      </c>
      <c r="AS131" s="255">
        <f>SUM(AS126:AS130)</f>
        <v>2472.4700000000003</v>
      </c>
      <c r="AT131" s="255"/>
      <c r="AU131" s="255"/>
      <c r="AV131" s="255"/>
      <c r="AW131" s="255"/>
      <c r="AX131" s="255"/>
    </row>
    <row r="132" spans="1:50">
      <c r="A132" s="4"/>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4"/>
      <c r="AM132" s="4"/>
      <c r="AN132" s="4"/>
      <c r="AO132" s="4"/>
      <c r="AP132" s="4"/>
      <c r="AQ132" s="4"/>
      <c r="AR132" s="4"/>
      <c r="AS132" s="4"/>
      <c r="AT132" s="4"/>
      <c r="AU132" s="4"/>
      <c r="AV132" s="4"/>
      <c r="AW132" s="4"/>
      <c r="AX132" s="4"/>
    </row>
    <row r="133" spans="1:50">
      <c r="A133" s="251" t="s">
        <v>633</v>
      </c>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c r="AA133" s="252"/>
      <c r="AB133" s="252"/>
      <c r="AC133" s="252"/>
      <c r="AD133" s="252"/>
      <c r="AE133" s="252"/>
      <c r="AF133" s="252"/>
      <c r="AG133" s="252"/>
      <c r="AH133" s="252"/>
      <c r="AI133" s="252"/>
      <c r="AJ133" s="252"/>
      <c r="AK133" s="273"/>
      <c r="AL133" s="273"/>
      <c r="AM133" s="273"/>
      <c r="AN133" s="273"/>
      <c r="AO133" s="273"/>
      <c r="AP133" s="273"/>
      <c r="AQ133" s="273"/>
      <c r="AR133" s="273"/>
      <c r="AS133" s="273"/>
      <c r="AT133" s="273"/>
      <c r="AU133" s="273"/>
      <c r="AV133" s="273"/>
      <c r="AW133" s="273"/>
      <c r="AX133" s="273"/>
    </row>
    <row r="134" spans="1:50">
      <c r="A134" s="4" t="s">
        <v>639</v>
      </c>
      <c r="B134" s="603"/>
      <c r="C134" s="603"/>
      <c r="D134" s="603"/>
      <c r="E134" s="603"/>
      <c r="F134" s="603"/>
      <c r="G134" s="497"/>
      <c r="H134" s="497"/>
      <c r="I134" s="497"/>
      <c r="J134" s="497"/>
      <c r="K134" s="497"/>
      <c r="L134" s="497"/>
      <c r="M134" s="497"/>
      <c r="N134" s="497"/>
      <c r="O134" s="497"/>
      <c r="P134" s="497"/>
      <c r="Q134" s="497"/>
      <c r="R134" s="497"/>
      <c r="S134" s="497"/>
      <c r="T134" s="497"/>
      <c r="U134" s="497"/>
      <c r="V134" s="497"/>
      <c r="W134" s="497"/>
      <c r="X134" s="497"/>
      <c r="Y134" s="497"/>
      <c r="Z134" s="497">
        <f t="shared" ref="Z134:AG138" si="197">(Z126/Y126-1)*100</f>
        <v>-6.7563661369286159</v>
      </c>
      <c r="AA134" s="497">
        <f t="shared" si="197"/>
        <v>68.383543048086466</v>
      </c>
      <c r="AB134" s="497">
        <f t="shared" si="197"/>
        <v>5.6957127279680275</v>
      </c>
      <c r="AC134" s="497">
        <f t="shared" si="197"/>
        <v>9.2476752465323599</v>
      </c>
      <c r="AD134" s="497">
        <f t="shared" si="197"/>
        <v>13.600577341042385</v>
      </c>
      <c r="AE134" s="497">
        <f t="shared" si="197"/>
        <v>4.9081165518247039</v>
      </c>
      <c r="AF134" s="497">
        <f t="shared" si="197"/>
        <v>0.23072073590291176</v>
      </c>
      <c r="AG134" s="497">
        <f t="shared" si="197"/>
        <v>3.3085955575038684</v>
      </c>
      <c r="AH134" s="497"/>
      <c r="AI134" s="497"/>
      <c r="AJ134" s="497"/>
      <c r="AK134" s="16"/>
      <c r="AL134" s="16"/>
      <c r="AM134" s="16"/>
      <c r="AN134" s="312"/>
      <c r="AO134" s="312"/>
      <c r="AP134" s="312"/>
      <c r="AQ134" s="312"/>
      <c r="AR134" s="497">
        <f t="shared" ref="AR134:AS138" si="198">(AR126/AQ126-1)*100</f>
        <v>54.986998978629998</v>
      </c>
      <c r="AS134" s="497">
        <f t="shared" si="198"/>
        <v>82.144863751287573</v>
      </c>
      <c r="AT134" s="312"/>
      <c r="AU134" s="312"/>
      <c r="AV134" s="312"/>
      <c r="AW134" s="312"/>
      <c r="AX134" s="497"/>
    </row>
    <row r="135" spans="1:50">
      <c r="A135" s="4" t="s">
        <v>622</v>
      </c>
      <c r="B135" s="603"/>
      <c r="C135" s="603"/>
      <c r="D135" s="603"/>
      <c r="E135" s="603"/>
      <c r="F135" s="603"/>
      <c r="G135" s="497"/>
      <c r="H135" s="497"/>
      <c r="I135" s="497"/>
      <c r="J135" s="497"/>
      <c r="K135" s="497"/>
      <c r="L135" s="497"/>
      <c r="M135" s="497"/>
      <c r="N135" s="497"/>
      <c r="O135" s="497"/>
      <c r="P135" s="497"/>
      <c r="Q135" s="497"/>
      <c r="R135" s="497"/>
      <c r="S135" s="497"/>
      <c r="T135" s="497"/>
      <c r="U135" s="497"/>
      <c r="V135" s="497"/>
      <c r="W135" s="497"/>
      <c r="X135" s="497"/>
      <c r="Y135" s="497"/>
      <c r="Z135" s="497">
        <f t="shared" si="197"/>
        <v>1.0476529522453371</v>
      </c>
      <c r="AA135" s="497">
        <f t="shared" si="197"/>
        <v>4.5098520308017642</v>
      </c>
      <c r="AB135" s="497">
        <f t="shared" si="197"/>
        <v>4.606294828151869</v>
      </c>
      <c r="AC135" s="497">
        <f t="shared" si="197"/>
        <v>2.1680645671783294</v>
      </c>
      <c r="AD135" s="497">
        <f t="shared" si="197"/>
        <v>4.6569787090233072</v>
      </c>
      <c r="AE135" s="497">
        <f t="shared" si="197"/>
        <v>-3.0079436838026274</v>
      </c>
      <c r="AF135" s="497">
        <f t="shared" si="197"/>
        <v>4.0683834667820662</v>
      </c>
      <c r="AG135" s="497">
        <f t="shared" si="197"/>
        <v>9.5286082185645604</v>
      </c>
      <c r="AH135" s="497"/>
      <c r="AI135" s="497"/>
      <c r="AJ135" s="497"/>
      <c r="AK135" s="16"/>
      <c r="AL135" s="16"/>
      <c r="AM135" s="16"/>
      <c r="AN135" s="312"/>
      <c r="AO135" s="507"/>
      <c r="AP135" s="312"/>
      <c r="AQ135" s="312"/>
      <c r="AR135" s="497">
        <f t="shared" si="198"/>
        <v>5.3761484581097196</v>
      </c>
      <c r="AS135" s="497">
        <f t="shared" si="198"/>
        <v>52.038794138842135</v>
      </c>
      <c r="AT135" s="312"/>
      <c r="AU135" s="507"/>
      <c r="AV135" s="312"/>
      <c r="AW135" s="312"/>
      <c r="AX135" s="497"/>
    </row>
    <row r="136" spans="1:50">
      <c r="A136" s="4" t="s">
        <v>623</v>
      </c>
      <c r="B136" s="603"/>
      <c r="C136" s="603"/>
      <c r="D136" s="603"/>
      <c r="E136" s="603"/>
      <c r="F136" s="603"/>
      <c r="G136" s="497"/>
      <c r="H136" s="497"/>
      <c r="I136" s="497"/>
      <c r="J136" s="497"/>
      <c r="K136" s="497"/>
      <c r="L136" s="497"/>
      <c r="M136" s="497"/>
      <c r="N136" s="497"/>
      <c r="O136" s="497"/>
      <c r="P136" s="497"/>
      <c r="Q136" s="497"/>
      <c r="R136" s="497"/>
      <c r="S136" s="497"/>
      <c r="T136" s="497"/>
      <c r="U136" s="497"/>
      <c r="V136" s="497"/>
      <c r="W136" s="497"/>
      <c r="X136" s="497"/>
      <c r="Y136" s="497"/>
      <c r="Z136" s="497">
        <f t="shared" si="197"/>
        <v>12.477467550447274</v>
      </c>
      <c r="AA136" s="497">
        <f t="shared" si="197"/>
        <v>6.3853944777139127</v>
      </c>
      <c r="AB136" s="497">
        <f t="shared" si="197"/>
        <v>3.268825735037173</v>
      </c>
      <c r="AC136" s="497">
        <f t="shared" si="197"/>
        <v>3.3290653008962723</v>
      </c>
      <c r="AD136" s="497">
        <f t="shared" si="197"/>
        <v>-0.14869888475836923</v>
      </c>
      <c r="AE136" s="497">
        <f t="shared" si="197"/>
        <v>8.5491791653370406</v>
      </c>
      <c r="AF136" s="497">
        <f t="shared" si="197"/>
        <v>8.9772694793661465</v>
      </c>
      <c r="AG136" s="497">
        <f t="shared" si="197"/>
        <v>-4.250569971093987</v>
      </c>
      <c r="AH136" s="497"/>
      <c r="AI136" s="497"/>
      <c r="AJ136" s="497"/>
      <c r="AK136" s="16"/>
      <c r="AL136" s="16"/>
      <c r="AM136" s="16"/>
      <c r="AN136" s="312"/>
      <c r="AO136" s="507"/>
      <c r="AP136" s="312"/>
      <c r="AQ136" s="312"/>
      <c r="AR136" s="497">
        <f t="shared" si="198"/>
        <v>24.314231363733853</v>
      </c>
      <c r="AS136" s="497">
        <f t="shared" si="198"/>
        <v>56.062654284706717</v>
      </c>
      <c r="AT136" s="312"/>
      <c r="AU136" s="507"/>
      <c r="AV136" s="312"/>
      <c r="AW136" s="312"/>
      <c r="AX136" s="497"/>
    </row>
    <row r="137" spans="1:50">
      <c r="A137" s="4" t="s">
        <v>624</v>
      </c>
      <c r="B137" s="603"/>
      <c r="C137" s="603"/>
      <c r="D137" s="603"/>
      <c r="E137" s="603"/>
      <c r="F137" s="603"/>
      <c r="G137" s="497"/>
      <c r="H137" s="497"/>
      <c r="I137" s="497"/>
      <c r="J137" s="497"/>
      <c r="K137" s="497"/>
      <c r="L137" s="497"/>
      <c r="M137" s="497"/>
      <c r="N137" s="497"/>
      <c r="O137" s="497"/>
      <c r="P137" s="497"/>
      <c r="Q137" s="497"/>
      <c r="R137" s="497"/>
      <c r="S137" s="497"/>
      <c r="T137" s="497"/>
      <c r="U137" s="497"/>
      <c r="V137" s="497"/>
      <c r="W137" s="497"/>
      <c r="X137" s="497"/>
      <c r="Y137" s="497"/>
      <c r="Z137" s="497">
        <f t="shared" si="197"/>
        <v>5.1608610319485271</v>
      </c>
      <c r="AA137" s="497">
        <f t="shared" si="197"/>
        <v>11.301505827638048</v>
      </c>
      <c r="AB137" s="497">
        <f t="shared" si="197"/>
        <v>18.772015312784653</v>
      </c>
      <c r="AC137" s="497">
        <f t="shared" si="197"/>
        <v>-9.654691595551423</v>
      </c>
      <c r="AD137" s="497">
        <f t="shared" si="197"/>
        <v>17.519014016576541</v>
      </c>
      <c r="AE137" s="497">
        <f t="shared" si="197"/>
        <v>-0.21530605028942107</v>
      </c>
      <c r="AF137" s="497">
        <f t="shared" si="197"/>
        <v>7.7199056936867017</v>
      </c>
      <c r="AG137" s="497">
        <f t="shared" si="197"/>
        <v>1.7051362029528061</v>
      </c>
      <c r="AH137" s="497"/>
      <c r="AI137" s="497"/>
      <c r="AJ137" s="497"/>
      <c r="AK137" s="16"/>
      <c r="AL137" s="16"/>
      <c r="AM137" s="16"/>
      <c r="AN137" s="312"/>
      <c r="AO137" s="507"/>
      <c r="AP137" s="312"/>
      <c r="AQ137" s="312"/>
      <c r="AR137" s="497">
        <f t="shared" si="198"/>
        <v>23.444571819382443</v>
      </c>
      <c r="AS137" s="497">
        <f t="shared" si="198"/>
        <v>75.344918053026319</v>
      </c>
      <c r="AT137" s="312"/>
      <c r="AU137" s="507"/>
      <c r="AV137" s="312"/>
      <c r="AW137" s="312"/>
      <c r="AX137" s="497"/>
    </row>
    <row r="138" spans="1:50">
      <c r="A138" s="4" t="s">
        <v>626</v>
      </c>
      <c r="B138" s="603"/>
      <c r="C138" s="603"/>
      <c r="D138" s="603"/>
      <c r="E138" s="603"/>
      <c r="F138" s="603"/>
      <c r="G138" s="497"/>
      <c r="H138" s="497"/>
      <c r="I138" s="497"/>
      <c r="J138" s="497"/>
      <c r="K138" s="497"/>
      <c r="L138" s="497"/>
      <c r="M138" s="497"/>
      <c r="N138" s="497"/>
      <c r="O138" s="497"/>
      <c r="P138" s="497"/>
      <c r="Q138" s="497"/>
      <c r="R138" s="497"/>
      <c r="S138" s="497"/>
      <c r="T138" s="497"/>
      <c r="U138" s="497"/>
      <c r="V138" s="497"/>
      <c r="W138" s="497"/>
      <c r="X138" s="497"/>
      <c r="Y138" s="497"/>
      <c r="Z138" s="497">
        <f t="shared" si="197"/>
        <v>1.9579921680313195</v>
      </c>
      <c r="AA138" s="497">
        <f t="shared" si="197"/>
        <v>9.8489688577202195</v>
      </c>
      <c r="AB138" s="497">
        <f t="shared" si="197"/>
        <v>0.35471425045057181</v>
      </c>
      <c r="AC138" s="497">
        <f t="shared" si="197"/>
        <v>6.0482512298672297</v>
      </c>
      <c r="AD138" s="497">
        <f t="shared" si="197"/>
        <v>5.4236965017634198</v>
      </c>
      <c r="AE138" s="497">
        <f t="shared" si="197"/>
        <v>8.6311030741410555</v>
      </c>
      <c r="AF138" s="497">
        <f t="shared" si="197"/>
        <v>5.4025935112279821</v>
      </c>
      <c r="AG138" s="497">
        <f t="shared" si="197"/>
        <v>2.9925429903319589</v>
      </c>
      <c r="AH138" s="497"/>
      <c r="AI138" s="497"/>
      <c r="AJ138" s="497"/>
      <c r="AK138" s="16"/>
      <c r="AL138" s="16"/>
      <c r="AM138" s="16"/>
      <c r="AN138" s="312"/>
      <c r="AO138" s="312"/>
      <c r="AP138" s="312"/>
      <c r="AQ138" s="312"/>
      <c r="AR138" s="497">
        <f t="shared" si="198"/>
        <v>13.503564163655412</v>
      </c>
      <c r="AS138" s="497">
        <f t="shared" si="198"/>
        <v>66.36825591705886</v>
      </c>
      <c r="AT138" s="312"/>
      <c r="AU138" s="312"/>
      <c r="AV138" s="312"/>
      <c r="AW138" s="312"/>
      <c r="AX138" s="497"/>
    </row>
    <row r="139" spans="1:50">
      <c r="A139" s="4"/>
      <c r="B139" s="260"/>
      <c r="C139" s="260"/>
      <c r="D139" s="260"/>
      <c r="E139" s="260"/>
      <c r="F139" s="260"/>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c r="AG139" s="312"/>
      <c r="AH139" s="312"/>
      <c r="AI139" s="312"/>
      <c r="AJ139" s="312"/>
      <c r="AK139" s="16"/>
      <c r="AL139" s="16"/>
      <c r="AM139" s="16"/>
      <c r="AN139" s="16"/>
      <c r="AO139" s="16"/>
      <c r="AP139" s="16"/>
      <c r="AQ139" s="16"/>
      <c r="AR139" s="312"/>
      <c r="AS139" s="312"/>
      <c r="AT139" s="16"/>
      <c r="AU139" s="16"/>
      <c r="AV139" s="16"/>
      <c r="AW139" s="16"/>
      <c r="AX139" s="312"/>
    </row>
    <row r="140" spans="1:50">
      <c r="A140" s="251" t="s">
        <v>634</v>
      </c>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c r="AA140" s="252"/>
      <c r="AB140" s="252"/>
      <c r="AC140" s="252"/>
      <c r="AD140" s="252"/>
      <c r="AE140" s="252"/>
      <c r="AF140" s="252"/>
      <c r="AG140" s="252"/>
      <c r="AH140" s="252"/>
      <c r="AI140" s="252"/>
      <c r="AJ140" s="252"/>
      <c r="AK140" s="273"/>
      <c r="AL140" s="273"/>
      <c r="AM140" s="273"/>
      <c r="AN140" s="273"/>
      <c r="AO140" s="273"/>
      <c r="AP140" s="273"/>
      <c r="AQ140" s="273"/>
      <c r="AR140" s="273"/>
      <c r="AS140" s="273"/>
      <c r="AT140" s="273"/>
      <c r="AU140" s="273"/>
      <c r="AV140" s="273"/>
      <c r="AW140" s="273"/>
      <c r="AX140" s="273"/>
    </row>
    <row r="141" spans="1:50">
      <c r="A141" s="4" t="s">
        <v>639</v>
      </c>
      <c r="B141" s="16"/>
      <c r="C141" s="16"/>
      <c r="D141" s="16"/>
      <c r="E141" s="16"/>
      <c r="F141" s="16"/>
      <c r="G141" s="497"/>
      <c r="H141" s="497"/>
      <c r="I141" s="497"/>
      <c r="J141" s="497"/>
      <c r="K141" s="497"/>
      <c r="L141" s="497"/>
      <c r="M141" s="497"/>
      <c r="N141" s="497"/>
      <c r="O141" s="497"/>
      <c r="P141" s="497"/>
      <c r="Q141" s="497"/>
      <c r="R141" s="497"/>
      <c r="S141" s="497"/>
      <c r="T141" s="497"/>
      <c r="U141" s="497"/>
      <c r="V141" s="497"/>
      <c r="W141" s="497"/>
      <c r="X141" s="497"/>
      <c r="Y141" s="497"/>
      <c r="Z141" s="497">
        <f t="shared" ref="Z141:AG145" si="199">(Z126/V126-1)*100</f>
        <v>-3.3591926836959884</v>
      </c>
      <c r="AA141" s="497">
        <f t="shared" si="199"/>
        <v>56.800826534178107</v>
      </c>
      <c r="AB141" s="497" t="e">
        <f t="shared" si="199"/>
        <v>#DIV/0!</v>
      </c>
      <c r="AC141" s="497">
        <f t="shared" si="199"/>
        <v>81.29607823449048</v>
      </c>
      <c r="AD141" s="497">
        <f t="shared" si="199"/>
        <v>120.87662507179031</v>
      </c>
      <c r="AE141" s="497">
        <f t="shared" si="199"/>
        <v>37.612918145971896</v>
      </c>
      <c r="AF141" s="497">
        <f t="shared" si="199"/>
        <v>30.497648507665652</v>
      </c>
      <c r="AG141" s="497">
        <f t="shared" si="199"/>
        <v>23.40334712350456</v>
      </c>
      <c r="AH141" s="497"/>
      <c r="AI141" s="497"/>
      <c r="AJ141" s="497"/>
      <c r="AK141" s="16"/>
      <c r="AL141" s="16"/>
      <c r="AM141" s="16"/>
      <c r="AN141" s="16"/>
      <c r="AO141" s="16"/>
      <c r="AP141" s="16"/>
      <c r="AQ141" s="16"/>
      <c r="AR141" s="16"/>
      <c r="AS141" s="16"/>
      <c r="AT141" s="16"/>
      <c r="AU141" s="16"/>
      <c r="AV141" s="16"/>
      <c r="AW141" s="16"/>
      <c r="AX141" s="16"/>
    </row>
    <row r="142" spans="1:50">
      <c r="A142" s="4" t="s">
        <v>622</v>
      </c>
      <c r="B142" s="16"/>
      <c r="C142" s="16"/>
      <c r="D142" s="16"/>
      <c r="E142" s="16"/>
      <c r="F142" s="16"/>
      <c r="G142" s="497"/>
      <c r="H142" s="497"/>
      <c r="I142" s="497"/>
      <c r="J142" s="497"/>
      <c r="K142" s="497"/>
      <c r="L142" s="497"/>
      <c r="M142" s="497"/>
      <c r="N142" s="497"/>
      <c r="O142" s="497"/>
      <c r="P142" s="497"/>
      <c r="Q142" s="497"/>
      <c r="R142" s="497"/>
      <c r="S142" s="497"/>
      <c r="T142" s="497"/>
      <c r="U142" s="497"/>
      <c r="V142" s="497"/>
      <c r="W142" s="497"/>
      <c r="X142" s="497"/>
      <c r="Y142" s="497"/>
      <c r="Z142" s="497">
        <f t="shared" si="199"/>
        <v>1.7064977445052198</v>
      </c>
      <c r="AA142" s="497">
        <f t="shared" si="199"/>
        <v>-1.2659694919183062</v>
      </c>
      <c r="AB142" s="497" t="e">
        <f t="shared" si="199"/>
        <v>#DIV/0!</v>
      </c>
      <c r="AC142" s="497">
        <f t="shared" si="199"/>
        <v>12.864262828662998</v>
      </c>
      <c r="AD142" s="497">
        <f t="shared" si="199"/>
        <v>16.895666616337014</v>
      </c>
      <c r="AE142" s="497">
        <f t="shared" si="199"/>
        <v>8.4869116093438279</v>
      </c>
      <c r="AF142" s="497">
        <f t="shared" si="199"/>
        <v>7.9290451596195854</v>
      </c>
      <c r="AG142" s="497">
        <f t="shared" si="199"/>
        <v>15.704629942548154</v>
      </c>
      <c r="AH142" s="497"/>
      <c r="AI142" s="497"/>
      <c r="AJ142" s="497"/>
      <c r="AK142" s="16"/>
      <c r="AL142" s="16"/>
      <c r="AM142" s="16"/>
      <c r="AN142" s="16"/>
      <c r="AO142" s="16"/>
      <c r="AP142" s="16"/>
      <c r="AQ142" s="16"/>
      <c r="AR142" s="16"/>
      <c r="AS142" s="16"/>
      <c r="AT142" s="16"/>
      <c r="AU142" s="16"/>
      <c r="AV142" s="16"/>
      <c r="AW142" s="16"/>
      <c r="AX142" s="16"/>
    </row>
    <row r="143" spans="1:50">
      <c r="A143" s="4" t="s">
        <v>623</v>
      </c>
      <c r="B143" s="16"/>
      <c r="C143" s="16"/>
      <c r="D143" s="16"/>
      <c r="E143" s="16"/>
      <c r="F143" s="16"/>
      <c r="G143" s="497"/>
      <c r="H143" s="497"/>
      <c r="I143" s="497"/>
      <c r="J143" s="497"/>
      <c r="K143" s="497"/>
      <c r="L143" s="497"/>
      <c r="M143" s="497"/>
      <c r="N143" s="497"/>
      <c r="O143" s="497"/>
      <c r="P143" s="497"/>
      <c r="Q143" s="497"/>
      <c r="R143" s="497"/>
      <c r="S143" s="497"/>
      <c r="T143" s="497"/>
      <c r="U143" s="497"/>
      <c r="V143" s="497"/>
      <c r="W143" s="497"/>
      <c r="X143" s="497"/>
      <c r="Y143" s="497"/>
      <c r="Z143" s="497">
        <f t="shared" si="199"/>
        <v>22.055432916360076</v>
      </c>
      <c r="AA143" s="497">
        <f t="shared" si="199"/>
        <v>24.317636439689139</v>
      </c>
      <c r="AB143" s="497" t="e">
        <f t="shared" si="199"/>
        <v>#DIV/0!</v>
      </c>
      <c r="AC143" s="497">
        <f t="shared" si="199"/>
        <v>27.684822594042945</v>
      </c>
      <c r="AD143" s="497">
        <f t="shared" si="199"/>
        <v>13.351553394156168</v>
      </c>
      <c r="AE143" s="497">
        <f t="shared" si="199"/>
        <v>15.657023583524587</v>
      </c>
      <c r="AF143" s="497">
        <f t="shared" si="199"/>
        <v>22.050256081946241</v>
      </c>
      <c r="AG143" s="497">
        <f t="shared" si="199"/>
        <v>13.097340237210142</v>
      </c>
      <c r="AH143" s="497"/>
      <c r="AI143" s="497"/>
      <c r="AJ143" s="497"/>
      <c r="AK143" s="16"/>
      <c r="AL143" s="16"/>
      <c r="AM143" s="16"/>
      <c r="AN143" s="16"/>
      <c r="AO143" s="16"/>
      <c r="AP143" s="16"/>
      <c r="AQ143" s="16"/>
      <c r="AR143" s="16"/>
      <c r="AS143" s="16"/>
      <c r="AT143" s="16"/>
      <c r="AU143" s="16"/>
      <c r="AV143" s="16"/>
      <c r="AW143" s="16"/>
      <c r="AX143" s="16"/>
    </row>
    <row r="144" spans="1:50">
      <c r="A144" s="4" t="s">
        <v>624</v>
      </c>
      <c r="B144" s="16"/>
      <c r="C144" s="16"/>
      <c r="D144" s="16"/>
      <c r="E144" s="16"/>
      <c r="F144" s="16"/>
      <c r="G144" s="497"/>
      <c r="H144" s="497"/>
      <c r="I144" s="497"/>
      <c r="J144" s="497"/>
      <c r="K144" s="497"/>
      <c r="L144" s="497"/>
      <c r="M144" s="497"/>
      <c r="N144" s="497"/>
      <c r="O144" s="497"/>
      <c r="P144" s="497"/>
      <c r="Q144" s="497"/>
      <c r="R144" s="497"/>
      <c r="S144" s="497"/>
      <c r="T144" s="497"/>
      <c r="U144" s="497"/>
      <c r="V144" s="497"/>
      <c r="W144" s="497"/>
      <c r="X144" s="497"/>
      <c r="Y144" s="497"/>
      <c r="Z144" s="497">
        <f t="shared" si="199"/>
        <v>3.7910228108903432</v>
      </c>
      <c r="AA144" s="497">
        <f t="shared" si="199"/>
        <v>22.058369048660296</v>
      </c>
      <c r="AB144" s="497" t="e">
        <f t="shared" si="199"/>
        <v>#DIV/0!</v>
      </c>
      <c r="AC144" s="497">
        <f t="shared" si="199"/>
        <v>25.595738454742502</v>
      </c>
      <c r="AD144" s="497">
        <f t="shared" si="199"/>
        <v>40.355329949238609</v>
      </c>
      <c r="AE144" s="497">
        <f t="shared" si="199"/>
        <v>25.832202709674966</v>
      </c>
      <c r="AF144" s="497">
        <f t="shared" si="199"/>
        <v>14.123120445663041</v>
      </c>
      <c r="AG144" s="497">
        <f t="shared" si="199"/>
        <v>28.472719987534244</v>
      </c>
      <c r="AH144" s="497"/>
      <c r="AI144" s="497"/>
      <c r="AJ144" s="497"/>
      <c r="AK144" s="16"/>
      <c r="AL144" s="16"/>
      <c r="AM144" s="16"/>
      <c r="AN144" s="16"/>
      <c r="AO144" s="16"/>
      <c r="AP144" s="16"/>
      <c r="AQ144" s="16"/>
      <c r="AR144" s="16"/>
      <c r="AS144" s="16"/>
      <c r="AT144" s="16"/>
      <c r="AU144" s="16"/>
      <c r="AV144" s="16"/>
      <c r="AW144" s="16"/>
      <c r="AX144" s="16"/>
    </row>
    <row r="145" spans="1:50">
      <c r="A145" s="4" t="s">
        <v>626</v>
      </c>
      <c r="B145" s="16"/>
      <c r="C145" s="16"/>
      <c r="D145" s="16"/>
      <c r="E145" s="16"/>
      <c r="F145" s="16"/>
      <c r="G145" s="497"/>
      <c r="H145" s="497"/>
      <c r="I145" s="497"/>
      <c r="J145" s="497"/>
      <c r="K145" s="497"/>
      <c r="L145" s="497"/>
      <c r="M145" s="497"/>
      <c r="N145" s="497"/>
      <c r="O145" s="497"/>
      <c r="P145" s="497"/>
      <c r="Q145" s="497"/>
      <c r="R145" s="497"/>
      <c r="S145" s="497"/>
      <c r="T145" s="497"/>
      <c r="U145" s="497"/>
      <c r="V145" s="497"/>
      <c r="W145" s="497"/>
      <c r="X145" s="497"/>
      <c r="Y145" s="497"/>
      <c r="Z145" s="497">
        <f t="shared" si="199"/>
        <v>4.2624220595639084</v>
      </c>
      <c r="AA145" s="497">
        <f t="shared" si="199"/>
        <v>11.936637710781817</v>
      </c>
      <c r="AB145" s="497" t="e">
        <f t="shared" si="199"/>
        <v>#DIV/0!</v>
      </c>
      <c r="AC145" s="497">
        <f t="shared" si="199"/>
        <v>19.195140240715624</v>
      </c>
      <c r="AD145" s="497">
        <f t="shared" si="199"/>
        <v>23.246760965172953</v>
      </c>
      <c r="AE145" s="497">
        <f t="shared" si="199"/>
        <v>21.88035748704058</v>
      </c>
      <c r="AF145" s="497">
        <f t="shared" si="199"/>
        <v>28.010984567693221</v>
      </c>
      <c r="AG145" s="497">
        <f t="shared" si="199"/>
        <v>24.322435103104254</v>
      </c>
      <c r="AH145" s="497"/>
      <c r="AI145" s="497"/>
      <c r="AJ145" s="497"/>
      <c r="AK145" s="16"/>
      <c r="AL145" s="16"/>
      <c r="AM145" s="16"/>
      <c r="AN145" s="16"/>
      <c r="AO145" s="16"/>
      <c r="AP145" s="16"/>
      <c r="AQ145" s="16"/>
      <c r="AR145" s="16"/>
      <c r="AS145" s="16"/>
      <c r="AT145" s="16"/>
      <c r="AU145" s="16"/>
      <c r="AV145" s="16"/>
      <c r="AW145" s="16"/>
      <c r="AX145" s="16"/>
    </row>
    <row r="146" spans="1:50">
      <c r="A146" s="4"/>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4"/>
      <c r="AM146" s="4"/>
      <c r="AN146" s="4"/>
      <c r="AO146" s="4"/>
      <c r="AP146" s="4"/>
      <c r="AQ146" s="4"/>
      <c r="AR146" s="4"/>
      <c r="AS146" s="4"/>
      <c r="AT146" s="4"/>
      <c r="AU146" s="4"/>
      <c r="AV146" s="4"/>
      <c r="AW146" s="4"/>
      <c r="AX146" s="4"/>
    </row>
    <row r="147" spans="1:50">
      <c r="A147" s="251" t="s">
        <v>640</v>
      </c>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c r="AA147" s="252"/>
      <c r="AB147" s="252"/>
      <c r="AC147" s="252"/>
      <c r="AD147" s="252"/>
      <c r="AE147" s="252"/>
      <c r="AF147" s="252"/>
      <c r="AG147" s="252"/>
      <c r="AH147" s="252"/>
      <c r="AI147" s="252"/>
      <c r="AJ147" s="252"/>
      <c r="AK147" s="273"/>
      <c r="AL147" s="273"/>
      <c r="AM147" s="273"/>
      <c r="AN147" s="273"/>
      <c r="AO147" s="273"/>
      <c r="AP147" s="273"/>
      <c r="AQ147" s="273"/>
      <c r="AR147" s="273"/>
      <c r="AS147" s="273"/>
      <c r="AT147" s="273"/>
      <c r="AU147" s="273"/>
      <c r="AV147" s="273"/>
      <c r="AW147" s="273"/>
      <c r="AX147" s="273"/>
    </row>
    <row r="148" spans="1:50">
      <c r="A148" s="4" t="s">
        <v>616</v>
      </c>
      <c r="B148" s="13">
        <v>0</v>
      </c>
      <c r="C148" s="13">
        <f t="shared" ref="C148:Z148" si="200">C$4*(C38/100)</f>
        <v>0</v>
      </c>
      <c r="D148" s="13">
        <f t="shared" si="200"/>
        <v>0</v>
      </c>
      <c r="E148" s="13">
        <f t="shared" si="200"/>
        <v>65.910941108545032</v>
      </c>
      <c r="F148" s="13">
        <f t="shared" si="200"/>
        <v>68.650072992700728</v>
      </c>
      <c r="G148" s="13">
        <f t="shared" si="200"/>
        <v>72.015992074724039</v>
      </c>
      <c r="H148" s="13">
        <f t="shared" si="200"/>
        <v>72.598562773002669</v>
      </c>
      <c r="I148" s="13">
        <f t="shared" si="200"/>
        <v>71.208205414457169</v>
      </c>
      <c r="J148" s="13">
        <f t="shared" si="200"/>
        <v>65.613100000000003</v>
      </c>
      <c r="K148" s="13">
        <f t="shared" si="200"/>
        <v>74.352000000000004</v>
      </c>
      <c r="L148" s="13">
        <f t="shared" si="200"/>
        <v>79.435200000000009</v>
      </c>
      <c r="M148" s="13">
        <f t="shared" si="200"/>
        <v>79.854400000000012</v>
      </c>
      <c r="N148" s="13">
        <f t="shared" si="200"/>
        <v>103.84399999999999</v>
      </c>
      <c r="O148" s="13">
        <f t="shared" si="200"/>
        <v>111.08160000000001</v>
      </c>
      <c r="P148" s="13">
        <f t="shared" si="200"/>
        <v>118.11280000000001</v>
      </c>
      <c r="Q148" s="13">
        <f t="shared" si="200"/>
        <v>115.9676</v>
      </c>
      <c r="R148" s="13">
        <f t="shared" si="200"/>
        <v>122.45309999999999</v>
      </c>
      <c r="S148" s="13">
        <f t="shared" si="200"/>
        <v>126.6597</v>
      </c>
      <c r="T148" s="13">
        <f t="shared" si="200"/>
        <v>123.83640000000001</v>
      </c>
      <c r="U148" s="13">
        <f t="shared" si="200"/>
        <v>127.70519999999999</v>
      </c>
      <c r="V148" s="13">
        <f t="shared" si="200"/>
        <v>135.08460000000002</v>
      </c>
      <c r="W148" s="13">
        <f t="shared" si="200"/>
        <v>137.38140000000001</v>
      </c>
      <c r="X148" s="13">
        <f t="shared" si="200"/>
        <v>131.41200000000001</v>
      </c>
      <c r="Y148" s="13">
        <f t="shared" si="200"/>
        <v>133.98929999999999</v>
      </c>
      <c r="Z148" s="13">
        <f t="shared" si="200"/>
        <v>145.49119999999999</v>
      </c>
      <c r="AA148" s="13">
        <f t="shared" ref="AA148:AB148" si="201">AA$4*(AA38/100)</f>
        <v>201.17010000000002</v>
      </c>
      <c r="AB148" s="13">
        <f t="shared" si="201"/>
        <v>218.68</v>
      </c>
      <c r="AC148" s="13">
        <f t="shared" ref="AC148:AD148" si="202">AC$4*(AC38/100)</f>
        <v>221.11799999999997</v>
      </c>
      <c r="AD148" s="13">
        <f t="shared" si="202"/>
        <v>250.8408</v>
      </c>
      <c r="AE148" s="13">
        <f t="shared" ref="AE148:AF148" si="203">AE$4*(AE38/100)</f>
        <v>267.55590000000001</v>
      </c>
      <c r="AF148" s="13">
        <f t="shared" si="203"/>
        <v>272.18940000000003</v>
      </c>
      <c r="AG148" s="13">
        <f t="shared" ref="AG148" si="204">AG$4*(AG38/100)</f>
        <v>277.31970000000007</v>
      </c>
      <c r="AH148" s="13"/>
      <c r="AI148" s="13"/>
      <c r="AJ148" s="13"/>
      <c r="AK148" s="13">
        <f t="shared" ref="AK148:AQ148" si="205">AK$4*(AK38/100)</f>
        <v>222.95</v>
      </c>
      <c r="AL148" s="13">
        <f t="shared" si="205"/>
        <v>258.23</v>
      </c>
      <c r="AM148" s="13">
        <f t="shared" si="205"/>
        <v>284.24150943396228</v>
      </c>
      <c r="AN148" s="13">
        <f t="shared" si="205"/>
        <v>301.29599999999999</v>
      </c>
      <c r="AO148" s="13">
        <f t="shared" si="205"/>
        <v>448.84700000000004</v>
      </c>
      <c r="AP148" s="13">
        <f t="shared" si="205"/>
        <v>499.84829999999994</v>
      </c>
      <c r="AQ148" s="13">
        <f t="shared" si="205"/>
        <v>530.96190000000001</v>
      </c>
      <c r="AR148" s="13">
        <f t="shared" ref="AR148:AS148" si="206">AR$4*(AR38/100)</f>
        <v>793.50399999999991</v>
      </c>
      <c r="AS148" s="13">
        <f t="shared" si="206"/>
        <v>1405.4299999999998</v>
      </c>
      <c r="AT148" s="13"/>
      <c r="AU148" s="13"/>
      <c r="AV148" s="13"/>
      <c r="AW148" s="13"/>
      <c r="AX148" s="13"/>
    </row>
    <row r="149" spans="1:50">
      <c r="A149" s="4" t="s">
        <v>617</v>
      </c>
      <c r="B149" s="13">
        <v>0</v>
      </c>
      <c r="C149" s="13">
        <f t="shared" ref="C149:Z149" si="207">C$4*(C39/100)</f>
        <v>0</v>
      </c>
      <c r="D149" s="13">
        <f t="shared" si="207"/>
        <v>0</v>
      </c>
      <c r="E149" s="13">
        <f t="shared" si="207"/>
        <v>44.389001154734416</v>
      </c>
      <c r="F149" s="13">
        <f t="shared" si="207"/>
        <v>49.035766423357664</v>
      </c>
      <c r="G149" s="13">
        <f t="shared" si="207"/>
        <v>54.379422587036515</v>
      </c>
      <c r="H149" s="13">
        <f t="shared" si="207"/>
        <v>55.961392137522893</v>
      </c>
      <c r="I149" s="13">
        <f t="shared" si="207"/>
        <v>61.920178621267098</v>
      </c>
      <c r="J149" s="13">
        <f t="shared" si="207"/>
        <v>50.643799999999992</v>
      </c>
      <c r="K149" s="13">
        <f t="shared" si="207"/>
        <v>55.764000000000003</v>
      </c>
      <c r="L149" s="13">
        <f t="shared" si="207"/>
        <v>57.566400000000002</v>
      </c>
      <c r="M149" s="13">
        <f t="shared" si="207"/>
        <v>68.151600000000002</v>
      </c>
      <c r="N149" s="13">
        <f t="shared" si="207"/>
        <v>69.894999999999996</v>
      </c>
      <c r="O149" s="13">
        <f t="shared" si="207"/>
        <v>69.160000000000011</v>
      </c>
      <c r="P149" s="13">
        <f t="shared" si="207"/>
        <v>74.679200000000009</v>
      </c>
      <c r="Q149" s="13">
        <f t="shared" si="207"/>
        <v>92.495199999999997</v>
      </c>
      <c r="R149" s="13">
        <f t="shared" si="207"/>
        <v>88.080299999999994</v>
      </c>
      <c r="S149" s="13">
        <f t="shared" si="207"/>
        <v>95.0565</v>
      </c>
      <c r="T149" s="13">
        <f t="shared" si="207"/>
        <v>101.43509999999999</v>
      </c>
      <c r="U149" s="13">
        <f t="shared" si="207"/>
        <v>104.7024</v>
      </c>
      <c r="V149" s="13">
        <f t="shared" si="207"/>
        <v>104.91480000000001</v>
      </c>
      <c r="W149" s="13">
        <f t="shared" si="207"/>
        <v>107.9028</v>
      </c>
      <c r="X149" s="13">
        <f t="shared" si="207"/>
        <v>112.80000000000001</v>
      </c>
      <c r="Y149" s="13">
        <f t="shared" si="207"/>
        <v>112.6409</v>
      </c>
      <c r="Z149" s="13">
        <f t="shared" si="207"/>
        <v>107.39999999999999</v>
      </c>
      <c r="AA149" s="13">
        <f t="shared" ref="AA149:AB149" si="208">AA$4*(AA39/100)</f>
        <v>123.40379999999999</v>
      </c>
      <c r="AB149" s="13">
        <f t="shared" si="208"/>
        <v>133.55100000000002</v>
      </c>
      <c r="AC149" s="13">
        <f t="shared" ref="AC149:AD149" si="209">AC$4*(AC39/100)</f>
        <v>129.92699999999999</v>
      </c>
      <c r="AD149" s="13">
        <f t="shared" si="209"/>
        <v>131.83519999999999</v>
      </c>
      <c r="AE149" s="13">
        <f t="shared" ref="AE149:AF149" si="210">AE$4*(AE39/100)</f>
        <v>133.54689999999999</v>
      </c>
      <c r="AF149" s="13">
        <f t="shared" si="210"/>
        <v>135.61379999999997</v>
      </c>
      <c r="AG149" s="13">
        <f t="shared" ref="AG149" si="211">AG$4*(AG39/100)</f>
        <v>138.41530000000003</v>
      </c>
      <c r="AH149" s="13"/>
      <c r="AI149" s="13"/>
      <c r="AJ149" s="13"/>
      <c r="AK149" s="13">
        <f t="shared" ref="AK149:AQ149" si="212">AK$4*(AK39/100)</f>
        <v>141.05000000000001</v>
      </c>
      <c r="AL149" s="13">
        <f t="shared" si="212"/>
        <v>173.91</v>
      </c>
      <c r="AM149" s="13">
        <f t="shared" si="212"/>
        <v>219.10283018867926</v>
      </c>
      <c r="AN149" s="13">
        <f t="shared" si="212"/>
        <v>232.24900000000002</v>
      </c>
      <c r="AO149" s="13">
        <f t="shared" si="212"/>
        <v>306.74099999999999</v>
      </c>
      <c r="AP149" s="13">
        <f t="shared" si="212"/>
        <v>389.66129999999998</v>
      </c>
      <c r="AQ149" s="13">
        <f t="shared" si="212"/>
        <v>433.12419999999992</v>
      </c>
      <c r="AR149" s="13">
        <f t="shared" ref="AR149:AS149" si="213">AR$4*(AR39/100)</f>
        <v>487.97600000000006</v>
      </c>
      <c r="AS149" s="13">
        <f t="shared" si="213"/>
        <v>713.82999999999993</v>
      </c>
      <c r="AT149" s="13"/>
      <c r="AU149" s="13"/>
      <c r="AV149" s="13"/>
      <c r="AW149" s="13"/>
      <c r="AX149" s="13"/>
    </row>
    <row r="150" spans="1:50">
      <c r="A150" s="4" t="s">
        <v>618</v>
      </c>
      <c r="B150" s="13">
        <v>0</v>
      </c>
      <c r="C150" s="13">
        <f t="shared" ref="C150:Z150" si="214">C$4*(C40/100)</f>
        <v>0</v>
      </c>
      <c r="D150" s="13">
        <f t="shared" si="214"/>
        <v>0</v>
      </c>
      <c r="E150" s="13">
        <f t="shared" si="214"/>
        <v>24.212182448036952</v>
      </c>
      <c r="F150" s="13">
        <f t="shared" si="214"/>
        <v>22.416350364963506</v>
      </c>
      <c r="G150" s="13">
        <f t="shared" si="214"/>
        <v>20.57599773563544</v>
      </c>
      <c r="H150" s="13">
        <f t="shared" si="214"/>
        <v>22.687050866563336</v>
      </c>
      <c r="I150" s="13">
        <f t="shared" si="214"/>
        <v>21.672062517443486</v>
      </c>
      <c r="J150" s="13">
        <f t="shared" si="214"/>
        <v>23.643100000000004</v>
      </c>
      <c r="K150" s="13">
        <f t="shared" si="214"/>
        <v>24.784000000000002</v>
      </c>
      <c r="L150" s="13">
        <f t="shared" si="214"/>
        <v>23.798400000000001</v>
      </c>
      <c r="M150" s="13">
        <f t="shared" si="214"/>
        <v>24.266099999999998</v>
      </c>
      <c r="N150" s="13">
        <f t="shared" si="214"/>
        <v>25.960999999999999</v>
      </c>
      <c r="O150" s="13">
        <f t="shared" si="214"/>
        <v>32.558399999999999</v>
      </c>
      <c r="P150" s="13">
        <f t="shared" si="214"/>
        <v>28.808</v>
      </c>
      <c r="Q150" s="13">
        <f t="shared" si="214"/>
        <v>23.937200000000004</v>
      </c>
      <c r="R150" s="13">
        <f t="shared" si="214"/>
        <v>28.4053</v>
      </c>
      <c r="S150" s="13">
        <f t="shared" si="214"/>
        <v>25.183799999999998</v>
      </c>
      <c r="T150" s="13">
        <f t="shared" si="214"/>
        <v>26.428499999999996</v>
      </c>
      <c r="U150" s="13">
        <f t="shared" si="214"/>
        <v>31.992399999999996</v>
      </c>
      <c r="V150" s="13">
        <f t="shared" si="214"/>
        <v>31.800599999999999</v>
      </c>
      <c r="W150" s="13">
        <f t="shared" si="214"/>
        <v>32.815800000000003</v>
      </c>
      <c r="X150" s="13">
        <f t="shared" si="214"/>
        <v>37.788000000000004</v>
      </c>
      <c r="Y150" s="13">
        <f t="shared" si="214"/>
        <v>34.269799999999996</v>
      </c>
      <c r="Z150" s="13">
        <f t="shared" si="214"/>
        <v>33.222399999999993</v>
      </c>
      <c r="AA150" s="13">
        <f t="shared" ref="AA150:AB150" si="215">AA$4*(AA40/100)</f>
        <v>40.5261</v>
      </c>
      <c r="AB150" s="13">
        <f t="shared" si="215"/>
        <v>38.268999999999998</v>
      </c>
      <c r="AC150" s="13">
        <f t="shared" ref="AC150:AD150" si="216">AC$4*(AC40/100)</f>
        <v>52.454999999999998</v>
      </c>
      <c r="AD150" s="13">
        <f t="shared" si="216"/>
        <v>59.724000000000004</v>
      </c>
      <c r="AE150" s="13">
        <f t="shared" ref="AE150:AF150" si="217">AE$4*(AE40/100)</f>
        <v>60.997200000000007</v>
      </c>
      <c r="AF150" s="13">
        <f t="shared" si="217"/>
        <v>72.615899999999996</v>
      </c>
      <c r="AG150" s="13">
        <f t="shared" ref="AG150" si="218">AG$4*(AG40/100)</f>
        <v>73.364999999999995</v>
      </c>
      <c r="AH150" s="13"/>
      <c r="AI150" s="13"/>
      <c r="AJ150" s="13"/>
      <c r="AK150" s="13">
        <f t="shared" ref="AK150:AQ150" si="219">AK$4*(AK40/100)</f>
        <v>91</v>
      </c>
      <c r="AL150" s="13">
        <f t="shared" si="219"/>
        <v>94.86</v>
      </c>
      <c r="AM150" s="13">
        <f t="shared" si="219"/>
        <v>88.825471698113219</v>
      </c>
      <c r="AN150" s="13">
        <f t="shared" si="219"/>
        <v>94.155000000000001</v>
      </c>
      <c r="AO150" s="13">
        <f t="shared" si="219"/>
        <v>110.91200000000001</v>
      </c>
      <c r="AP150" s="13">
        <f t="shared" si="219"/>
        <v>112.19040000000001</v>
      </c>
      <c r="AQ150" s="13">
        <f t="shared" si="219"/>
        <v>135.2139</v>
      </c>
      <c r="AR150" s="13">
        <f t="shared" ref="AR150:AS150" si="220">AR$4*(AR40/100)</f>
        <v>166.52</v>
      </c>
      <c r="AS150" s="13">
        <f t="shared" si="220"/>
        <v>350.73999999999995</v>
      </c>
      <c r="AT150" s="13"/>
      <c r="AU150" s="13"/>
      <c r="AV150" s="13"/>
      <c r="AW150" s="13"/>
      <c r="AX150" s="13"/>
    </row>
    <row r="151" spans="1:50">
      <c r="A151" s="10" t="s">
        <v>279</v>
      </c>
      <c r="B151" s="255">
        <v>0</v>
      </c>
      <c r="C151" s="255">
        <f t="shared" ref="C151:P151" si="221">SUM(C148:C150)</f>
        <v>0</v>
      </c>
      <c r="D151" s="255">
        <f t="shared" si="221"/>
        <v>0</v>
      </c>
      <c r="E151" s="255">
        <f t="shared" si="221"/>
        <v>134.5121247113164</v>
      </c>
      <c r="F151" s="255">
        <f t="shared" si="221"/>
        <v>140.10218978102191</v>
      </c>
      <c r="G151" s="255">
        <f t="shared" si="221"/>
        <v>146.97141239739599</v>
      </c>
      <c r="H151" s="255">
        <f t="shared" si="221"/>
        <v>151.2470057770889</v>
      </c>
      <c r="I151" s="255">
        <f t="shared" si="221"/>
        <v>154.80044655316775</v>
      </c>
      <c r="J151" s="255">
        <f t="shared" si="221"/>
        <v>139.9</v>
      </c>
      <c r="K151" s="255">
        <f t="shared" si="221"/>
        <v>154.9</v>
      </c>
      <c r="L151" s="255">
        <f t="shared" si="221"/>
        <v>160.80000000000001</v>
      </c>
      <c r="M151" s="255">
        <f t="shared" si="221"/>
        <v>172.27210000000002</v>
      </c>
      <c r="N151" s="255">
        <f t="shared" si="221"/>
        <v>199.7</v>
      </c>
      <c r="O151" s="255">
        <f t="shared" si="221"/>
        <v>212.8</v>
      </c>
      <c r="P151" s="255">
        <f t="shared" si="221"/>
        <v>221.60000000000002</v>
      </c>
      <c r="Q151" s="255">
        <f t="shared" ref="Q151:R151" si="222">SUM(Q148:Q150)</f>
        <v>232.40000000000003</v>
      </c>
      <c r="R151" s="255">
        <f t="shared" si="222"/>
        <v>238.93869999999998</v>
      </c>
      <c r="S151" s="255">
        <f t="shared" ref="S151:T151" si="223">SUM(S148:S150)</f>
        <v>246.9</v>
      </c>
      <c r="T151" s="255">
        <f t="shared" si="223"/>
        <v>251.7</v>
      </c>
      <c r="U151" s="255">
        <f t="shared" ref="U151:V151" si="224">SUM(U148:U150)</f>
        <v>264.39999999999998</v>
      </c>
      <c r="V151" s="255">
        <f t="shared" si="224"/>
        <v>271.8</v>
      </c>
      <c r="W151" s="255">
        <f t="shared" ref="W151:X151" si="225">SUM(W148:W150)</f>
        <v>278.10000000000002</v>
      </c>
      <c r="X151" s="255">
        <f t="shared" si="225"/>
        <v>282</v>
      </c>
      <c r="Y151" s="255">
        <f t="shared" ref="Y151:Z151" si="226">SUM(Y148:Y150)</f>
        <v>280.89999999999998</v>
      </c>
      <c r="Z151" s="255">
        <f t="shared" si="226"/>
        <v>286.11359999999996</v>
      </c>
      <c r="AA151" s="255">
        <f t="shared" ref="AA151:AB151" si="227">SUM(AA148:AA150)</f>
        <v>365.09999999999997</v>
      </c>
      <c r="AB151" s="255">
        <f t="shared" si="227"/>
        <v>390.5</v>
      </c>
      <c r="AC151" s="255">
        <f t="shared" ref="AC151:AD151" si="228">SUM(AC148:AC150)</f>
        <v>403.49999999999994</v>
      </c>
      <c r="AD151" s="255">
        <f t="shared" si="228"/>
        <v>442.4</v>
      </c>
      <c r="AE151" s="255">
        <f t="shared" ref="AE151:AF151" si="229">SUM(AE148:AE150)</f>
        <v>462.1</v>
      </c>
      <c r="AF151" s="255">
        <f t="shared" si="229"/>
        <v>480.41910000000001</v>
      </c>
      <c r="AG151" s="255">
        <f t="shared" ref="AG151" si="230">SUM(AG148:AG150)</f>
        <v>489.10000000000014</v>
      </c>
      <c r="AH151" s="255"/>
      <c r="AI151" s="255"/>
      <c r="AJ151" s="255"/>
      <c r="AK151" s="274">
        <f t="shared" ref="AK151:AN151" si="231">SUM(AK148:AK150)</f>
        <v>455</v>
      </c>
      <c r="AL151" s="274">
        <f t="shared" si="231"/>
        <v>527</v>
      </c>
      <c r="AM151" s="274">
        <f t="shared" si="231"/>
        <v>592.16981132075477</v>
      </c>
      <c r="AN151" s="274">
        <f t="shared" si="231"/>
        <v>627.70000000000005</v>
      </c>
      <c r="AO151" s="274">
        <f t="shared" ref="AO151:AQ151" si="232">SUM(AO148:AO150)</f>
        <v>866.5</v>
      </c>
      <c r="AP151" s="274">
        <f t="shared" si="232"/>
        <v>1001.6999999999998</v>
      </c>
      <c r="AQ151" s="274">
        <f t="shared" si="232"/>
        <v>1099.3</v>
      </c>
      <c r="AR151" s="274">
        <f t="shared" ref="AR151:AS151" si="233">SUM(AR148:AR150)</f>
        <v>1448</v>
      </c>
      <c r="AS151" s="274">
        <f t="shared" si="233"/>
        <v>2469.9999999999995</v>
      </c>
      <c r="AT151" s="274"/>
      <c r="AU151" s="274"/>
      <c r="AV151" s="274"/>
      <c r="AW151" s="274"/>
      <c r="AX151" s="274"/>
    </row>
    <row r="152" spans="1:50">
      <c r="A152" s="4" t="s">
        <v>619</v>
      </c>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616">
        <f>Z152/0.7</f>
        <v>15.54742857142857</v>
      </c>
      <c r="Z152" s="13">
        <f t="shared" ref="Z152:AE152" si="234">Z$4*(Z42/100)</f>
        <v>10.883199999999999</v>
      </c>
      <c r="AA152" s="13">
        <f t="shared" si="234"/>
        <v>0</v>
      </c>
      <c r="AB152" s="13">
        <f t="shared" si="234"/>
        <v>0</v>
      </c>
      <c r="AC152" s="13">
        <f t="shared" si="234"/>
        <v>0</v>
      </c>
      <c r="AD152" s="13">
        <f t="shared" si="234"/>
        <v>0</v>
      </c>
      <c r="AE152" s="13">
        <f t="shared" si="234"/>
        <v>0</v>
      </c>
      <c r="AF152" s="13">
        <f t="shared" ref="AF152:AG152" si="235">AF$4*(AF42/100)</f>
        <v>0</v>
      </c>
      <c r="AG152" s="13">
        <f t="shared" si="235"/>
        <v>0</v>
      </c>
      <c r="AH152" s="13"/>
      <c r="AI152" s="13"/>
      <c r="AJ152" s="13"/>
      <c r="AK152" s="13"/>
      <c r="AL152" s="4"/>
      <c r="AM152" s="4"/>
      <c r="AN152" s="4"/>
      <c r="AO152" s="4"/>
      <c r="AP152" s="4"/>
      <c r="AQ152" s="4"/>
      <c r="AR152" s="4"/>
      <c r="AS152" s="4"/>
      <c r="AT152" s="4"/>
      <c r="AU152" s="4"/>
      <c r="AV152" s="4"/>
      <c r="AW152" s="4"/>
      <c r="AX152" s="4"/>
    </row>
    <row r="153" spans="1:50">
      <c r="Y153" s="617"/>
      <c r="Z153" s="617"/>
      <c r="AA153" s="617"/>
      <c r="AB153" s="617"/>
      <c r="AC153" s="617"/>
      <c r="AD153" s="617"/>
      <c r="AE153" s="617"/>
      <c r="AF153" s="617"/>
      <c r="AG153" s="617"/>
      <c r="AH153" s="617"/>
      <c r="AI153" s="617"/>
      <c r="AJ153" s="617"/>
    </row>
    <row r="154" spans="1:50">
      <c r="A154" s="251" t="s">
        <v>633</v>
      </c>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c r="AA154" s="252"/>
      <c r="AB154" s="252"/>
      <c r="AC154" s="252"/>
      <c r="AD154" s="252"/>
      <c r="AE154" s="252"/>
      <c r="AF154" s="252"/>
      <c r="AG154" s="252"/>
      <c r="AH154" s="252"/>
      <c r="AI154" s="252"/>
      <c r="AJ154" s="252"/>
      <c r="AK154" s="273"/>
      <c r="AL154" s="273"/>
      <c r="AM154" s="273"/>
      <c r="AN154" s="273"/>
      <c r="AO154" s="273"/>
      <c r="AP154" s="273"/>
      <c r="AQ154" s="273"/>
      <c r="AR154" s="273"/>
      <c r="AS154" s="273"/>
      <c r="AT154" s="273"/>
      <c r="AU154" s="273"/>
      <c r="AV154" s="273"/>
      <c r="AW154" s="273"/>
      <c r="AX154" s="273"/>
    </row>
    <row r="155" spans="1:50">
      <c r="A155" s="4" t="s">
        <v>616</v>
      </c>
      <c r="B155" s="260"/>
      <c r="C155" s="260"/>
      <c r="D155" s="260"/>
      <c r="E155" s="260"/>
      <c r="F155" s="312">
        <f t="shared" ref="F155:AG155" si="236">(F148/E148-1)*100</f>
        <v>4.1558075762334834</v>
      </c>
      <c r="G155" s="312">
        <f t="shared" si="236"/>
        <v>4.9030087446246373</v>
      </c>
      <c r="H155" s="312">
        <f t="shared" si="236"/>
        <v>0.80894629303189802</v>
      </c>
      <c r="I155" s="312">
        <f t="shared" si="236"/>
        <v>-1.915130693279421</v>
      </c>
      <c r="J155" s="312">
        <f t="shared" si="236"/>
        <v>-7.857388599939652</v>
      </c>
      <c r="K155" s="312">
        <f t="shared" si="236"/>
        <v>13.318834196219953</v>
      </c>
      <c r="L155" s="312">
        <f t="shared" si="236"/>
        <v>6.8366688185926394</v>
      </c>
      <c r="M155" s="312">
        <f t="shared" si="236"/>
        <v>0.52772574375088421</v>
      </c>
      <c r="N155" s="312">
        <f t="shared" si="236"/>
        <v>30.041675850047067</v>
      </c>
      <c r="O155" s="312">
        <f t="shared" si="236"/>
        <v>6.9696852971765422</v>
      </c>
      <c r="P155" s="312">
        <f t="shared" si="236"/>
        <v>6.3297611845706259</v>
      </c>
      <c r="Q155" s="497">
        <f t="shared" si="236"/>
        <v>-1.8162299090361045</v>
      </c>
      <c r="R155" s="497">
        <f t="shared" si="236"/>
        <v>5.5925103218485095</v>
      </c>
      <c r="S155" s="497">
        <f t="shared" si="236"/>
        <v>3.4352744030163418</v>
      </c>
      <c r="T155" s="497">
        <f t="shared" si="236"/>
        <v>-2.2290436500323252</v>
      </c>
      <c r="U155" s="497">
        <f t="shared" si="236"/>
        <v>3.1241218252468395</v>
      </c>
      <c r="V155" s="497">
        <f t="shared" si="236"/>
        <v>5.7784647766888408</v>
      </c>
      <c r="W155" s="497">
        <f t="shared" si="236"/>
        <v>1.7002678321585085</v>
      </c>
      <c r="X155" s="497">
        <f t="shared" si="236"/>
        <v>-4.3451296900453791</v>
      </c>
      <c r="Y155" s="497">
        <f t="shared" si="236"/>
        <v>1.9612364167655771</v>
      </c>
      <c r="Z155" s="497">
        <f t="shared" si="236"/>
        <v>8.5841929168970932</v>
      </c>
      <c r="AA155" s="497">
        <f t="shared" si="236"/>
        <v>38.26959981084768</v>
      </c>
      <c r="AB155" s="497">
        <f t="shared" si="236"/>
        <v>8.7040270895127883</v>
      </c>
      <c r="AC155" s="497">
        <f t="shared" si="236"/>
        <v>1.1148710444484955</v>
      </c>
      <c r="AD155" s="497">
        <f t="shared" si="236"/>
        <v>13.442053564160329</v>
      </c>
      <c r="AE155" s="497">
        <f t="shared" si="236"/>
        <v>6.6636288833395563</v>
      </c>
      <c r="AF155" s="497">
        <f t="shared" si="236"/>
        <v>1.7317876376488073</v>
      </c>
      <c r="AG155" s="497">
        <f t="shared" si="236"/>
        <v>1.8848272563149138</v>
      </c>
      <c r="AH155" s="497"/>
      <c r="AI155" s="497"/>
      <c r="AJ155" s="497"/>
      <c r="AK155" s="9"/>
      <c r="AL155" s="4"/>
      <c r="AM155" s="21">
        <v>11.7</v>
      </c>
      <c r="AN155" s="312">
        <f>(AN148/AM148-1)*100</f>
        <v>5.9999999999999831</v>
      </c>
      <c r="AO155" s="507">
        <v>49.7</v>
      </c>
      <c r="AP155" s="312">
        <f t="shared" ref="AP155:AS157" si="237">(AP148/AO148-1)*100</f>
        <v>11.362736077104207</v>
      </c>
      <c r="AQ155" s="312">
        <f t="shared" si="237"/>
        <v>6.2246085462329459</v>
      </c>
      <c r="AR155" s="312">
        <f t="shared" si="237"/>
        <v>49.446504542039627</v>
      </c>
      <c r="AS155" s="312">
        <f t="shared" si="237"/>
        <v>77.116939549139005</v>
      </c>
      <c r="AT155" s="312"/>
      <c r="AU155" s="507"/>
      <c r="AV155" s="312"/>
      <c r="AW155" s="312"/>
      <c r="AX155" s="312"/>
    </row>
    <row r="156" spans="1:50">
      <c r="A156" s="4" t="s">
        <v>617</v>
      </c>
      <c r="B156" s="260"/>
      <c r="C156" s="260"/>
      <c r="D156" s="260"/>
      <c r="E156" s="260"/>
      <c r="F156" s="312">
        <f t="shared" ref="F156:AG156" si="238">(F149/E149-1)*100</f>
        <v>10.468280762671856</v>
      </c>
      <c r="G156" s="312">
        <f t="shared" si="238"/>
        <v>10.897466387174592</v>
      </c>
      <c r="H156" s="312">
        <f t="shared" si="238"/>
        <v>2.9091326741367496</v>
      </c>
      <c r="I156" s="312">
        <f t="shared" si="238"/>
        <v>10.648031180319318</v>
      </c>
      <c r="J156" s="312">
        <f t="shared" si="238"/>
        <v>-18.211153249797185</v>
      </c>
      <c r="K156" s="312">
        <f t="shared" si="238"/>
        <v>10.110220797017622</v>
      </c>
      <c r="L156" s="312">
        <f t="shared" si="238"/>
        <v>3.2321928125672361</v>
      </c>
      <c r="M156" s="312">
        <f t="shared" si="238"/>
        <v>18.387809555574087</v>
      </c>
      <c r="N156" s="312">
        <f t="shared" si="238"/>
        <v>2.5581204256392986</v>
      </c>
      <c r="O156" s="312">
        <f t="shared" si="238"/>
        <v>-1.0515773660490502</v>
      </c>
      <c r="P156" s="312">
        <f t="shared" si="238"/>
        <v>7.9803354540196603</v>
      </c>
      <c r="Q156" s="497">
        <f t="shared" si="238"/>
        <v>23.85670976657488</v>
      </c>
      <c r="R156" s="497">
        <f t="shared" si="238"/>
        <v>-4.7731125507053385</v>
      </c>
      <c r="S156" s="497">
        <f t="shared" si="238"/>
        <v>7.9202727511146209</v>
      </c>
      <c r="T156" s="497">
        <f t="shared" si="238"/>
        <v>6.7103249120259889</v>
      </c>
      <c r="U156" s="497">
        <f t="shared" si="238"/>
        <v>3.2210743618333426</v>
      </c>
      <c r="V156" s="497">
        <f t="shared" si="238"/>
        <v>0.20286067941137631</v>
      </c>
      <c r="W156" s="497">
        <f t="shared" si="238"/>
        <v>2.8480252547781415</v>
      </c>
      <c r="X156" s="497">
        <f t="shared" si="238"/>
        <v>4.5385291206530454</v>
      </c>
      <c r="Y156" s="497">
        <f t="shared" si="238"/>
        <v>-0.14104609929078693</v>
      </c>
      <c r="Z156" s="497">
        <f t="shared" si="238"/>
        <v>-4.6527504663048784</v>
      </c>
      <c r="AA156" s="497">
        <f t="shared" si="238"/>
        <v>14.901117318435752</v>
      </c>
      <c r="AB156" s="497">
        <f t="shared" si="238"/>
        <v>8.2227613736368212</v>
      </c>
      <c r="AC156" s="497">
        <f t="shared" si="238"/>
        <v>-2.713570096816964</v>
      </c>
      <c r="AD156" s="497">
        <f t="shared" si="238"/>
        <v>1.4686708690264449</v>
      </c>
      <c r="AE156" s="497">
        <f t="shared" si="238"/>
        <v>1.2983634112892606</v>
      </c>
      <c r="AF156" s="497">
        <f t="shared" si="238"/>
        <v>1.5476959779672672</v>
      </c>
      <c r="AG156" s="497">
        <f t="shared" si="238"/>
        <v>2.0657927143108212</v>
      </c>
      <c r="AH156" s="497"/>
      <c r="AI156" s="497"/>
      <c r="AJ156" s="497"/>
      <c r="AK156" s="13"/>
      <c r="AL156" s="4"/>
      <c r="AM156" s="21">
        <v>27.9</v>
      </c>
      <c r="AN156" s="312">
        <f>(AN149/AM149-1)*100</f>
        <v>6.0000000000000053</v>
      </c>
      <c r="AO156" s="507">
        <v>32.5</v>
      </c>
      <c r="AP156" s="312">
        <f t="shared" si="237"/>
        <v>27.032675775328375</v>
      </c>
      <c r="AQ156" s="312">
        <f t="shared" si="237"/>
        <v>11.15402017085092</v>
      </c>
      <c r="AR156" s="312">
        <f t="shared" si="237"/>
        <v>12.664219639539919</v>
      </c>
      <c r="AS156" s="312">
        <f t="shared" si="237"/>
        <v>46.283833631162153</v>
      </c>
      <c r="AT156" s="312"/>
      <c r="AU156" s="507"/>
      <c r="AV156" s="312"/>
      <c r="AW156" s="312"/>
      <c r="AX156" s="312"/>
    </row>
    <row r="157" spans="1:50">
      <c r="A157" s="4" t="s">
        <v>618</v>
      </c>
      <c r="B157" s="260"/>
      <c r="C157" s="260"/>
      <c r="D157" s="260"/>
      <c r="E157" s="260"/>
      <c r="F157" s="312">
        <f t="shared" ref="F157:AG159" si="239">(F150/E150-1)*100</f>
        <v>-7.4170599322369029</v>
      </c>
      <c r="G157" s="312">
        <f t="shared" si="239"/>
        <v>-8.209867348453459</v>
      </c>
      <c r="H157" s="312">
        <f t="shared" si="239"/>
        <v>10.259785008003664</v>
      </c>
      <c r="I157" s="312">
        <f t="shared" si="239"/>
        <v>-4.4738664143243128</v>
      </c>
      <c r="J157" s="312">
        <f t="shared" si="239"/>
        <v>9.0948311032697617</v>
      </c>
      <c r="K157" s="312">
        <f t="shared" si="239"/>
        <v>4.8255093452212128</v>
      </c>
      <c r="L157" s="312">
        <f t="shared" si="239"/>
        <v>-3.9767591994835483</v>
      </c>
      <c r="M157" s="312">
        <f t="shared" si="239"/>
        <v>1.9652581686163684</v>
      </c>
      <c r="N157" s="312">
        <f t="shared" si="239"/>
        <v>6.9846411248614348</v>
      </c>
      <c r="O157" s="312">
        <f t="shared" si="239"/>
        <v>25.412734486344913</v>
      </c>
      <c r="P157" s="312">
        <f t="shared" si="239"/>
        <v>-11.51899356233721</v>
      </c>
      <c r="Q157" s="312">
        <f t="shared" si="239"/>
        <v>-16.907803387947773</v>
      </c>
      <c r="R157" s="312">
        <f t="shared" si="239"/>
        <v>18.665925839279417</v>
      </c>
      <c r="S157" s="312">
        <f t="shared" si="239"/>
        <v>-11.34119336884315</v>
      </c>
      <c r="T157" s="312">
        <f t="shared" si="239"/>
        <v>4.9424630119362378</v>
      </c>
      <c r="U157" s="312">
        <f t="shared" si="239"/>
        <v>21.052651493652697</v>
      </c>
      <c r="V157" s="312">
        <f t="shared" si="239"/>
        <v>-0.59951738537902255</v>
      </c>
      <c r="W157" s="312">
        <f t="shared" si="239"/>
        <v>3.1923925963661226</v>
      </c>
      <c r="X157" s="312">
        <f t="shared" si="239"/>
        <v>15.151847585614252</v>
      </c>
      <c r="Y157" s="312">
        <f t="shared" si="239"/>
        <v>-9.3103630782259135</v>
      </c>
      <c r="Z157" s="312">
        <f t="shared" si="239"/>
        <v>-3.0563353156423556</v>
      </c>
      <c r="AA157" s="312">
        <f t="shared" si="239"/>
        <v>21.984263629358523</v>
      </c>
      <c r="AB157" s="312">
        <f t="shared" si="239"/>
        <v>-5.5694971882317867</v>
      </c>
      <c r="AC157" s="312">
        <f t="shared" si="239"/>
        <v>37.069168256290986</v>
      </c>
      <c r="AD157" s="312">
        <f t="shared" si="239"/>
        <v>13.857592221904502</v>
      </c>
      <c r="AE157" s="312">
        <f t="shared" si="239"/>
        <v>2.1318063090215</v>
      </c>
      <c r="AF157" s="312">
        <f t="shared" si="239"/>
        <v>19.047923511243113</v>
      </c>
      <c r="AG157" s="312">
        <f t="shared" si="239"/>
        <v>1.0315922545888645</v>
      </c>
      <c r="AH157" s="312"/>
      <c r="AI157" s="312"/>
      <c r="AJ157" s="312"/>
      <c r="AK157" s="13"/>
      <c r="AL157" s="4"/>
      <c r="AM157" s="21">
        <v>6.5</v>
      </c>
      <c r="AN157" s="312">
        <f>(AN150/AM150-1)*100</f>
        <v>5.9999999999999831</v>
      </c>
      <c r="AO157" s="507">
        <v>14.6</v>
      </c>
      <c r="AP157" s="312">
        <f t="shared" si="237"/>
        <v>1.1526255049048029</v>
      </c>
      <c r="AQ157" s="312">
        <f t="shared" si="237"/>
        <v>20.521809352671873</v>
      </c>
      <c r="AR157" s="312">
        <f t="shared" si="237"/>
        <v>23.153019031327403</v>
      </c>
      <c r="AS157" s="312">
        <f t="shared" si="237"/>
        <v>110.62935383137157</v>
      </c>
      <c r="AT157" s="312"/>
      <c r="AU157" s="507"/>
      <c r="AV157" s="312"/>
      <c r="AW157" s="312"/>
      <c r="AX157" s="312"/>
    </row>
    <row r="158" spans="1:50">
      <c r="A158" s="4"/>
      <c r="B158" s="260"/>
      <c r="C158" s="260"/>
      <c r="D158" s="260"/>
      <c r="E158" s="260"/>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c r="AG158" s="312"/>
      <c r="AH158" s="312"/>
      <c r="AI158" s="312"/>
      <c r="AJ158" s="312"/>
      <c r="AK158" s="13"/>
      <c r="AL158" s="4"/>
      <c r="AM158" s="21"/>
      <c r="AN158" s="312"/>
      <c r="AO158" s="507"/>
      <c r="AP158" s="312"/>
      <c r="AQ158" s="312"/>
      <c r="AR158" s="312"/>
      <c r="AS158" s="312"/>
      <c r="AT158" s="312"/>
      <c r="AU158" s="507"/>
      <c r="AV158" s="312"/>
      <c r="AW158" s="312"/>
      <c r="AX158" s="312"/>
    </row>
    <row r="159" spans="1:50">
      <c r="A159" s="4" t="s">
        <v>619</v>
      </c>
      <c r="B159" s="260"/>
      <c r="C159" s="260"/>
      <c r="D159" s="260"/>
      <c r="E159" s="260"/>
      <c r="F159" s="312"/>
      <c r="G159" s="312"/>
      <c r="H159" s="312"/>
      <c r="I159" s="312"/>
      <c r="J159" s="312"/>
      <c r="K159" s="312"/>
      <c r="L159" s="312"/>
      <c r="M159" s="312"/>
      <c r="N159" s="312"/>
      <c r="O159" s="312"/>
      <c r="P159" s="312"/>
      <c r="Q159" s="312"/>
      <c r="R159" s="312"/>
      <c r="S159" s="312"/>
      <c r="T159" s="312"/>
      <c r="U159" s="312"/>
      <c r="V159" s="312"/>
      <c r="W159" s="312"/>
      <c r="X159" s="312"/>
      <c r="Y159" s="312"/>
      <c r="Z159" s="370">
        <f t="shared" si="239"/>
        <v>-30.000000000000004</v>
      </c>
      <c r="AA159" s="370">
        <f t="shared" si="239"/>
        <v>-100</v>
      </c>
      <c r="AB159" s="370" t="e">
        <f t="shared" si="239"/>
        <v>#DIV/0!</v>
      </c>
      <c r="AC159" s="370" t="e">
        <f t="shared" si="239"/>
        <v>#DIV/0!</v>
      </c>
      <c r="AD159" s="370" t="e">
        <f t="shared" si="239"/>
        <v>#DIV/0!</v>
      </c>
      <c r="AE159" s="370" t="e">
        <f t="shared" si="239"/>
        <v>#DIV/0!</v>
      </c>
      <c r="AF159" s="370" t="e">
        <f t="shared" si="239"/>
        <v>#DIV/0!</v>
      </c>
      <c r="AG159" s="370" t="e">
        <f t="shared" si="239"/>
        <v>#DIV/0!</v>
      </c>
      <c r="AH159" s="370"/>
      <c r="AI159" s="370"/>
      <c r="AJ159" s="370"/>
      <c r="AK159" s="13"/>
      <c r="AL159" s="4"/>
      <c r="AM159" s="21"/>
      <c r="AN159" s="312"/>
      <c r="AO159" s="507"/>
      <c r="AP159" s="312"/>
      <c r="AQ159" s="312"/>
      <c r="AR159" s="312"/>
      <c r="AS159" s="312"/>
      <c r="AT159" s="312"/>
      <c r="AU159" s="507"/>
      <c r="AV159" s="312"/>
      <c r="AW159" s="312"/>
      <c r="AX159" s="312"/>
    </row>
    <row r="160" spans="1:50">
      <c r="A160" s="6"/>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c r="AA160" s="260"/>
      <c r="AB160" s="260"/>
      <c r="AC160" s="260"/>
      <c r="AD160" s="260"/>
      <c r="AE160" s="260"/>
      <c r="AF160" s="260"/>
      <c r="AG160" s="260"/>
      <c r="AH160" s="260"/>
      <c r="AI160" s="260"/>
      <c r="AJ160" s="260"/>
      <c r="AK160" s="9"/>
      <c r="AL160" s="4"/>
      <c r="AM160" s="4"/>
      <c r="AN160" s="4"/>
      <c r="AO160" s="4"/>
      <c r="AP160" s="4"/>
      <c r="AQ160" s="4"/>
      <c r="AR160" s="4"/>
      <c r="AS160" s="4"/>
      <c r="AT160" s="4"/>
      <c r="AU160" s="4"/>
      <c r="AV160" s="4"/>
      <c r="AW160" s="4"/>
      <c r="AX160" s="4"/>
    </row>
    <row r="161" spans="1:50">
      <c r="A161" s="251" t="s">
        <v>634</v>
      </c>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73"/>
      <c r="AL161" s="273"/>
      <c r="AM161" s="273"/>
      <c r="AN161" s="273"/>
      <c r="AO161" s="273"/>
      <c r="AP161" s="273"/>
      <c r="AQ161" s="273"/>
      <c r="AR161" s="273"/>
      <c r="AS161" s="273"/>
      <c r="AT161" s="273"/>
      <c r="AU161" s="273"/>
      <c r="AV161" s="273"/>
      <c r="AW161" s="273"/>
      <c r="AX161" s="273"/>
    </row>
    <row r="162" spans="1:50">
      <c r="A162" s="4" t="s">
        <v>616</v>
      </c>
      <c r="B162" s="9"/>
      <c r="C162" s="9"/>
      <c r="D162" s="9"/>
      <c r="E162" s="9"/>
      <c r="F162" s="9"/>
      <c r="G162" s="9"/>
      <c r="H162" s="9"/>
      <c r="I162" s="9"/>
      <c r="J162" s="312">
        <f t="shared" ref="J162:S164" si="240">(J148/F148-1)*100</f>
        <v>-4.4238452492594398</v>
      </c>
      <c r="K162" s="312">
        <f t="shared" si="240"/>
        <v>3.2437349788254188</v>
      </c>
      <c r="L162" s="312">
        <f t="shared" si="240"/>
        <v>9.4170421091857914</v>
      </c>
      <c r="M162" s="312">
        <f t="shared" si="240"/>
        <v>12.142132406256989</v>
      </c>
      <c r="N162" s="312">
        <f t="shared" si="240"/>
        <v>58.267175304931463</v>
      </c>
      <c r="O162" s="312">
        <f t="shared" si="240"/>
        <v>49.399612653324731</v>
      </c>
      <c r="P162" s="312">
        <f t="shared" si="240"/>
        <v>48.690756742602773</v>
      </c>
      <c r="Q162" s="312">
        <f t="shared" si="240"/>
        <v>45.223807329339373</v>
      </c>
      <c r="R162" s="312">
        <f t="shared" si="240"/>
        <v>17.920245753245247</v>
      </c>
      <c r="S162" s="312">
        <f t="shared" si="240"/>
        <v>14.02401477832511</v>
      </c>
      <c r="T162" s="312">
        <f t="shared" ref="T162:AG164" si="241">(T148/P148-1)*100</f>
        <v>4.8458761455151489</v>
      </c>
      <c r="U162" s="312">
        <f t="shared" si="241"/>
        <v>10.121447714706511</v>
      </c>
      <c r="V162" s="312">
        <f t="shared" si="241"/>
        <v>10.315377887534115</v>
      </c>
      <c r="W162" s="312">
        <f t="shared" si="241"/>
        <v>8.4649655731065199</v>
      </c>
      <c r="X162" s="312">
        <f t="shared" si="241"/>
        <v>6.1174258941635751</v>
      </c>
      <c r="Y162" s="312">
        <f t="shared" si="241"/>
        <v>4.9207863109724581</v>
      </c>
      <c r="Z162" s="312">
        <f t="shared" si="241"/>
        <v>7.7037648999219499</v>
      </c>
      <c r="AA162" s="312">
        <f t="shared" si="241"/>
        <v>46.431831383287701</v>
      </c>
      <c r="AB162" s="312">
        <f t="shared" si="241"/>
        <v>66.407938392232069</v>
      </c>
      <c r="AC162" s="312">
        <f t="shared" si="241"/>
        <v>65.026610333810225</v>
      </c>
      <c r="AD162" s="312">
        <f t="shared" si="241"/>
        <v>72.409602780099419</v>
      </c>
      <c r="AE162" s="312">
        <f t="shared" si="241"/>
        <v>32.999834468442366</v>
      </c>
      <c r="AF162" s="312">
        <f t="shared" si="241"/>
        <v>24.469270166453285</v>
      </c>
      <c r="AG162" s="312">
        <f t="shared" si="241"/>
        <v>25.417062382981094</v>
      </c>
      <c r="AH162" s="312"/>
      <c r="AI162" s="312"/>
      <c r="AJ162" s="312"/>
      <c r="AK162" s="4"/>
      <c r="AL162" s="4"/>
      <c r="AM162" s="4"/>
      <c r="AN162" s="4"/>
      <c r="AO162" s="4"/>
      <c r="AP162" s="4"/>
      <c r="AQ162" s="4"/>
      <c r="AR162" s="4"/>
      <c r="AS162" s="4"/>
      <c r="AT162" s="4"/>
      <c r="AU162" s="4"/>
      <c r="AV162" s="4"/>
      <c r="AW162" s="4"/>
      <c r="AX162" s="4"/>
    </row>
    <row r="163" spans="1:50">
      <c r="A163" s="4" t="s">
        <v>617</v>
      </c>
      <c r="B163" s="9"/>
      <c r="C163" s="9"/>
      <c r="D163" s="9"/>
      <c r="E163" s="9"/>
      <c r="F163" s="9"/>
      <c r="G163" s="9"/>
      <c r="H163" s="9"/>
      <c r="I163" s="9"/>
      <c r="J163" s="312">
        <f t="shared" si="240"/>
        <v>3.2793075216957401</v>
      </c>
      <c r="K163" s="312">
        <f t="shared" si="240"/>
        <v>2.5461421749144453</v>
      </c>
      <c r="L163" s="312">
        <f t="shared" si="240"/>
        <v>2.8680627860952157</v>
      </c>
      <c r="M163" s="312">
        <f t="shared" si="240"/>
        <v>10.063635986658248</v>
      </c>
      <c r="N163" s="312">
        <f t="shared" si="240"/>
        <v>38.012945316109793</v>
      </c>
      <c r="O163" s="312">
        <f t="shared" si="240"/>
        <v>24.022666953590143</v>
      </c>
      <c r="P163" s="312">
        <f t="shared" si="240"/>
        <v>29.727063008977474</v>
      </c>
      <c r="Q163" s="312">
        <f t="shared" si="240"/>
        <v>35.719777672130945</v>
      </c>
      <c r="R163" s="312">
        <f t="shared" si="240"/>
        <v>26.018027040560842</v>
      </c>
      <c r="S163" s="312">
        <f t="shared" si="240"/>
        <v>37.444331983805654</v>
      </c>
      <c r="T163" s="312">
        <f t="shared" si="241"/>
        <v>35.827780693954914</v>
      </c>
      <c r="U163" s="312">
        <f t="shared" si="241"/>
        <v>13.197657824406029</v>
      </c>
      <c r="V163" s="312">
        <f t="shared" si="241"/>
        <v>19.112673321957363</v>
      </c>
      <c r="W163" s="312">
        <f t="shared" si="241"/>
        <v>13.514383550835563</v>
      </c>
      <c r="X163" s="312">
        <f t="shared" si="241"/>
        <v>11.204109819973574</v>
      </c>
      <c r="Y163" s="312">
        <f t="shared" si="241"/>
        <v>7.5819656473968156</v>
      </c>
      <c r="Z163" s="312">
        <f t="shared" si="241"/>
        <v>2.3687792380102435</v>
      </c>
      <c r="AA163" s="312">
        <f t="shared" si="241"/>
        <v>14.365706914000365</v>
      </c>
      <c r="AB163" s="312">
        <f t="shared" si="241"/>
        <v>18.396276595744677</v>
      </c>
      <c r="AC163" s="312">
        <f t="shared" si="241"/>
        <v>15.346201956838046</v>
      </c>
      <c r="AD163" s="312">
        <f t="shared" si="241"/>
        <v>22.751582867783981</v>
      </c>
      <c r="AE163" s="312">
        <f t="shared" si="241"/>
        <v>8.2194389475850791</v>
      </c>
      <c r="AF163" s="312">
        <f t="shared" si="241"/>
        <v>1.5445784756384917</v>
      </c>
      <c r="AG163" s="312">
        <f t="shared" si="241"/>
        <v>6.5331301423107169</v>
      </c>
      <c r="AH163" s="312"/>
      <c r="AI163" s="312"/>
      <c r="AJ163" s="312"/>
      <c r="AK163" s="4"/>
      <c r="AL163" s="4"/>
      <c r="AM163" s="4"/>
      <c r="AN163" s="4"/>
      <c r="AO163" s="4"/>
      <c r="AP163" s="4"/>
      <c r="AQ163" s="4"/>
      <c r="AR163" s="4"/>
      <c r="AS163" s="4"/>
      <c r="AT163" s="4"/>
      <c r="AU163" s="4"/>
      <c r="AV163" s="4"/>
      <c r="AW163" s="4"/>
      <c r="AX163" s="4"/>
    </row>
    <row r="164" spans="1:50">
      <c r="A164" s="4" t="s">
        <v>618</v>
      </c>
      <c r="B164" s="9"/>
      <c r="C164" s="9"/>
      <c r="D164" s="9"/>
      <c r="E164" s="9"/>
      <c r="F164" s="9"/>
      <c r="G164" s="9"/>
      <c r="H164" s="9"/>
      <c r="I164" s="9"/>
      <c r="J164" s="312">
        <f t="shared" si="240"/>
        <v>5.4725662967594069</v>
      </c>
      <c r="K164" s="312">
        <f t="shared" si="240"/>
        <v>20.451024141963003</v>
      </c>
      <c r="L164" s="312">
        <f t="shared" si="240"/>
        <v>4.8986055524501637</v>
      </c>
      <c r="M164" s="312">
        <f t="shared" si="240"/>
        <v>11.969499813267026</v>
      </c>
      <c r="N164" s="312">
        <f t="shared" si="240"/>
        <v>9.8037059438059959</v>
      </c>
      <c r="O164" s="312">
        <f t="shared" si="240"/>
        <v>31.368624919302768</v>
      </c>
      <c r="P164" s="312">
        <f t="shared" si="240"/>
        <v>21.05015463224418</v>
      </c>
      <c r="Q164" s="312">
        <f t="shared" si="240"/>
        <v>-1.3553887934195985</v>
      </c>
      <c r="R164" s="312">
        <f t="shared" si="240"/>
        <v>9.4152767612957877</v>
      </c>
      <c r="S164" s="312">
        <f t="shared" si="240"/>
        <v>-22.650375939849631</v>
      </c>
      <c r="T164" s="312">
        <f t="shared" si="241"/>
        <v>-8.259858372674266</v>
      </c>
      <c r="U164" s="312">
        <f t="shared" si="241"/>
        <v>33.651387798071575</v>
      </c>
      <c r="V164" s="312">
        <f t="shared" si="241"/>
        <v>11.953051015127446</v>
      </c>
      <c r="W164" s="312">
        <f t="shared" si="241"/>
        <v>30.305196197555585</v>
      </c>
      <c r="X164" s="312">
        <f t="shared" si="241"/>
        <v>42.982008059481267</v>
      </c>
      <c r="Y164" s="312">
        <f t="shared" si="241"/>
        <v>7.1185656593441005</v>
      </c>
      <c r="Z164" s="312">
        <f t="shared" si="241"/>
        <v>4.4709848241856864</v>
      </c>
      <c r="AA164" s="312">
        <f t="shared" si="241"/>
        <v>23.495694147331459</v>
      </c>
      <c r="AB164" s="312">
        <f t="shared" si="241"/>
        <v>1.272890864824805</v>
      </c>
      <c r="AC164" s="312">
        <f t="shared" si="241"/>
        <v>53.064797576875279</v>
      </c>
      <c r="AD164" s="312">
        <f t="shared" si="241"/>
        <v>79.770275476786793</v>
      </c>
      <c r="AE164" s="312">
        <f t="shared" si="241"/>
        <v>50.513372863413977</v>
      </c>
      <c r="AF164" s="312">
        <f t="shared" si="241"/>
        <v>89.751234680812146</v>
      </c>
      <c r="AG164" s="312">
        <f t="shared" si="241"/>
        <v>39.862739490992283</v>
      </c>
      <c r="AH164" s="312"/>
      <c r="AI164" s="312"/>
      <c r="AJ164" s="312"/>
      <c r="AK164" s="4"/>
      <c r="AL164" s="4"/>
      <c r="AM164" s="4"/>
      <c r="AN164" s="4"/>
      <c r="AO164" s="4"/>
      <c r="AP164" s="4"/>
      <c r="AQ164" s="4"/>
      <c r="AR164" s="4"/>
      <c r="AS164" s="4"/>
      <c r="AT164" s="4"/>
      <c r="AU164" s="4"/>
      <c r="AV164" s="4"/>
      <c r="AW164" s="4"/>
      <c r="AX164" s="4"/>
    </row>
    <row r="165" spans="1:50">
      <c r="A165" s="4"/>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4"/>
      <c r="AL165" s="4"/>
      <c r="AM165" s="4"/>
      <c r="AN165" s="4"/>
      <c r="AO165" s="4"/>
      <c r="AP165" s="4"/>
      <c r="AQ165" s="4"/>
      <c r="AR165" s="4"/>
      <c r="AS165" s="4"/>
      <c r="AT165" s="4"/>
      <c r="AU165" s="4"/>
      <c r="AV165" s="4"/>
      <c r="AW165" s="4"/>
      <c r="AX165" s="4"/>
    </row>
    <row r="166" spans="1:50" ht="15.75" customHeight="1">
      <c r="A166" s="251" t="s">
        <v>641</v>
      </c>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73"/>
      <c r="AL166" s="273"/>
      <c r="AM166" s="273"/>
      <c r="AN166" s="273"/>
      <c r="AO166" s="273"/>
      <c r="AP166" s="273"/>
      <c r="AQ166" s="273"/>
      <c r="AR166" s="273"/>
      <c r="AS166" s="273"/>
      <c r="AT166" s="273"/>
      <c r="AU166" s="273"/>
      <c r="AV166" s="273"/>
      <c r="AW166" s="273"/>
      <c r="AX166" s="273"/>
    </row>
    <row r="167" spans="1:50" ht="15.75" customHeight="1">
      <c r="A167" s="4" t="s">
        <v>309</v>
      </c>
      <c r="B167" s="249"/>
      <c r="C167" s="249"/>
      <c r="D167" s="249"/>
      <c r="E167" s="276"/>
      <c r="F167" s="13">
        <f t="shared" ref="F167:Z167" si="242">F$4*(F63/100)</f>
        <v>92.467445255474459</v>
      </c>
      <c r="G167" s="13">
        <f t="shared" si="242"/>
        <v>97.001132182281367</v>
      </c>
      <c r="H167" s="13">
        <f t="shared" si="242"/>
        <v>96.798083697336892</v>
      </c>
      <c r="I167" s="13">
        <f t="shared" si="242"/>
        <v>99.072285794027366</v>
      </c>
      <c r="J167" s="13">
        <f t="shared" si="242"/>
        <v>86.318300000000008</v>
      </c>
      <c r="K167" s="13">
        <f t="shared" si="242"/>
        <v>99.13600000000001</v>
      </c>
      <c r="L167" s="13">
        <f t="shared" si="242"/>
        <v>99.696000000000012</v>
      </c>
      <c r="M167" s="13">
        <f t="shared" si="242"/>
        <v>104.63679999999999</v>
      </c>
      <c r="N167" s="13">
        <f t="shared" si="242"/>
        <v>119.82</v>
      </c>
      <c r="O167" s="13">
        <f t="shared" si="242"/>
        <v>119.16800000000002</v>
      </c>
      <c r="P167" s="13">
        <f t="shared" si="242"/>
        <v>119.664</v>
      </c>
      <c r="Q167" s="13">
        <f t="shared" si="242"/>
        <v>123.17200000000001</v>
      </c>
      <c r="R167" s="13">
        <f t="shared" si="242"/>
        <v>124.124</v>
      </c>
      <c r="S167" s="13">
        <f t="shared" si="242"/>
        <v>123.94380000000001</v>
      </c>
      <c r="T167" s="13">
        <f t="shared" si="242"/>
        <v>124.5915</v>
      </c>
      <c r="U167" s="13">
        <f t="shared" si="242"/>
        <v>130.3492</v>
      </c>
      <c r="V167" s="13">
        <f t="shared" si="242"/>
        <v>133.18200000000002</v>
      </c>
      <c r="W167" s="13">
        <f t="shared" si="242"/>
        <v>133.488</v>
      </c>
      <c r="X167" s="13">
        <f t="shared" si="242"/>
        <v>134.79599999999999</v>
      </c>
      <c r="Y167" s="13">
        <f t="shared" si="242"/>
        <v>133.42749999999998</v>
      </c>
      <c r="Z167" s="13">
        <f t="shared" si="242"/>
        <v>136.32640000000001</v>
      </c>
      <c r="AA167" s="13">
        <f t="shared" ref="AA167:AB167" si="243">AA$4*(AA63/100)</f>
        <v>168.67620000000002</v>
      </c>
      <c r="AB167" s="299">
        <f t="shared" si="243"/>
        <v>183.14449999999999</v>
      </c>
      <c r="AC167" s="299">
        <f t="shared" ref="AC167:AD167" si="244">AC$4*(AC63/100)</f>
        <v>186.01350000000002</v>
      </c>
      <c r="AD167" s="299">
        <f t="shared" si="244"/>
        <v>211.0248</v>
      </c>
      <c r="AE167" s="299">
        <f t="shared" ref="AE167:AF167" si="245">AE$4*(AE63/100)</f>
        <v>220.42170000000002</v>
      </c>
      <c r="AF167" s="299">
        <f t="shared" si="245"/>
        <v>226.98480000000001</v>
      </c>
      <c r="AG167" s="299">
        <f t="shared" ref="AG167" si="246">AG$4*(AG63/100)</f>
        <v>232.81160000000003</v>
      </c>
      <c r="AH167" s="299"/>
      <c r="AI167" s="299"/>
      <c r="AJ167" s="299"/>
      <c r="AK167" s="9"/>
      <c r="AL167" s="243"/>
      <c r="AM167" s="243"/>
      <c r="AN167" s="13">
        <f t="shared" ref="AN167:AQ168" si="247">AN$4*(AN63/100)</f>
        <v>389.17400000000004</v>
      </c>
      <c r="AO167" s="13">
        <f t="shared" si="247"/>
        <v>485.24000000000007</v>
      </c>
      <c r="AP167" s="13">
        <f t="shared" si="247"/>
        <v>501.85169999999999</v>
      </c>
      <c r="AQ167" s="13">
        <f t="shared" si="247"/>
        <v>530.96190000000001</v>
      </c>
      <c r="AR167" s="13">
        <f t="shared" ref="AR167:AS167" si="248">AR$4*(AR63/100)</f>
        <v>677.66399999999999</v>
      </c>
      <c r="AS167" s="13">
        <f t="shared" si="248"/>
        <v>1175.72</v>
      </c>
      <c r="AT167" s="13"/>
      <c r="AU167" s="13"/>
      <c r="AV167" s="13"/>
      <c r="AW167" s="13"/>
      <c r="AX167" s="13"/>
    </row>
    <row r="168" spans="1:50" ht="15.75" customHeight="1">
      <c r="A168" s="4" t="s">
        <v>310</v>
      </c>
      <c r="B168" s="249"/>
      <c r="C168" s="249"/>
      <c r="D168" s="249"/>
      <c r="E168" s="276"/>
      <c r="F168" s="13">
        <f t="shared" ref="F168:Z168" si="249">F$4*(F64/100)</f>
        <v>47.634744525547454</v>
      </c>
      <c r="G168" s="13">
        <f t="shared" si="249"/>
        <v>49.970280215114641</v>
      </c>
      <c r="H168" s="13">
        <f t="shared" si="249"/>
        <v>54.448922079752002</v>
      </c>
      <c r="I168" s="13">
        <f t="shared" si="249"/>
        <v>55.728160759140387</v>
      </c>
      <c r="J168" s="13">
        <f t="shared" si="249"/>
        <v>53.581699999999998</v>
      </c>
      <c r="K168" s="13">
        <f t="shared" si="249"/>
        <v>55.764000000000003</v>
      </c>
      <c r="L168" s="13">
        <f t="shared" si="249"/>
        <v>61.104000000000006</v>
      </c>
      <c r="M168" s="13">
        <f t="shared" si="249"/>
        <v>67.463200000000001</v>
      </c>
      <c r="N168" s="13">
        <f t="shared" si="249"/>
        <v>79.88</v>
      </c>
      <c r="O168" s="13">
        <f t="shared" si="249"/>
        <v>93.632000000000005</v>
      </c>
      <c r="P168" s="13">
        <f t="shared" si="249"/>
        <v>101.93600000000001</v>
      </c>
      <c r="Q168" s="13">
        <f t="shared" si="249"/>
        <v>109.22799999999999</v>
      </c>
      <c r="R168" s="13">
        <f t="shared" si="249"/>
        <v>114.57599999999999</v>
      </c>
      <c r="S168" s="13">
        <f t="shared" si="249"/>
        <v>122.9562</v>
      </c>
      <c r="T168" s="13">
        <f t="shared" si="249"/>
        <v>127.10849999999999</v>
      </c>
      <c r="U168" s="13">
        <f t="shared" si="249"/>
        <v>134.05079999999998</v>
      </c>
      <c r="V168" s="13">
        <f t="shared" si="249"/>
        <v>138.61799999999999</v>
      </c>
      <c r="W168" s="13">
        <f t="shared" si="249"/>
        <v>144.61200000000002</v>
      </c>
      <c r="X168" s="13">
        <f t="shared" si="249"/>
        <v>147.20400000000001</v>
      </c>
      <c r="Y168" s="13">
        <f t="shared" si="249"/>
        <v>147.4725</v>
      </c>
      <c r="Z168" s="13">
        <f t="shared" si="249"/>
        <v>150.0736</v>
      </c>
      <c r="AA168" s="13">
        <f t="shared" ref="AA168:AB168" si="250">AA$4*(AA64/100)</f>
        <v>196.42379999999997</v>
      </c>
      <c r="AB168" s="13">
        <f t="shared" si="250"/>
        <v>207.35550000000001</v>
      </c>
      <c r="AC168" s="13">
        <f t="shared" ref="AC168:AD168" si="251">AC$4*(AC64/100)</f>
        <v>217.48650000000001</v>
      </c>
      <c r="AD168" s="13">
        <f t="shared" si="251"/>
        <v>231.37520000000001</v>
      </c>
      <c r="AE168" s="13">
        <f t="shared" ref="AE168:AF168" si="252">AE$4*(AE64/100)</f>
        <v>241.67830000000001</v>
      </c>
      <c r="AF168" s="13">
        <f t="shared" si="252"/>
        <v>253.9152</v>
      </c>
      <c r="AG168" s="13">
        <f t="shared" ref="AG168" si="253">AG$4*(AG64/100)</f>
        <v>256.28840000000002</v>
      </c>
      <c r="AH168" s="13"/>
      <c r="AI168" s="13"/>
      <c r="AJ168" s="13"/>
      <c r="AK168" s="9"/>
      <c r="AL168" s="243"/>
      <c r="AM168" s="243"/>
      <c r="AN168" s="13">
        <f t="shared" si="247"/>
        <v>238.52600000000001</v>
      </c>
      <c r="AO168" s="13">
        <f t="shared" si="247"/>
        <v>381.26</v>
      </c>
      <c r="AP168" s="13">
        <f t="shared" si="247"/>
        <v>499.84829999999994</v>
      </c>
      <c r="AQ168" s="13">
        <f t="shared" si="247"/>
        <v>568.33809999999994</v>
      </c>
      <c r="AR168" s="13">
        <f t="shared" ref="AR168:AS168" si="254">AR$4*(AR64/100)</f>
        <v>770.33600000000001</v>
      </c>
      <c r="AS168" s="13">
        <f t="shared" si="254"/>
        <v>1294.28</v>
      </c>
      <c r="AT168" s="13"/>
      <c r="AU168" s="13"/>
      <c r="AV168" s="13"/>
      <c r="AW168" s="13"/>
      <c r="AX168" s="13"/>
    </row>
    <row r="169" spans="1:50" ht="15.75" customHeight="1">
      <c r="A169" s="10" t="s">
        <v>279</v>
      </c>
      <c r="B169" s="255">
        <v>0</v>
      </c>
      <c r="C169" s="255">
        <f t="shared" ref="C169:P169" si="255">SUM(C167:C168)</f>
        <v>0</v>
      </c>
      <c r="D169" s="255">
        <f t="shared" si="255"/>
        <v>0</v>
      </c>
      <c r="E169" s="254">
        <f t="shared" si="255"/>
        <v>0</v>
      </c>
      <c r="F169" s="254">
        <f t="shared" si="255"/>
        <v>140.10218978102191</v>
      </c>
      <c r="G169" s="254">
        <f t="shared" si="255"/>
        <v>146.97141239739602</v>
      </c>
      <c r="H169" s="254">
        <f t="shared" si="255"/>
        <v>151.2470057770889</v>
      </c>
      <c r="I169" s="254">
        <f t="shared" si="255"/>
        <v>154.80044655316775</v>
      </c>
      <c r="J169" s="255">
        <f t="shared" si="255"/>
        <v>139.9</v>
      </c>
      <c r="K169" s="255">
        <f t="shared" si="255"/>
        <v>154.9</v>
      </c>
      <c r="L169" s="255">
        <f t="shared" si="255"/>
        <v>160.80000000000001</v>
      </c>
      <c r="M169" s="255">
        <f t="shared" si="255"/>
        <v>172.1</v>
      </c>
      <c r="N169" s="255">
        <f t="shared" si="255"/>
        <v>199.7</v>
      </c>
      <c r="O169" s="255">
        <f t="shared" si="255"/>
        <v>212.8</v>
      </c>
      <c r="P169" s="255">
        <f t="shared" si="255"/>
        <v>221.60000000000002</v>
      </c>
      <c r="Q169" s="255">
        <f t="shared" ref="Q169:R169" si="256">SUM(Q167:Q168)</f>
        <v>232.4</v>
      </c>
      <c r="R169" s="255">
        <f t="shared" si="256"/>
        <v>238.7</v>
      </c>
      <c r="S169" s="255">
        <f t="shared" ref="S169:T169" si="257">SUM(S167:S168)</f>
        <v>246.9</v>
      </c>
      <c r="T169" s="255">
        <f t="shared" si="257"/>
        <v>251.7</v>
      </c>
      <c r="U169" s="255">
        <f t="shared" ref="U169:V169" si="258">SUM(U167:U168)</f>
        <v>264.39999999999998</v>
      </c>
      <c r="V169" s="255">
        <f t="shared" si="258"/>
        <v>271.8</v>
      </c>
      <c r="W169" s="255">
        <f t="shared" ref="W169:X169" si="259">SUM(W167:W168)</f>
        <v>278.10000000000002</v>
      </c>
      <c r="X169" s="255">
        <f t="shared" si="259"/>
        <v>282</v>
      </c>
      <c r="Y169" s="255">
        <f t="shared" ref="Y169:Z169" si="260">SUM(Y167:Y168)</f>
        <v>280.89999999999998</v>
      </c>
      <c r="Z169" s="255">
        <f t="shared" si="260"/>
        <v>286.39999999999998</v>
      </c>
      <c r="AA169" s="255">
        <f t="shared" ref="AA169:AB169" si="261">SUM(AA167:AA168)</f>
        <v>365.1</v>
      </c>
      <c r="AB169" s="255">
        <f t="shared" si="261"/>
        <v>390.5</v>
      </c>
      <c r="AC169" s="255">
        <f t="shared" ref="AC169:AD169" si="262">SUM(AC167:AC168)</f>
        <v>403.5</v>
      </c>
      <c r="AD169" s="255">
        <f t="shared" si="262"/>
        <v>442.4</v>
      </c>
      <c r="AE169" s="255">
        <f t="shared" ref="AE169:AF169" si="263">SUM(AE167:AE168)</f>
        <v>462.1</v>
      </c>
      <c r="AF169" s="255">
        <f t="shared" si="263"/>
        <v>480.9</v>
      </c>
      <c r="AG169" s="255">
        <f t="shared" ref="AG169" si="264">SUM(AG167:AG168)</f>
        <v>489.1</v>
      </c>
      <c r="AH169" s="255"/>
      <c r="AI169" s="255"/>
      <c r="AJ169" s="255"/>
      <c r="AK169" s="274">
        <f t="shared" ref="AK169:AN169" si="265">SUM(AK167:AK168)</f>
        <v>0</v>
      </c>
      <c r="AL169" s="275">
        <f t="shared" si="265"/>
        <v>0</v>
      </c>
      <c r="AM169" s="275">
        <f t="shared" si="265"/>
        <v>0</v>
      </c>
      <c r="AN169" s="275">
        <f t="shared" si="265"/>
        <v>627.70000000000005</v>
      </c>
      <c r="AO169" s="275">
        <f t="shared" ref="AO169:AQ169" si="266">SUM(AO167:AO168)</f>
        <v>866.5</v>
      </c>
      <c r="AP169" s="275">
        <f t="shared" si="266"/>
        <v>1001.6999999999999</v>
      </c>
      <c r="AQ169" s="275">
        <f t="shared" si="266"/>
        <v>1099.3</v>
      </c>
      <c r="AR169" s="275">
        <f t="shared" ref="AR169:AS169" si="267">SUM(AR167:AR168)</f>
        <v>1448</v>
      </c>
      <c r="AS169" s="275">
        <f t="shared" si="267"/>
        <v>2470</v>
      </c>
      <c r="AT169" s="275"/>
      <c r="AU169" s="275"/>
      <c r="AV169" s="275"/>
      <c r="AW169" s="275"/>
      <c r="AX169" s="275"/>
    </row>
    <row r="170" spans="1:50" ht="15.75" customHeight="1">
      <c r="A170" s="6"/>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c r="Y170" s="257"/>
      <c r="Z170" s="257"/>
      <c r="AA170" s="257"/>
      <c r="AB170" s="257"/>
      <c r="AC170" s="257"/>
      <c r="AD170" s="257"/>
      <c r="AE170" s="257"/>
      <c r="AF170" s="257"/>
      <c r="AG170" s="257"/>
      <c r="AH170" s="257"/>
      <c r="AI170" s="257"/>
      <c r="AJ170" s="257"/>
      <c r="AK170" s="257"/>
      <c r="AL170" s="4"/>
      <c r="AM170" s="4"/>
      <c r="AN170" s="4"/>
      <c r="AO170" s="4"/>
      <c r="AP170" s="4"/>
      <c r="AQ170" s="4"/>
      <c r="AR170" s="4"/>
      <c r="AS170" s="4"/>
      <c r="AT170" s="4"/>
      <c r="AU170" s="4"/>
      <c r="AV170" s="4"/>
      <c r="AW170" s="4"/>
      <c r="AX170" s="4"/>
    </row>
    <row r="171" spans="1:50">
      <c r="A171" s="251" t="s">
        <v>642</v>
      </c>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c r="AA171" s="252"/>
      <c r="AB171" s="252"/>
      <c r="AC171" s="252"/>
      <c r="AD171" s="252"/>
      <c r="AE171" s="252"/>
      <c r="AF171" s="252"/>
      <c r="AG171" s="252"/>
      <c r="AH171" s="252"/>
      <c r="AI171" s="252"/>
      <c r="AJ171" s="252"/>
      <c r="AK171" s="273"/>
      <c r="AL171" s="273"/>
      <c r="AM171" s="273"/>
      <c r="AN171" s="273"/>
      <c r="AO171" s="273"/>
      <c r="AP171" s="273"/>
      <c r="AQ171" s="273"/>
      <c r="AR171" s="273"/>
      <c r="AS171" s="273"/>
      <c r="AT171" s="273"/>
      <c r="AU171" s="273"/>
      <c r="AV171" s="273"/>
      <c r="AW171" s="273"/>
      <c r="AX171" s="273"/>
    </row>
    <row r="172" spans="1:50">
      <c r="A172" s="4" t="s">
        <v>629</v>
      </c>
      <c r="B172" s="249"/>
      <c r="C172" s="249"/>
      <c r="D172" s="249"/>
      <c r="E172" s="249"/>
      <c r="F172" s="249"/>
      <c r="G172" s="249"/>
      <c r="H172" s="249"/>
      <c r="I172" s="13">
        <f t="shared" ref="I172:Z172" si="268">I$4*(I68/100)</f>
        <v>78.948227742115549</v>
      </c>
      <c r="J172" s="13">
        <f t="shared" si="268"/>
        <v>73.307600000000008</v>
      </c>
      <c r="K172" s="13">
        <f t="shared" si="268"/>
        <v>82.097000000000008</v>
      </c>
      <c r="L172" s="13">
        <f t="shared" si="268"/>
        <v>88.440000000000012</v>
      </c>
      <c r="M172" s="13">
        <f t="shared" si="268"/>
        <v>93.278199999999998</v>
      </c>
      <c r="N172" s="13">
        <f t="shared" si="268"/>
        <v>109.83500000000001</v>
      </c>
      <c r="O172" s="13">
        <f t="shared" si="268"/>
        <v>113.84800000000001</v>
      </c>
      <c r="P172" s="13">
        <f t="shared" si="268"/>
        <v>119.44240000000001</v>
      </c>
      <c r="Q172" s="13">
        <f t="shared" si="268"/>
        <v>123.40440000000001</v>
      </c>
      <c r="R172" s="13">
        <f t="shared" si="268"/>
        <v>123.8853</v>
      </c>
      <c r="S172" s="13">
        <f t="shared" si="268"/>
        <v>122.9562</v>
      </c>
      <c r="T172" s="13">
        <f t="shared" si="268"/>
        <v>126.85679999999999</v>
      </c>
      <c r="U172" s="13">
        <f t="shared" si="268"/>
        <v>132.72879999999998</v>
      </c>
      <c r="V172" s="13">
        <f t="shared" si="268"/>
        <v>132.9102</v>
      </c>
      <c r="W172" s="13">
        <f t="shared" si="268"/>
        <v>137.10330000000002</v>
      </c>
      <c r="X172" s="13">
        <f t="shared" si="268"/>
        <v>143.82</v>
      </c>
      <c r="Y172" s="13">
        <f t="shared" si="268"/>
        <v>144.6635</v>
      </c>
      <c r="Z172" s="13">
        <f t="shared" si="268"/>
        <v>145.49119999999999</v>
      </c>
      <c r="AA172" s="13">
        <f t="shared" ref="AA172:AB172" si="269">AA$4*(AA68/100)</f>
        <v>155.16750000000002</v>
      </c>
      <c r="AB172" s="13">
        <f t="shared" si="269"/>
        <v>177.28699999999998</v>
      </c>
      <c r="AC172" s="13">
        <f t="shared" ref="AC172:AD172" si="270">AC$4*(AC68/100)</f>
        <v>188.43450000000001</v>
      </c>
      <c r="AD172" s="13">
        <f t="shared" si="270"/>
        <v>206.60079999999999</v>
      </c>
      <c r="AE172" s="13">
        <f t="shared" ref="AE172:AF172" si="271">AE$4*(AE68/100)</f>
        <v>212.10389999999998</v>
      </c>
      <c r="AF172" s="13">
        <f t="shared" si="271"/>
        <v>225.54209999999998</v>
      </c>
      <c r="AG172" s="13">
        <f t="shared" ref="AG172" si="272">AG$4*(AG68/100)</f>
        <v>226.45329999999998</v>
      </c>
      <c r="AH172" s="13"/>
      <c r="AI172" s="13"/>
      <c r="AJ172" s="13"/>
      <c r="AK172" s="9"/>
      <c r="AL172" s="243"/>
      <c r="AM172" s="243"/>
      <c r="AN172" s="13">
        <f t="shared" ref="AN172:AQ173" si="273">AN$4*(AN68/100)</f>
        <v>338.95800000000003</v>
      </c>
      <c r="AO172" s="13">
        <f t="shared" si="273"/>
        <v>467.91</v>
      </c>
      <c r="AP172" s="13">
        <f t="shared" si="273"/>
        <v>520.88400000000001</v>
      </c>
      <c r="AQ172" s="13">
        <f t="shared" si="273"/>
        <v>554.04719999999998</v>
      </c>
      <c r="AR172" s="13">
        <f t="shared" ref="AR172:AS172" si="274">AR$4*(AR68/100)</f>
        <v>668.976</v>
      </c>
      <c r="AS172" s="13">
        <f t="shared" si="274"/>
        <v>1158.4299999999998</v>
      </c>
      <c r="AT172" s="13"/>
      <c r="AU172" s="13"/>
      <c r="AV172" s="13"/>
      <c r="AW172" s="13"/>
      <c r="AX172" s="13"/>
    </row>
    <row r="173" spans="1:50">
      <c r="A173" s="4" t="s">
        <v>630</v>
      </c>
      <c r="B173" s="249"/>
      <c r="C173" s="249"/>
      <c r="D173" s="249"/>
      <c r="E173" s="249"/>
      <c r="F173" s="249"/>
      <c r="G173" s="249"/>
      <c r="H173" s="249"/>
      <c r="I173" s="13">
        <f t="shared" ref="I173:Z173" si="275">I$4*(I69/100)</f>
        <v>75.852218811052197</v>
      </c>
      <c r="J173" s="13">
        <f t="shared" si="275"/>
        <v>66.592400000000012</v>
      </c>
      <c r="K173" s="13">
        <f t="shared" si="275"/>
        <v>72.802999999999997</v>
      </c>
      <c r="L173" s="13">
        <f t="shared" si="275"/>
        <v>72.360000000000014</v>
      </c>
      <c r="M173" s="13">
        <f t="shared" si="275"/>
        <v>78.821799999999996</v>
      </c>
      <c r="N173" s="13">
        <f t="shared" si="275"/>
        <v>89.864999999999995</v>
      </c>
      <c r="O173" s="13">
        <f t="shared" si="275"/>
        <v>98.952000000000012</v>
      </c>
      <c r="P173" s="13">
        <f t="shared" si="275"/>
        <v>102.1576</v>
      </c>
      <c r="Q173" s="13">
        <f t="shared" si="275"/>
        <v>108.9956</v>
      </c>
      <c r="R173" s="13">
        <f t="shared" si="275"/>
        <v>114.8147</v>
      </c>
      <c r="S173" s="13">
        <f t="shared" si="275"/>
        <v>123.94380000000001</v>
      </c>
      <c r="T173" s="13">
        <f t="shared" si="275"/>
        <v>124.8432</v>
      </c>
      <c r="U173" s="13">
        <f t="shared" si="275"/>
        <v>131.6712</v>
      </c>
      <c r="V173" s="13">
        <f t="shared" si="275"/>
        <v>138.88980000000001</v>
      </c>
      <c r="W173" s="13">
        <f t="shared" si="275"/>
        <v>140.9967</v>
      </c>
      <c r="X173" s="13">
        <f t="shared" si="275"/>
        <v>138.18</v>
      </c>
      <c r="Y173" s="13">
        <f t="shared" si="275"/>
        <v>136.23649999999998</v>
      </c>
      <c r="Z173" s="13">
        <f t="shared" si="275"/>
        <v>140.90880000000001</v>
      </c>
      <c r="AA173" s="13">
        <f t="shared" ref="AA173:AB173" si="276">AA$4*(AA69/100)</f>
        <v>209.9325</v>
      </c>
      <c r="AB173" s="13">
        <f t="shared" si="276"/>
        <v>213.21300000000002</v>
      </c>
      <c r="AC173" s="13">
        <f t="shared" ref="AC173:AD173" si="277">AC$4*(AC69/100)</f>
        <v>215.06549999999996</v>
      </c>
      <c r="AD173" s="13">
        <f t="shared" si="277"/>
        <v>235.79919999999996</v>
      </c>
      <c r="AE173" s="13">
        <f t="shared" ref="AE173:AF173" si="278">AE$4*(AE69/100)</f>
        <v>249.99610000000004</v>
      </c>
      <c r="AF173" s="13">
        <f t="shared" si="278"/>
        <v>255.3579</v>
      </c>
      <c r="AG173" s="13">
        <f t="shared" ref="AG173" si="279">AG$4*(AG69/100)</f>
        <v>262.64670000000001</v>
      </c>
      <c r="AH173" s="13"/>
      <c r="AI173" s="13"/>
      <c r="AJ173" s="13"/>
      <c r="AK173" s="9"/>
      <c r="AL173" s="243"/>
      <c r="AM173" s="243"/>
      <c r="AN173" s="13">
        <f t="shared" si="273"/>
        <v>288.74200000000002</v>
      </c>
      <c r="AO173" s="13">
        <f t="shared" si="273"/>
        <v>398.59000000000003</v>
      </c>
      <c r="AP173" s="13">
        <f t="shared" si="273"/>
        <v>480.81599999999997</v>
      </c>
      <c r="AQ173" s="13">
        <f t="shared" si="273"/>
        <v>545.25279999999998</v>
      </c>
      <c r="AR173" s="13">
        <f t="shared" ref="AR173:AS173" si="280">AR$4*(AR69/100)</f>
        <v>779.02399999999989</v>
      </c>
      <c r="AS173" s="13">
        <f t="shared" si="280"/>
        <v>1311.5700000000002</v>
      </c>
      <c r="AT173" s="13"/>
      <c r="AU173" s="13"/>
      <c r="AV173" s="13"/>
      <c r="AW173" s="13"/>
      <c r="AX173" s="13"/>
    </row>
    <row r="174" spans="1:50">
      <c r="A174" s="10" t="s">
        <v>279</v>
      </c>
      <c r="B174" s="255">
        <v>0</v>
      </c>
      <c r="C174" s="255">
        <f t="shared" ref="C174:P174" si="281">SUM(C172:C173)</f>
        <v>0</v>
      </c>
      <c r="D174" s="255">
        <f t="shared" si="281"/>
        <v>0</v>
      </c>
      <c r="E174" s="255">
        <f t="shared" si="281"/>
        <v>0</v>
      </c>
      <c r="F174" s="255">
        <f t="shared" si="281"/>
        <v>0</v>
      </c>
      <c r="G174" s="255">
        <f t="shared" si="281"/>
        <v>0</v>
      </c>
      <c r="H174" s="255">
        <f t="shared" si="281"/>
        <v>0</v>
      </c>
      <c r="I174" s="255">
        <f t="shared" si="281"/>
        <v>154.80044655316775</v>
      </c>
      <c r="J174" s="255">
        <f t="shared" si="281"/>
        <v>139.90000000000003</v>
      </c>
      <c r="K174" s="255">
        <f t="shared" si="281"/>
        <v>154.9</v>
      </c>
      <c r="L174" s="255">
        <f t="shared" si="281"/>
        <v>160.80000000000001</v>
      </c>
      <c r="M174" s="255">
        <f t="shared" si="281"/>
        <v>172.1</v>
      </c>
      <c r="N174" s="255">
        <f t="shared" si="281"/>
        <v>199.7</v>
      </c>
      <c r="O174" s="255">
        <f t="shared" si="281"/>
        <v>212.8</v>
      </c>
      <c r="P174" s="255">
        <f t="shared" si="281"/>
        <v>221.60000000000002</v>
      </c>
      <c r="Q174" s="255">
        <f t="shared" ref="Q174:R174" si="282">SUM(Q172:Q173)</f>
        <v>232.4</v>
      </c>
      <c r="R174" s="255">
        <f t="shared" si="282"/>
        <v>238.7</v>
      </c>
      <c r="S174" s="255">
        <f t="shared" ref="S174:T174" si="283">SUM(S172:S173)</f>
        <v>246.9</v>
      </c>
      <c r="T174" s="255">
        <f t="shared" si="283"/>
        <v>251.7</v>
      </c>
      <c r="U174" s="255">
        <f t="shared" ref="U174:V174" si="284">SUM(U172:U173)</f>
        <v>264.39999999999998</v>
      </c>
      <c r="V174" s="255">
        <f t="shared" si="284"/>
        <v>271.8</v>
      </c>
      <c r="W174" s="255">
        <f t="shared" ref="W174:X174" si="285">SUM(W172:W173)</f>
        <v>278.10000000000002</v>
      </c>
      <c r="X174" s="255">
        <f t="shared" si="285"/>
        <v>282</v>
      </c>
      <c r="Y174" s="255">
        <f t="shared" ref="Y174:Z174" si="286">SUM(Y172:Y173)</f>
        <v>280.89999999999998</v>
      </c>
      <c r="Z174" s="255">
        <f t="shared" si="286"/>
        <v>286.39999999999998</v>
      </c>
      <c r="AA174" s="255">
        <f t="shared" ref="AA174:AB174" si="287">SUM(AA172:AA173)</f>
        <v>365.1</v>
      </c>
      <c r="AB174" s="255">
        <f t="shared" si="287"/>
        <v>390.5</v>
      </c>
      <c r="AC174" s="255">
        <f t="shared" ref="AC174:AD174" si="288">SUM(AC172:AC173)</f>
        <v>403.5</v>
      </c>
      <c r="AD174" s="255">
        <f t="shared" si="288"/>
        <v>442.4</v>
      </c>
      <c r="AE174" s="255">
        <f t="shared" ref="AE174:AF174" si="289">SUM(AE172:AE173)</f>
        <v>462.1</v>
      </c>
      <c r="AF174" s="255">
        <f t="shared" si="289"/>
        <v>480.9</v>
      </c>
      <c r="AG174" s="255">
        <f t="shared" ref="AG174" si="290">SUM(AG172:AG173)</f>
        <v>489.1</v>
      </c>
      <c r="AH174" s="255"/>
      <c r="AI174" s="255"/>
      <c r="AJ174" s="255"/>
      <c r="AK174" s="274"/>
      <c r="AL174" s="275"/>
      <c r="AM174" s="275"/>
      <c r="AN174" s="255">
        <f>SUM(AN172:AN173)</f>
        <v>627.70000000000005</v>
      </c>
      <c r="AO174" s="255">
        <f>SUM(AO172:AO173)</f>
        <v>866.5</v>
      </c>
      <c r="AP174" s="255">
        <f t="shared" ref="AP174:AQ174" si="291">SUM(AP172:AP173)</f>
        <v>1001.7</v>
      </c>
      <c r="AQ174" s="255">
        <f t="shared" si="291"/>
        <v>1099.3</v>
      </c>
      <c r="AR174" s="255">
        <f t="shared" ref="AR174:AS174" si="292">SUM(AR172:AR173)</f>
        <v>1448</v>
      </c>
      <c r="AS174" s="255">
        <f t="shared" si="292"/>
        <v>2470</v>
      </c>
      <c r="AT174" s="255"/>
      <c r="AU174" s="255"/>
      <c r="AV174" s="255"/>
      <c r="AW174" s="255"/>
      <c r="AX174" s="255"/>
    </row>
    <row r="175" spans="1:50">
      <c r="A175" s="6"/>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c r="Y175" s="257"/>
      <c r="Z175" s="257"/>
      <c r="AA175" s="257"/>
      <c r="AB175" s="257"/>
      <c r="AC175" s="257"/>
      <c r="AD175" s="257"/>
      <c r="AE175" s="257"/>
      <c r="AF175" s="257"/>
      <c r="AG175" s="257"/>
      <c r="AH175" s="257"/>
      <c r="AI175" s="257"/>
      <c r="AJ175" s="257"/>
      <c r="AK175" s="257"/>
      <c r="AL175" s="4"/>
      <c r="AM175" s="4"/>
      <c r="AN175" s="4"/>
      <c r="AO175" s="4"/>
      <c r="AP175" s="4"/>
      <c r="AQ175" s="4"/>
      <c r="AR175" s="4"/>
      <c r="AS175" s="4"/>
      <c r="AT175" s="4"/>
      <c r="AU175" s="4"/>
      <c r="AV175" s="4"/>
      <c r="AW175" s="4"/>
      <c r="AX175" s="4"/>
    </row>
    <row r="176" spans="1:50">
      <c r="A176" s="251" t="s">
        <v>643</v>
      </c>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c r="AA176" s="252"/>
      <c r="AB176" s="252"/>
      <c r="AC176" s="252"/>
      <c r="AD176" s="252"/>
      <c r="AE176" s="252"/>
      <c r="AF176" s="252"/>
      <c r="AG176" s="252"/>
      <c r="AH176" s="252"/>
      <c r="AI176" s="252"/>
      <c r="AJ176" s="252"/>
      <c r="AK176" s="273"/>
      <c r="AL176" s="273"/>
      <c r="AM176" s="273"/>
      <c r="AN176" s="273"/>
      <c r="AO176" s="273"/>
      <c r="AP176" s="273"/>
      <c r="AQ176" s="273"/>
      <c r="AR176" s="273"/>
      <c r="AS176" s="273"/>
      <c r="AT176" s="273"/>
      <c r="AU176" s="273"/>
      <c r="AV176" s="273"/>
      <c r="AW176" s="273"/>
      <c r="AX176" s="273"/>
    </row>
    <row r="177" spans="1:50">
      <c r="A177" s="4" t="s">
        <v>644</v>
      </c>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3"/>
      <c r="AL177" s="4"/>
      <c r="AM177" s="4"/>
      <c r="AN177" s="4"/>
      <c r="AO177" s="4"/>
      <c r="AP177" s="4"/>
      <c r="AQ177" s="4"/>
      <c r="AR177" s="4"/>
      <c r="AS177" s="4"/>
      <c r="AT177" s="4"/>
      <c r="AU177" s="4"/>
      <c r="AV177" s="4"/>
      <c r="AW177" s="4"/>
      <c r="AX177" s="4"/>
    </row>
    <row r="178" spans="1:50">
      <c r="A178" s="87" t="s">
        <v>616</v>
      </c>
      <c r="B178" s="14"/>
      <c r="C178" s="14"/>
      <c r="D178" s="14"/>
      <c r="E178" s="14">
        <v>6</v>
      </c>
      <c r="F178" s="14">
        <v>5</v>
      </c>
      <c r="G178" s="14">
        <v>7</v>
      </c>
      <c r="H178" s="14">
        <v>6</v>
      </c>
      <c r="I178" s="14">
        <v>3</v>
      </c>
      <c r="J178" s="14">
        <v>5</v>
      </c>
      <c r="K178" s="14">
        <v>7</v>
      </c>
      <c r="L178" s="14">
        <v>4</v>
      </c>
      <c r="M178" s="14">
        <v>4</v>
      </c>
      <c r="N178" s="14">
        <v>6</v>
      </c>
      <c r="O178" s="14">
        <v>6</v>
      </c>
      <c r="P178" s="14">
        <v>8</v>
      </c>
      <c r="Q178" s="14">
        <v>10</v>
      </c>
      <c r="R178" s="14">
        <v>6</v>
      </c>
      <c r="S178" s="14">
        <v>5</v>
      </c>
      <c r="T178" s="14">
        <v>5</v>
      </c>
      <c r="U178" s="14">
        <v>6</v>
      </c>
      <c r="V178" s="14">
        <v>4</v>
      </c>
      <c r="W178" s="14">
        <v>5</v>
      </c>
      <c r="X178" s="14">
        <v>3</v>
      </c>
      <c r="Y178" s="14">
        <v>5</v>
      </c>
      <c r="Z178" s="14">
        <v>7</v>
      </c>
      <c r="AA178" s="14">
        <v>7</v>
      </c>
      <c r="AB178" s="14">
        <v>7</v>
      </c>
      <c r="AC178" s="14">
        <v>6</v>
      </c>
      <c r="AD178" s="14">
        <v>3</v>
      </c>
      <c r="AE178" s="14">
        <v>4</v>
      </c>
      <c r="AF178" s="14">
        <v>3</v>
      </c>
      <c r="AG178" s="14">
        <v>3</v>
      </c>
      <c r="AH178" s="14"/>
      <c r="AI178" s="14"/>
      <c r="AJ178" s="14"/>
      <c r="AK178" s="14">
        <v>13</v>
      </c>
      <c r="AL178" s="14">
        <v>23</v>
      </c>
      <c r="AM178" s="14">
        <v>21</v>
      </c>
      <c r="AN178" s="14">
        <v>19</v>
      </c>
      <c r="AO178" s="14">
        <v>30</v>
      </c>
      <c r="AP178" s="14">
        <v>22</v>
      </c>
      <c r="AQ178" s="14">
        <v>17</v>
      </c>
      <c r="AR178" s="14">
        <v>27</v>
      </c>
      <c r="AS178" s="14">
        <v>13</v>
      </c>
      <c r="AT178" s="14"/>
      <c r="AU178" s="14"/>
      <c r="AV178" s="14"/>
      <c r="AW178" s="14"/>
      <c r="AX178" s="14"/>
    </row>
    <row r="179" spans="1:50">
      <c r="A179" s="87" t="s">
        <v>617</v>
      </c>
      <c r="B179" s="14"/>
      <c r="C179" s="14"/>
      <c r="D179" s="14"/>
      <c r="E179" s="14">
        <v>0</v>
      </c>
      <c r="F179" s="14">
        <v>3</v>
      </c>
      <c r="G179" s="14">
        <v>1</v>
      </c>
      <c r="H179" s="14">
        <v>2</v>
      </c>
      <c r="I179" s="14">
        <v>6</v>
      </c>
      <c r="J179" s="14">
        <v>5</v>
      </c>
      <c r="K179" s="14">
        <v>3</v>
      </c>
      <c r="L179" s="14">
        <v>5</v>
      </c>
      <c r="M179" s="14">
        <v>5</v>
      </c>
      <c r="N179" s="14">
        <v>4</v>
      </c>
      <c r="O179" s="14">
        <v>5</v>
      </c>
      <c r="P179" s="14">
        <v>3</v>
      </c>
      <c r="Q179" s="14">
        <v>2</v>
      </c>
      <c r="R179" s="14">
        <v>4</v>
      </c>
      <c r="S179" s="14">
        <v>4</v>
      </c>
      <c r="T179" s="14">
        <v>2</v>
      </c>
      <c r="U179" s="14">
        <v>2</v>
      </c>
      <c r="V179" s="14">
        <v>1</v>
      </c>
      <c r="W179" s="14">
        <v>2</v>
      </c>
      <c r="X179" s="14">
        <v>2</v>
      </c>
      <c r="Y179" s="14">
        <v>2</v>
      </c>
      <c r="Z179" s="14">
        <v>2</v>
      </c>
      <c r="AA179" s="14">
        <v>6</v>
      </c>
      <c r="AB179" s="14">
        <v>7</v>
      </c>
      <c r="AC179" s="14">
        <v>0</v>
      </c>
      <c r="AD179" s="14">
        <v>2</v>
      </c>
      <c r="AE179" s="14">
        <v>2</v>
      </c>
      <c r="AF179" s="14">
        <v>3</v>
      </c>
      <c r="AG179" s="14">
        <v>1</v>
      </c>
      <c r="AH179" s="14"/>
      <c r="AI179" s="14"/>
      <c r="AJ179" s="14"/>
      <c r="AK179" s="14">
        <v>9</v>
      </c>
      <c r="AL179" s="14">
        <v>6</v>
      </c>
      <c r="AM179" s="14">
        <v>12</v>
      </c>
      <c r="AN179" s="14">
        <v>17</v>
      </c>
      <c r="AO179" s="14">
        <v>14</v>
      </c>
      <c r="AP179" s="14">
        <v>12</v>
      </c>
      <c r="AQ179" s="14">
        <v>7</v>
      </c>
      <c r="AR179" s="14">
        <v>15</v>
      </c>
      <c r="AS179" s="14">
        <v>8</v>
      </c>
      <c r="AT179" s="14"/>
      <c r="AU179" s="14"/>
      <c r="AV179" s="14"/>
      <c r="AW179" s="14"/>
      <c r="AX179" s="14"/>
    </row>
    <row r="180" spans="1:50">
      <c r="A180" s="87" t="s">
        <v>618</v>
      </c>
      <c r="B180" s="14"/>
      <c r="C180" s="14"/>
      <c r="D180" s="14"/>
      <c r="E180" s="14">
        <v>5</v>
      </c>
      <c r="F180" s="14">
        <v>3</v>
      </c>
      <c r="G180" s="14">
        <v>2</v>
      </c>
      <c r="H180" s="14">
        <v>2</v>
      </c>
      <c r="I180" s="14">
        <v>1</v>
      </c>
      <c r="J180" s="14">
        <v>1</v>
      </c>
      <c r="K180" s="14">
        <v>2</v>
      </c>
      <c r="L180" s="14">
        <v>2</v>
      </c>
      <c r="M180" s="14">
        <v>2</v>
      </c>
      <c r="N180" s="14">
        <v>1</v>
      </c>
      <c r="O180" s="14">
        <v>0</v>
      </c>
      <c r="P180" s="14">
        <v>2</v>
      </c>
      <c r="Q180" s="14">
        <v>0</v>
      </c>
      <c r="R180" s="14">
        <v>2</v>
      </c>
      <c r="S180" s="14">
        <v>2</v>
      </c>
      <c r="T180" s="14">
        <v>4</v>
      </c>
      <c r="U180" s="14">
        <v>2</v>
      </c>
      <c r="V180" s="14">
        <v>1</v>
      </c>
      <c r="W180" s="14">
        <v>1</v>
      </c>
      <c r="X180" s="14">
        <v>2</v>
      </c>
      <c r="Y180" s="14">
        <v>1</v>
      </c>
      <c r="Z180" s="14">
        <v>1</v>
      </c>
      <c r="AA180" s="14">
        <v>0</v>
      </c>
      <c r="AB180" s="14">
        <v>0</v>
      </c>
      <c r="AC180" s="14">
        <v>4</v>
      </c>
      <c r="AD180" s="14">
        <v>1</v>
      </c>
      <c r="AE180" s="14">
        <v>3</v>
      </c>
      <c r="AF180" s="14">
        <v>3</v>
      </c>
      <c r="AG180" s="14">
        <v>3</v>
      </c>
      <c r="AH180" s="14"/>
      <c r="AI180" s="14"/>
      <c r="AJ180" s="14"/>
      <c r="AK180" s="14">
        <f>7+2</f>
        <v>9</v>
      </c>
      <c r="AL180" s="14">
        <v>11</v>
      </c>
      <c r="AM180" s="14">
        <v>8</v>
      </c>
      <c r="AN180" s="14">
        <v>9</v>
      </c>
      <c r="AO180" s="14">
        <v>3</v>
      </c>
      <c r="AP180" s="14">
        <v>10</v>
      </c>
      <c r="AQ180" s="14">
        <v>5</v>
      </c>
      <c r="AR180" s="14">
        <v>5</v>
      </c>
      <c r="AS180" s="14">
        <v>10</v>
      </c>
      <c r="AT180" s="14"/>
      <c r="AU180" s="14"/>
      <c r="AV180" s="14"/>
      <c r="AW180" s="14"/>
      <c r="AX180" s="14"/>
    </row>
    <row r="181" spans="1:50">
      <c r="A181" s="87"/>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row>
    <row r="182" spans="1:50" s="264" customFormat="1">
      <c r="A182" s="326" t="s">
        <v>279</v>
      </c>
      <c r="B182" s="42"/>
      <c r="C182" s="42"/>
      <c r="D182" s="42"/>
      <c r="E182" s="42">
        <v>11</v>
      </c>
      <c r="F182" s="42">
        <v>11</v>
      </c>
      <c r="G182" s="42">
        <v>10</v>
      </c>
      <c r="H182" s="42">
        <v>10</v>
      </c>
      <c r="I182" s="42">
        <v>10</v>
      </c>
      <c r="J182" s="42">
        <v>11</v>
      </c>
      <c r="K182" s="42">
        <v>12</v>
      </c>
      <c r="L182" s="42">
        <v>11</v>
      </c>
      <c r="M182" s="42">
        <v>11</v>
      </c>
      <c r="N182" s="42">
        <v>11</v>
      </c>
      <c r="O182" s="42">
        <v>11</v>
      </c>
      <c r="P182" s="42">
        <v>13</v>
      </c>
      <c r="Q182" s="42">
        <v>12</v>
      </c>
      <c r="R182" s="42">
        <v>12</v>
      </c>
      <c r="S182" s="42">
        <v>11</v>
      </c>
      <c r="T182" s="42">
        <v>11</v>
      </c>
      <c r="U182" s="42">
        <v>10</v>
      </c>
      <c r="V182" s="42">
        <v>6</v>
      </c>
      <c r="W182" s="42">
        <v>8</v>
      </c>
      <c r="X182" s="42">
        <v>7</v>
      </c>
      <c r="Y182" s="42">
        <v>8</v>
      </c>
      <c r="Z182" s="42">
        <v>10</v>
      </c>
      <c r="AA182" s="42">
        <v>13</v>
      </c>
      <c r="AB182" s="42">
        <v>14</v>
      </c>
      <c r="AC182" s="42">
        <v>10</v>
      </c>
      <c r="AD182" s="42">
        <v>6</v>
      </c>
      <c r="AE182" s="42">
        <v>9</v>
      </c>
      <c r="AF182" s="42">
        <v>9</v>
      </c>
      <c r="AG182" s="42">
        <v>7</v>
      </c>
      <c r="AH182" s="42"/>
      <c r="AI182" s="42"/>
      <c r="AJ182" s="42"/>
      <c r="AK182" s="42">
        <v>31</v>
      </c>
      <c r="AL182" s="42">
        <v>40</v>
      </c>
      <c r="AM182" s="42">
        <v>41</v>
      </c>
      <c r="AN182" s="42">
        <v>45</v>
      </c>
      <c r="AO182" s="42">
        <v>47</v>
      </c>
      <c r="AP182" s="42">
        <v>44</v>
      </c>
      <c r="AQ182" s="42">
        <v>29</v>
      </c>
      <c r="AR182" s="42">
        <v>47</v>
      </c>
      <c r="AS182" s="42">
        <v>31</v>
      </c>
      <c r="AT182" s="42"/>
      <c r="AU182" s="42"/>
      <c r="AV182" s="42"/>
      <c r="AW182" s="42"/>
      <c r="AX182" s="42"/>
    </row>
    <row r="183" spans="1:50">
      <c r="A183" s="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row>
    <row r="184" spans="1:50">
      <c r="A184" s="4" t="s">
        <v>645</v>
      </c>
      <c r="B184" s="14"/>
      <c r="C184" s="14"/>
      <c r="D184" s="14"/>
      <c r="E184" s="327">
        <v>0.88</v>
      </c>
      <c r="F184" s="327">
        <v>0.96</v>
      </c>
      <c r="G184" s="327">
        <v>0.9</v>
      </c>
      <c r="H184" s="327">
        <v>0.88</v>
      </c>
      <c r="I184" s="327">
        <v>0.87</v>
      </c>
      <c r="J184" s="327">
        <v>0.96499999999999997</v>
      </c>
      <c r="K184" s="327">
        <v>0.89</v>
      </c>
      <c r="L184" s="327">
        <v>0.87</v>
      </c>
      <c r="M184" s="327">
        <v>0.86</v>
      </c>
      <c r="N184" s="327">
        <v>0.96</v>
      </c>
      <c r="O184" s="327">
        <v>0.93</v>
      </c>
      <c r="P184" s="327">
        <v>0.92</v>
      </c>
      <c r="Q184" s="327">
        <v>0.93</v>
      </c>
      <c r="R184" s="327">
        <v>0.96</v>
      </c>
      <c r="S184" s="327">
        <v>0.94</v>
      </c>
      <c r="T184" s="327">
        <v>0.93</v>
      </c>
      <c r="U184" s="327">
        <v>0.92</v>
      </c>
      <c r="V184" s="327">
        <v>0.96</v>
      </c>
      <c r="W184" s="327">
        <v>0.95</v>
      </c>
      <c r="X184" s="327">
        <v>0.94</v>
      </c>
      <c r="Y184" s="327">
        <v>0.93</v>
      </c>
      <c r="Z184" s="327">
        <v>0.96499999999999997</v>
      </c>
      <c r="AA184" s="327">
        <v>0.95499999999999996</v>
      </c>
      <c r="AB184" s="327">
        <v>0.94499999999999995</v>
      </c>
      <c r="AC184" s="327">
        <v>0.93500000000000005</v>
      </c>
      <c r="AD184" s="327">
        <v>0.94499999999999995</v>
      </c>
      <c r="AE184" s="327">
        <v>0.95</v>
      </c>
      <c r="AF184" s="327">
        <v>0.94</v>
      </c>
      <c r="AG184" s="327">
        <v>0.95499999999999996</v>
      </c>
      <c r="AH184" s="327"/>
      <c r="AI184" s="327"/>
      <c r="AJ184" s="327"/>
      <c r="AK184" s="327">
        <v>0.89</v>
      </c>
      <c r="AL184" s="327">
        <v>0.9</v>
      </c>
      <c r="AM184" s="327">
        <v>0.89</v>
      </c>
      <c r="AN184" s="327">
        <v>0.89</v>
      </c>
      <c r="AO184" s="327">
        <v>0.93</v>
      </c>
      <c r="AP184" s="327">
        <v>0.92</v>
      </c>
      <c r="AQ184" s="327">
        <v>0.92</v>
      </c>
      <c r="AR184" s="327">
        <v>0.94</v>
      </c>
      <c r="AS184" s="327">
        <v>0.95499999999999996</v>
      </c>
      <c r="AT184" s="327"/>
      <c r="AU184" s="327"/>
      <c r="AV184" s="327"/>
      <c r="AW184" s="327"/>
      <c r="AX184" s="327"/>
    </row>
    <row r="185" spans="1:50">
      <c r="A185" s="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row>
    <row r="186" spans="1:50">
      <c r="A186" s="4" t="s">
        <v>646</v>
      </c>
      <c r="B186" s="14"/>
      <c r="C186" s="14"/>
      <c r="D186" s="14"/>
      <c r="E186" s="14">
        <v>8</v>
      </c>
      <c r="F186" s="14">
        <v>8</v>
      </c>
      <c r="G186" s="14">
        <v>9</v>
      </c>
      <c r="H186" s="14">
        <v>9</v>
      </c>
      <c r="I186" s="14">
        <v>11</v>
      </c>
      <c r="J186" s="14">
        <v>11</v>
      </c>
      <c r="K186" s="14">
        <v>10</v>
      </c>
      <c r="L186" s="14">
        <v>11</v>
      </c>
      <c r="M186" s="14">
        <v>11</v>
      </c>
      <c r="N186" s="14">
        <v>15</v>
      </c>
      <c r="O186" s="14">
        <v>16</v>
      </c>
      <c r="P186" s="14">
        <v>18</v>
      </c>
      <c r="Q186" s="14">
        <v>18</v>
      </c>
      <c r="R186" s="14">
        <v>19</v>
      </c>
      <c r="S186" s="14">
        <v>19</v>
      </c>
      <c r="T186" s="14">
        <v>21</v>
      </c>
      <c r="U186" s="14">
        <v>21</v>
      </c>
      <c r="V186" s="14">
        <v>21</v>
      </c>
      <c r="W186" s="14">
        <v>23</v>
      </c>
      <c r="X186" s="14">
        <v>24</v>
      </c>
      <c r="Y186" s="14">
        <v>24</v>
      </c>
      <c r="Z186" s="14">
        <v>23</v>
      </c>
      <c r="AA186" s="14">
        <v>29</v>
      </c>
      <c r="AB186" s="14">
        <v>31</v>
      </c>
      <c r="AC186" s="14">
        <v>28</v>
      </c>
      <c r="AD186" s="14">
        <v>32</v>
      </c>
      <c r="AE186" s="14">
        <v>34</v>
      </c>
      <c r="AF186" s="14">
        <v>36</v>
      </c>
      <c r="AG186" s="349" t="s">
        <v>647</v>
      </c>
      <c r="AH186" s="14"/>
      <c r="AI186" s="14"/>
      <c r="AJ186" s="14"/>
      <c r="AK186" s="14">
        <v>7</v>
      </c>
      <c r="AL186" s="14">
        <v>8</v>
      </c>
      <c r="AM186" s="14">
        <v>11</v>
      </c>
      <c r="AN186" s="14">
        <v>11</v>
      </c>
      <c r="AO186" s="14">
        <v>18</v>
      </c>
      <c r="AP186" s="14">
        <v>21</v>
      </c>
      <c r="AQ186" s="14">
        <v>24</v>
      </c>
      <c r="AR186" s="14">
        <v>31</v>
      </c>
      <c r="AS186" s="14"/>
      <c r="AT186" s="14"/>
      <c r="AU186" s="14"/>
      <c r="AV186" s="14"/>
      <c r="AW186" s="14"/>
      <c r="AX186" s="14"/>
    </row>
    <row r="187" spans="1:50">
      <c r="A187" s="4" t="s">
        <v>648</v>
      </c>
      <c r="B187" s="14"/>
      <c r="C187" s="14"/>
      <c r="D187" s="14"/>
      <c r="E187" s="14">
        <v>16</v>
      </c>
      <c r="F187" s="14">
        <v>17</v>
      </c>
      <c r="G187" s="14">
        <v>16</v>
      </c>
      <c r="H187" s="14">
        <v>17</v>
      </c>
      <c r="I187" s="14">
        <v>15</v>
      </c>
      <c r="J187" s="14">
        <v>15</v>
      </c>
      <c r="K187" s="14">
        <v>16</v>
      </c>
      <c r="L187" s="14">
        <v>17</v>
      </c>
      <c r="M187" s="14">
        <v>16</v>
      </c>
      <c r="N187" s="14">
        <v>20</v>
      </c>
      <c r="O187" s="14">
        <v>22</v>
      </c>
      <c r="P187" s="14">
        <v>21</v>
      </c>
      <c r="Q187" s="14">
        <v>19</v>
      </c>
      <c r="R187" s="14">
        <v>24</v>
      </c>
      <c r="S187" s="14">
        <v>26</v>
      </c>
      <c r="T187" s="14">
        <v>23</v>
      </c>
      <c r="U187" s="14">
        <v>23</v>
      </c>
      <c r="V187" s="14">
        <v>24</v>
      </c>
      <c r="W187" s="14">
        <v>23</v>
      </c>
      <c r="X187" s="14">
        <v>23</v>
      </c>
      <c r="Y187" s="14">
        <v>24</v>
      </c>
      <c r="Z187" s="14">
        <v>23</v>
      </c>
      <c r="AA187" s="14">
        <v>29</v>
      </c>
      <c r="AB187" s="14">
        <v>31</v>
      </c>
      <c r="AC187" s="14">
        <v>37</v>
      </c>
      <c r="AD187" s="14">
        <v>40</v>
      </c>
      <c r="AE187" s="14">
        <v>45</v>
      </c>
      <c r="AF187" s="14">
        <v>42</v>
      </c>
      <c r="AG187" s="349" t="s">
        <v>649</v>
      </c>
      <c r="AH187" s="14"/>
      <c r="AI187" s="14"/>
      <c r="AJ187" s="14"/>
      <c r="AK187" s="14">
        <v>13</v>
      </c>
      <c r="AL187" s="14">
        <v>16</v>
      </c>
      <c r="AM187" s="14">
        <v>15</v>
      </c>
      <c r="AN187" s="14">
        <v>16</v>
      </c>
      <c r="AO187" s="14">
        <v>19</v>
      </c>
      <c r="AP187" s="14">
        <v>23</v>
      </c>
      <c r="AQ187" s="14">
        <v>24</v>
      </c>
      <c r="AR187" s="14">
        <v>35</v>
      </c>
      <c r="AS187" s="14"/>
      <c r="AT187" s="14"/>
      <c r="AU187" s="14"/>
      <c r="AV187" s="14"/>
      <c r="AW187" s="14"/>
      <c r="AX187" s="14"/>
    </row>
    <row r="188" spans="1:50">
      <c r="A188" s="4" t="s">
        <v>650</v>
      </c>
      <c r="B188" s="14"/>
      <c r="C188" s="14"/>
      <c r="D188" s="14"/>
      <c r="E188" s="14">
        <v>66</v>
      </c>
      <c r="F188" s="14">
        <v>66</v>
      </c>
      <c r="G188" s="14">
        <v>70</v>
      </c>
      <c r="H188" s="14">
        <v>74</v>
      </c>
      <c r="I188" s="14">
        <v>80</v>
      </c>
      <c r="J188" s="14">
        <v>81</v>
      </c>
      <c r="K188" s="14">
        <v>83</v>
      </c>
      <c r="L188" s="14">
        <v>87</v>
      </c>
      <c r="M188" s="14">
        <v>88</v>
      </c>
      <c r="N188" s="14">
        <v>95</v>
      </c>
      <c r="O188" s="14">
        <v>92</v>
      </c>
      <c r="P188" s="14">
        <v>94</v>
      </c>
      <c r="Q188" s="14">
        <v>100</v>
      </c>
      <c r="R188" s="14">
        <v>98</v>
      </c>
      <c r="S188" s="14">
        <v>97</v>
      </c>
      <c r="T188" s="14">
        <v>98</v>
      </c>
      <c r="U188" s="14">
        <v>101</v>
      </c>
      <c r="V188" s="14">
        <v>102</v>
      </c>
      <c r="W188" s="14">
        <v>104</v>
      </c>
      <c r="X188" s="14">
        <v>109</v>
      </c>
      <c r="Y188" s="14">
        <v>112</v>
      </c>
      <c r="Z188" s="14">
        <v>104</v>
      </c>
      <c r="AA188" s="14">
        <v>173</v>
      </c>
      <c r="AB188" s="14">
        <v>176</v>
      </c>
      <c r="AC188" s="14">
        <v>163</v>
      </c>
      <c r="AD188" s="14">
        <v>170</v>
      </c>
      <c r="AE188" s="14">
        <v>164</v>
      </c>
      <c r="AF188" s="14">
        <v>167</v>
      </c>
      <c r="AG188" s="349"/>
      <c r="AH188" s="14"/>
      <c r="AI188" s="14"/>
      <c r="AJ188" s="14"/>
      <c r="AK188" s="14">
        <v>60</v>
      </c>
      <c r="AL188" s="14">
        <v>66</v>
      </c>
      <c r="AM188" s="14">
        <v>80</v>
      </c>
      <c r="AN188" s="14">
        <v>88</v>
      </c>
      <c r="AO188" s="14">
        <v>100</v>
      </c>
      <c r="AP188" s="14">
        <v>101</v>
      </c>
      <c r="AQ188" s="14">
        <v>112</v>
      </c>
      <c r="AR188" s="14">
        <v>173</v>
      </c>
      <c r="AS188" s="14"/>
      <c r="AT188" s="14"/>
      <c r="AU188" s="14"/>
      <c r="AV188" s="14"/>
      <c r="AW188" s="14"/>
      <c r="AX188" s="14"/>
    </row>
    <row r="189" spans="1:50">
      <c r="A189" s="4" t="s">
        <v>279</v>
      </c>
      <c r="B189" s="14"/>
      <c r="C189" s="14"/>
      <c r="D189" s="14"/>
      <c r="E189" s="63">
        <f t="shared" ref="E189:S189" si="293">SUM(E186:E188)</f>
        <v>90</v>
      </c>
      <c r="F189" s="63">
        <f t="shared" si="293"/>
        <v>91</v>
      </c>
      <c r="G189" s="63">
        <f t="shared" si="293"/>
        <v>95</v>
      </c>
      <c r="H189" s="63">
        <f t="shared" si="293"/>
        <v>100</v>
      </c>
      <c r="I189" s="63">
        <f t="shared" si="293"/>
        <v>106</v>
      </c>
      <c r="J189" s="63">
        <f t="shared" si="293"/>
        <v>107</v>
      </c>
      <c r="K189" s="63">
        <f t="shared" si="293"/>
        <v>109</v>
      </c>
      <c r="L189" s="63">
        <f t="shared" si="293"/>
        <v>115</v>
      </c>
      <c r="M189" s="63">
        <f t="shared" si="293"/>
        <v>115</v>
      </c>
      <c r="N189" s="63">
        <f t="shared" si="293"/>
        <v>130</v>
      </c>
      <c r="O189" s="63">
        <f t="shared" si="293"/>
        <v>130</v>
      </c>
      <c r="P189" s="63">
        <f t="shared" si="293"/>
        <v>133</v>
      </c>
      <c r="Q189" s="63">
        <f t="shared" si="293"/>
        <v>137</v>
      </c>
      <c r="R189" s="63">
        <f t="shared" si="293"/>
        <v>141</v>
      </c>
      <c r="S189" s="63">
        <f t="shared" si="293"/>
        <v>142</v>
      </c>
      <c r="T189" s="63">
        <f t="shared" ref="T189:Y189" si="294">SUM(T186:T188)</f>
        <v>142</v>
      </c>
      <c r="U189" s="63">
        <f t="shared" si="294"/>
        <v>145</v>
      </c>
      <c r="V189" s="63">
        <f t="shared" si="294"/>
        <v>147</v>
      </c>
      <c r="W189" s="63">
        <f t="shared" si="294"/>
        <v>150</v>
      </c>
      <c r="X189" s="63">
        <f t="shared" si="294"/>
        <v>156</v>
      </c>
      <c r="Y189" s="63">
        <f t="shared" si="294"/>
        <v>160</v>
      </c>
      <c r="Z189" s="63">
        <f t="shared" ref="Z189:AA189" si="295">SUM(Z186:Z188)</f>
        <v>150</v>
      </c>
      <c r="AA189" s="63">
        <f t="shared" si="295"/>
        <v>231</v>
      </c>
      <c r="AB189" s="63">
        <f t="shared" ref="AB189:AC189" si="296">SUM(AB186:AB188)</f>
        <v>238</v>
      </c>
      <c r="AC189" s="63">
        <f t="shared" si="296"/>
        <v>228</v>
      </c>
      <c r="AD189" s="63">
        <f t="shared" ref="AD189:AE189" si="297">SUM(AD186:AD188)</f>
        <v>242</v>
      </c>
      <c r="AE189" s="63">
        <f t="shared" si="297"/>
        <v>243</v>
      </c>
      <c r="AF189" s="63">
        <f t="shared" ref="AF189:AG189" si="298">SUM(AF186:AF188)</f>
        <v>245</v>
      </c>
      <c r="AG189" s="63">
        <f t="shared" si="298"/>
        <v>0</v>
      </c>
      <c r="AH189" s="43"/>
      <c r="AI189" s="43"/>
      <c r="AJ189" s="43"/>
      <c r="AK189" s="63">
        <f t="shared" ref="AK189:AQ189" si="299">SUM(AK186:AK188)</f>
        <v>80</v>
      </c>
      <c r="AL189" s="63">
        <f t="shared" si="299"/>
        <v>90</v>
      </c>
      <c r="AM189" s="63">
        <f t="shared" si="299"/>
        <v>106</v>
      </c>
      <c r="AN189" s="63">
        <f t="shared" si="299"/>
        <v>115</v>
      </c>
      <c r="AO189" s="63">
        <f t="shared" si="299"/>
        <v>137</v>
      </c>
      <c r="AP189" s="63">
        <f t="shared" si="299"/>
        <v>145</v>
      </c>
      <c r="AQ189" s="63">
        <f t="shared" si="299"/>
        <v>160</v>
      </c>
      <c r="AR189" s="63">
        <f t="shared" ref="AR189:AS189" si="300">SUM(AR186:AR188)</f>
        <v>239</v>
      </c>
      <c r="AS189" s="63">
        <f t="shared" si="300"/>
        <v>0</v>
      </c>
      <c r="AT189" s="63"/>
      <c r="AU189" s="63"/>
      <c r="AV189" s="63"/>
      <c r="AW189" s="63"/>
      <c r="AX189" s="63"/>
    </row>
    <row r="190" spans="1:50">
      <c r="A190" s="4"/>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4"/>
      <c r="AM190" s="4"/>
      <c r="AN190" s="4"/>
      <c r="AO190" s="4"/>
      <c r="AP190" s="4"/>
      <c r="AQ190" s="4"/>
      <c r="AR190" s="4"/>
      <c r="AS190" s="4"/>
      <c r="AT190" s="4"/>
      <c r="AU190" s="4"/>
      <c r="AV190" s="4"/>
      <c r="AW190" s="4"/>
      <c r="AX190" s="4"/>
    </row>
    <row r="191" spans="1:50">
      <c r="A191" s="251" t="s">
        <v>651</v>
      </c>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c r="AA191" s="252"/>
      <c r="AB191" s="252"/>
      <c r="AC191" s="252"/>
      <c r="AD191" s="252"/>
      <c r="AE191" s="252"/>
      <c r="AF191" s="252"/>
      <c r="AG191" s="252"/>
      <c r="AH191" s="252"/>
      <c r="AI191" s="252"/>
      <c r="AJ191" s="252"/>
      <c r="AK191" s="273"/>
      <c r="AL191" s="273"/>
      <c r="AM191" s="273"/>
      <c r="AN191" s="273"/>
      <c r="AO191" s="273"/>
      <c r="AP191" s="273"/>
      <c r="AQ191" s="273"/>
      <c r="AR191" s="273"/>
      <c r="AS191" s="273"/>
      <c r="AT191" s="273"/>
      <c r="AU191" s="273"/>
      <c r="AV191" s="273"/>
      <c r="AW191" s="273"/>
      <c r="AX191" s="273"/>
    </row>
    <row r="192" spans="1:50">
      <c r="A192" s="4" t="s">
        <v>652</v>
      </c>
      <c r="B192" s="249"/>
      <c r="C192" s="249"/>
      <c r="D192" s="249"/>
      <c r="E192" s="249">
        <v>29</v>
      </c>
      <c r="F192" s="249">
        <v>27</v>
      </c>
      <c r="G192" s="249">
        <v>29</v>
      </c>
      <c r="H192" s="249">
        <v>27</v>
      </c>
      <c r="I192" s="249">
        <v>27</v>
      </c>
      <c r="J192" s="249">
        <v>26.3</v>
      </c>
      <c r="K192" s="249">
        <v>25</v>
      </c>
      <c r="L192" s="249">
        <v>24.4</v>
      </c>
      <c r="M192" s="249">
        <v>25.4</v>
      </c>
      <c r="N192" s="249">
        <v>25</v>
      </c>
      <c r="O192" s="249">
        <v>22.5</v>
      </c>
      <c r="P192" s="249">
        <v>25.2</v>
      </c>
      <c r="Q192" s="249">
        <v>23.1</v>
      </c>
      <c r="R192" s="249">
        <v>22.9</v>
      </c>
      <c r="S192" s="249">
        <v>23.1</v>
      </c>
      <c r="T192" s="249">
        <v>23.9</v>
      </c>
      <c r="U192" s="249">
        <v>23</v>
      </c>
      <c r="V192" s="249">
        <v>25.1</v>
      </c>
      <c r="W192" s="249">
        <v>23.5</v>
      </c>
      <c r="X192" s="249">
        <v>22.7</v>
      </c>
      <c r="Y192" s="249">
        <v>23</v>
      </c>
      <c r="Z192" s="249">
        <v>21.3</v>
      </c>
      <c r="AA192" s="249">
        <v>18.7</v>
      </c>
      <c r="AB192" s="249">
        <v>19.8</v>
      </c>
      <c r="AC192" s="249">
        <v>18.3</v>
      </c>
      <c r="AD192" s="249">
        <v>20.7</v>
      </c>
      <c r="AE192" s="249">
        <v>21</v>
      </c>
      <c r="AF192" s="249">
        <v>21</v>
      </c>
      <c r="AG192" s="249">
        <v>21.8</v>
      </c>
      <c r="AH192" s="249"/>
      <c r="AI192" s="249"/>
      <c r="AJ192" s="249"/>
      <c r="AK192" s="14">
        <v>30</v>
      </c>
      <c r="AL192" s="14">
        <v>28</v>
      </c>
      <c r="AM192" s="14">
        <v>28</v>
      </c>
      <c r="AN192" s="14">
        <v>24</v>
      </c>
      <c r="AO192" s="14">
        <v>22.9</v>
      </c>
      <c r="AP192" s="14">
        <v>23.200000000000003</v>
      </c>
      <c r="AQ192" s="8">
        <v>23.5</v>
      </c>
      <c r="AR192" s="8">
        <v>18.600000000000001</v>
      </c>
      <c r="AS192" s="8">
        <v>21</v>
      </c>
      <c r="AT192" s="14"/>
      <c r="AU192" s="14"/>
      <c r="AV192" s="14"/>
      <c r="AW192" s="8"/>
      <c r="AX192" s="8"/>
    </row>
    <row r="193" spans="1:50">
      <c r="A193" s="4" t="s">
        <v>653</v>
      </c>
      <c r="B193" s="249"/>
      <c r="C193" s="249"/>
      <c r="D193" s="249"/>
      <c r="E193" s="249">
        <v>41</v>
      </c>
      <c r="F193" s="249">
        <v>39</v>
      </c>
      <c r="G193" s="249">
        <v>39</v>
      </c>
      <c r="H193" s="249">
        <v>36</v>
      </c>
      <c r="I193" s="249">
        <v>37</v>
      </c>
      <c r="J193" s="249">
        <v>37.5</v>
      </c>
      <c r="K193" s="249">
        <v>36</v>
      </c>
      <c r="L193" s="249">
        <v>34.200000000000003</v>
      </c>
      <c r="M193" s="249">
        <v>36.5</v>
      </c>
      <c r="N193" s="249">
        <v>36</v>
      </c>
      <c r="O193" s="249">
        <v>33</v>
      </c>
      <c r="P193" s="249">
        <v>36.1</v>
      </c>
      <c r="Q193" s="249">
        <v>35</v>
      </c>
      <c r="R193" s="249">
        <v>35.5</v>
      </c>
      <c r="S193" s="249">
        <v>35.799999999999997</v>
      </c>
      <c r="T193" s="249">
        <v>36.299999999999997</v>
      </c>
      <c r="U193" s="249">
        <v>35.5</v>
      </c>
      <c r="V193" s="249">
        <v>37.700000000000003</v>
      </c>
      <c r="W193" s="249">
        <v>35.200000000000003</v>
      </c>
      <c r="X193" s="249">
        <v>34.299999999999997</v>
      </c>
      <c r="Y193" s="249">
        <v>34.4</v>
      </c>
      <c r="Z193" s="249">
        <v>32.700000000000003</v>
      </c>
      <c r="AA193" s="249">
        <v>28.2</v>
      </c>
      <c r="AB193" s="249">
        <v>30</v>
      </c>
      <c r="AC193" s="249">
        <v>27.9</v>
      </c>
      <c r="AD193" s="249">
        <v>29.3</v>
      </c>
      <c r="AE193" s="249">
        <v>30.8</v>
      </c>
      <c r="AF193" s="249">
        <v>30.7</v>
      </c>
      <c r="AG193" s="249">
        <v>31.4</v>
      </c>
      <c r="AH193" s="249"/>
      <c r="AI193" s="249"/>
      <c r="AJ193" s="249"/>
      <c r="AK193" s="14">
        <v>42</v>
      </c>
      <c r="AL193" s="14">
        <v>39</v>
      </c>
      <c r="AM193" s="14">
        <v>38</v>
      </c>
      <c r="AN193" s="14">
        <v>34</v>
      </c>
      <c r="AO193" s="14">
        <v>34</v>
      </c>
      <c r="AP193" s="14">
        <v>35.5</v>
      </c>
      <c r="AQ193" s="8">
        <v>34.5</v>
      </c>
      <c r="AR193" s="8">
        <v>28.4</v>
      </c>
      <c r="AS193" s="8">
        <v>30.8</v>
      </c>
      <c r="AT193" s="14"/>
      <c r="AU193" s="14"/>
      <c r="AV193" s="14"/>
      <c r="AW193" s="8"/>
      <c r="AX193" s="8"/>
    </row>
    <row r="194" spans="1:50">
      <c r="A194" s="4" t="s">
        <v>654</v>
      </c>
      <c r="B194" s="249"/>
      <c r="C194" s="249"/>
      <c r="D194" s="249"/>
      <c r="E194" s="249"/>
      <c r="F194" s="249"/>
      <c r="G194" s="249"/>
      <c r="H194" s="249"/>
      <c r="I194" s="249"/>
      <c r="J194" s="249">
        <v>52</v>
      </c>
      <c r="K194" s="249">
        <v>52</v>
      </c>
      <c r="L194" s="249">
        <v>48</v>
      </c>
      <c r="M194" s="249">
        <v>51</v>
      </c>
      <c r="N194" s="249">
        <v>50</v>
      </c>
      <c r="O194" s="249">
        <v>46</v>
      </c>
      <c r="P194" s="249">
        <v>49</v>
      </c>
      <c r="Q194" s="249"/>
      <c r="R194" s="249"/>
      <c r="S194" s="249"/>
      <c r="T194" s="249"/>
      <c r="U194" s="249"/>
      <c r="V194" s="249"/>
      <c r="W194" s="249"/>
      <c r="X194" s="249"/>
      <c r="Y194" s="249"/>
      <c r="Z194" s="249"/>
      <c r="AA194" s="249"/>
      <c r="AB194" s="249"/>
      <c r="AC194" s="249"/>
      <c r="AD194" s="249"/>
      <c r="AE194" s="249"/>
      <c r="AF194" s="249"/>
      <c r="AG194" s="249"/>
      <c r="AH194" s="249"/>
      <c r="AI194" s="249"/>
      <c r="AJ194" s="249"/>
      <c r="AK194" s="14"/>
      <c r="AL194" s="14"/>
      <c r="AM194" s="14"/>
      <c r="AN194" s="14"/>
      <c r="AO194" s="14"/>
      <c r="AP194" s="14"/>
      <c r="AQ194" s="14"/>
      <c r="AR194" s="14"/>
      <c r="AS194" s="14"/>
      <c r="AT194" s="14"/>
      <c r="AU194" s="14"/>
      <c r="AV194" s="14"/>
      <c r="AW194" s="14"/>
      <c r="AX194" s="14"/>
    </row>
    <row r="195" spans="1:50">
      <c r="A195" s="6"/>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c r="AA195" s="257"/>
      <c r="AB195" s="257"/>
      <c r="AC195" s="257"/>
      <c r="AD195" s="257"/>
      <c r="AE195" s="257"/>
      <c r="AF195" s="257"/>
      <c r="AG195" s="257"/>
      <c r="AH195" s="257"/>
      <c r="AI195" s="257"/>
      <c r="AJ195" s="257"/>
      <c r="AK195" s="257"/>
      <c r="AL195" s="4"/>
      <c r="AM195" s="4"/>
      <c r="AN195" s="4"/>
      <c r="AO195" s="4"/>
      <c r="AP195" s="4"/>
      <c r="AQ195" s="4"/>
      <c r="AR195" s="4"/>
      <c r="AS195" s="4"/>
      <c r="AT195" s="4"/>
      <c r="AU195" s="4"/>
      <c r="AV195" s="4"/>
      <c r="AW195" s="4"/>
      <c r="AX195" s="4"/>
    </row>
    <row r="196" spans="1:50">
      <c r="A196" s="251" t="s">
        <v>651</v>
      </c>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c r="AA196" s="252"/>
      <c r="AB196" s="252"/>
      <c r="AC196" s="252"/>
      <c r="AD196" s="252"/>
      <c r="AE196" s="252"/>
      <c r="AF196" s="252"/>
      <c r="AG196" s="252"/>
      <c r="AH196" s="252"/>
      <c r="AI196" s="252"/>
      <c r="AJ196" s="252"/>
      <c r="AK196" s="273"/>
      <c r="AL196" s="273"/>
      <c r="AM196" s="273"/>
      <c r="AN196" s="273"/>
      <c r="AO196" s="273"/>
      <c r="AP196" s="273"/>
      <c r="AQ196" s="273"/>
      <c r="AR196" s="273"/>
      <c r="AS196" s="273"/>
      <c r="AT196" s="273"/>
      <c r="AU196" s="273"/>
      <c r="AV196" s="273"/>
      <c r="AW196" s="273"/>
      <c r="AX196" s="273"/>
    </row>
    <row r="197" spans="1:50">
      <c r="A197" s="4" t="s">
        <v>652</v>
      </c>
      <c r="B197" s="12">
        <v>0</v>
      </c>
      <c r="C197" s="12">
        <f t="shared" ref="C197:P197" si="301">C192</f>
        <v>0</v>
      </c>
      <c r="D197" s="12">
        <f t="shared" si="301"/>
        <v>0</v>
      </c>
      <c r="E197" s="12">
        <f t="shared" si="301"/>
        <v>29</v>
      </c>
      <c r="F197" s="12">
        <f t="shared" si="301"/>
        <v>27</v>
      </c>
      <c r="G197" s="12">
        <f t="shared" si="301"/>
        <v>29</v>
      </c>
      <c r="H197" s="12">
        <f t="shared" si="301"/>
        <v>27</v>
      </c>
      <c r="I197" s="12">
        <f t="shared" si="301"/>
        <v>27</v>
      </c>
      <c r="J197" s="12">
        <f t="shared" si="301"/>
        <v>26.3</v>
      </c>
      <c r="K197" s="12">
        <f t="shared" si="301"/>
        <v>25</v>
      </c>
      <c r="L197" s="12">
        <f t="shared" si="301"/>
        <v>24.4</v>
      </c>
      <c r="M197" s="12">
        <f t="shared" si="301"/>
        <v>25.4</v>
      </c>
      <c r="N197" s="12">
        <f t="shared" si="301"/>
        <v>25</v>
      </c>
      <c r="O197" s="12">
        <f t="shared" si="301"/>
        <v>22.5</v>
      </c>
      <c r="P197" s="12">
        <f t="shared" si="301"/>
        <v>25.2</v>
      </c>
      <c r="Q197" s="12">
        <f t="shared" ref="Q197:R197" si="302">Q192</f>
        <v>23.1</v>
      </c>
      <c r="R197" s="12">
        <f t="shared" si="302"/>
        <v>22.9</v>
      </c>
      <c r="S197" s="12">
        <f t="shared" ref="S197:T197" si="303">S192</f>
        <v>23.1</v>
      </c>
      <c r="T197" s="12">
        <f t="shared" si="303"/>
        <v>23.9</v>
      </c>
      <c r="U197" s="12">
        <f t="shared" ref="U197:V197" si="304">U192</f>
        <v>23</v>
      </c>
      <c r="V197" s="12">
        <f t="shared" si="304"/>
        <v>25.1</v>
      </c>
      <c r="W197" s="12">
        <f t="shared" ref="W197:X197" si="305">W192</f>
        <v>23.5</v>
      </c>
      <c r="X197" s="12">
        <f t="shared" si="305"/>
        <v>22.7</v>
      </c>
      <c r="Y197" s="12">
        <f t="shared" ref="Y197:Z197" si="306">Y192</f>
        <v>23</v>
      </c>
      <c r="Z197" s="12">
        <f t="shared" si="306"/>
        <v>21.3</v>
      </c>
      <c r="AA197" s="12">
        <f t="shared" ref="AA197:AB197" si="307">AA192</f>
        <v>18.7</v>
      </c>
      <c r="AB197" s="12">
        <f t="shared" si="307"/>
        <v>19.8</v>
      </c>
      <c r="AC197" s="12">
        <f t="shared" ref="AC197:AD197" si="308">AC192</f>
        <v>18.3</v>
      </c>
      <c r="AD197" s="12">
        <f t="shared" si="308"/>
        <v>20.7</v>
      </c>
      <c r="AE197" s="12">
        <f t="shared" ref="AE197:AF197" si="309">AE192</f>
        <v>21</v>
      </c>
      <c r="AF197" s="12">
        <f t="shared" si="309"/>
        <v>21</v>
      </c>
      <c r="AG197" s="12">
        <f t="shared" ref="AG197" si="310">AG192</f>
        <v>21.8</v>
      </c>
      <c r="AH197" s="12"/>
      <c r="AI197" s="12"/>
      <c r="AJ197" s="12"/>
      <c r="AK197" s="177">
        <f t="shared" ref="AK197:AO197" si="311">AK192</f>
        <v>30</v>
      </c>
      <c r="AL197" s="177">
        <f t="shared" si="311"/>
        <v>28</v>
      </c>
      <c r="AM197" s="177">
        <f t="shared" si="311"/>
        <v>28</v>
      </c>
      <c r="AN197" s="177">
        <f t="shared" si="311"/>
        <v>24</v>
      </c>
      <c r="AO197" s="177">
        <f t="shared" si="311"/>
        <v>22.9</v>
      </c>
      <c r="AP197" s="177">
        <f t="shared" ref="AP197:AQ197" si="312">AP192</f>
        <v>23.200000000000003</v>
      </c>
      <c r="AQ197" s="177">
        <f t="shared" si="312"/>
        <v>23.5</v>
      </c>
      <c r="AR197" s="177">
        <f t="shared" ref="AR197:AS197" si="313">AR192</f>
        <v>18.600000000000001</v>
      </c>
      <c r="AS197" s="177">
        <f t="shared" si="313"/>
        <v>21</v>
      </c>
      <c r="AT197" s="177"/>
      <c r="AU197" s="177"/>
      <c r="AV197" s="177"/>
      <c r="AW197" s="177"/>
      <c r="AX197" s="177"/>
    </row>
    <row r="198" spans="1:50">
      <c r="A198" s="4" t="s">
        <v>655</v>
      </c>
      <c r="B198" s="12">
        <v>0</v>
      </c>
      <c r="C198" s="12">
        <f t="shared" ref="C198:P198" si="314">C193-C192</f>
        <v>0</v>
      </c>
      <c r="D198" s="12">
        <f t="shared" si="314"/>
        <v>0</v>
      </c>
      <c r="E198" s="12">
        <f t="shared" si="314"/>
        <v>12</v>
      </c>
      <c r="F198" s="12">
        <f t="shared" si="314"/>
        <v>12</v>
      </c>
      <c r="G198" s="12">
        <f t="shared" si="314"/>
        <v>10</v>
      </c>
      <c r="H198" s="12">
        <f t="shared" si="314"/>
        <v>9</v>
      </c>
      <c r="I198" s="12">
        <f t="shared" si="314"/>
        <v>10</v>
      </c>
      <c r="J198" s="12">
        <f t="shared" si="314"/>
        <v>11.2</v>
      </c>
      <c r="K198" s="12">
        <f t="shared" si="314"/>
        <v>11</v>
      </c>
      <c r="L198" s="12">
        <f t="shared" si="314"/>
        <v>9.8000000000000043</v>
      </c>
      <c r="M198" s="12">
        <f t="shared" si="314"/>
        <v>11.100000000000001</v>
      </c>
      <c r="N198" s="12">
        <f t="shared" si="314"/>
        <v>11</v>
      </c>
      <c r="O198" s="12">
        <f t="shared" si="314"/>
        <v>10.5</v>
      </c>
      <c r="P198" s="12">
        <f t="shared" si="314"/>
        <v>10.900000000000002</v>
      </c>
      <c r="Q198" s="12">
        <f t="shared" ref="Q198:R198" si="315">Q193-Q192</f>
        <v>11.899999999999999</v>
      </c>
      <c r="R198" s="12">
        <f t="shared" si="315"/>
        <v>12.600000000000001</v>
      </c>
      <c r="S198" s="12">
        <f t="shared" ref="S198:T198" si="316">S193-S192</f>
        <v>12.699999999999996</v>
      </c>
      <c r="T198" s="12">
        <f t="shared" si="316"/>
        <v>12.399999999999999</v>
      </c>
      <c r="U198" s="12">
        <f t="shared" ref="U198:V198" si="317">U193-U192</f>
        <v>12.5</v>
      </c>
      <c r="V198" s="12">
        <f t="shared" si="317"/>
        <v>12.600000000000001</v>
      </c>
      <c r="W198" s="12">
        <f t="shared" ref="W198:X198" si="318">W193-W192</f>
        <v>11.700000000000003</v>
      </c>
      <c r="X198" s="12">
        <f t="shared" si="318"/>
        <v>11.599999999999998</v>
      </c>
      <c r="Y198" s="12">
        <f t="shared" ref="Y198:Z198" si="319">Y193-Y192</f>
        <v>11.399999999999999</v>
      </c>
      <c r="Z198" s="12">
        <f t="shared" si="319"/>
        <v>11.400000000000002</v>
      </c>
      <c r="AA198" s="12">
        <f t="shared" ref="AA198:AB198" si="320">AA193-AA192</f>
        <v>9.5</v>
      </c>
      <c r="AB198" s="12">
        <f t="shared" si="320"/>
        <v>10.199999999999999</v>
      </c>
      <c r="AC198" s="12">
        <f t="shared" ref="AC198:AD198" si="321">AC193-AC192</f>
        <v>9.5999999999999979</v>
      </c>
      <c r="AD198" s="12">
        <f t="shared" si="321"/>
        <v>8.6000000000000014</v>
      </c>
      <c r="AE198" s="12">
        <f t="shared" ref="AE198:AF198" si="322">AE193-AE192</f>
        <v>9.8000000000000007</v>
      </c>
      <c r="AF198" s="12">
        <f t="shared" si="322"/>
        <v>9.6999999999999993</v>
      </c>
      <c r="AG198" s="12">
        <f t="shared" ref="AG198" si="323">AG193-AG192</f>
        <v>9.5999999999999979</v>
      </c>
      <c r="AH198" s="12"/>
      <c r="AI198" s="12"/>
      <c r="AJ198" s="12"/>
      <c r="AK198" s="177">
        <f t="shared" ref="AK198:AO198" si="324">AK193-AK192</f>
        <v>12</v>
      </c>
      <c r="AL198" s="177">
        <f t="shared" si="324"/>
        <v>11</v>
      </c>
      <c r="AM198" s="177">
        <f t="shared" si="324"/>
        <v>10</v>
      </c>
      <c r="AN198" s="177">
        <f t="shared" si="324"/>
        <v>10</v>
      </c>
      <c r="AO198" s="177">
        <f t="shared" si="324"/>
        <v>11.100000000000001</v>
      </c>
      <c r="AP198" s="177">
        <f t="shared" ref="AP198:AQ198" si="325">AP193-AP192</f>
        <v>12.299999999999997</v>
      </c>
      <c r="AQ198" s="177">
        <f t="shared" si="325"/>
        <v>11</v>
      </c>
      <c r="AR198" s="177">
        <f t="shared" ref="AR198:AS198" si="326">AR193-AR192</f>
        <v>9.7999999999999972</v>
      </c>
      <c r="AS198" s="177">
        <f t="shared" si="326"/>
        <v>9.8000000000000007</v>
      </c>
      <c r="AT198" s="177"/>
      <c r="AU198" s="177"/>
      <c r="AV198" s="177"/>
      <c r="AW198" s="177"/>
      <c r="AX198" s="177"/>
    </row>
    <row r="199" spans="1:50">
      <c r="A199" s="4" t="s">
        <v>653</v>
      </c>
      <c r="B199" s="12">
        <v>0</v>
      </c>
      <c r="C199" s="12">
        <f t="shared" ref="C199:P199" si="327">C193</f>
        <v>0</v>
      </c>
      <c r="D199" s="12">
        <f t="shared" si="327"/>
        <v>0</v>
      </c>
      <c r="E199" s="12">
        <f t="shared" si="327"/>
        <v>41</v>
      </c>
      <c r="F199" s="12">
        <f t="shared" si="327"/>
        <v>39</v>
      </c>
      <c r="G199" s="12">
        <f t="shared" si="327"/>
        <v>39</v>
      </c>
      <c r="H199" s="12">
        <f t="shared" si="327"/>
        <v>36</v>
      </c>
      <c r="I199" s="12">
        <f t="shared" si="327"/>
        <v>37</v>
      </c>
      <c r="J199" s="12">
        <f t="shared" si="327"/>
        <v>37.5</v>
      </c>
      <c r="K199" s="12">
        <f t="shared" si="327"/>
        <v>36</v>
      </c>
      <c r="L199" s="12">
        <f t="shared" si="327"/>
        <v>34.200000000000003</v>
      </c>
      <c r="M199" s="12">
        <f t="shared" si="327"/>
        <v>36.5</v>
      </c>
      <c r="N199" s="12">
        <f t="shared" si="327"/>
        <v>36</v>
      </c>
      <c r="O199" s="12">
        <f t="shared" si="327"/>
        <v>33</v>
      </c>
      <c r="P199" s="12">
        <f t="shared" si="327"/>
        <v>36.1</v>
      </c>
      <c r="Q199" s="12">
        <f t="shared" ref="Q199:R199" si="328">Q193</f>
        <v>35</v>
      </c>
      <c r="R199" s="12">
        <f t="shared" si="328"/>
        <v>35.5</v>
      </c>
      <c r="S199" s="12">
        <f t="shared" ref="S199:T199" si="329">S193</f>
        <v>35.799999999999997</v>
      </c>
      <c r="T199" s="12">
        <f t="shared" si="329"/>
        <v>36.299999999999997</v>
      </c>
      <c r="U199" s="12">
        <f t="shared" ref="U199:V199" si="330">U193</f>
        <v>35.5</v>
      </c>
      <c r="V199" s="12">
        <f t="shared" si="330"/>
        <v>37.700000000000003</v>
      </c>
      <c r="W199" s="12">
        <f t="shared" ref="W199:X199" si="331">W193</f>
        <v>35.200000000000003</v>
      </c>
      <c r="X199" s="12">
        <f t="shared" si="331"/>
        <v>34.299999999999997</v>
      </c>
      <c r="Y199" s="12">
        <f t="shared" ref="Y199:Z199" si="332">Y193</f>
        <v>34.4</v>
      </c>
      <c r="Z199" s="12">
        <f t="shared" si="332"/>
        <v>32.700000000000003</v>
      </c>
      <c r="AA199" s="12">
        <f t="shared" ref="AA199:AB199" si="333">AA193</f>
        <v>28.2</v>
      </c>
      <c r="AB199" s="12">
        <f t="shared" si="333"/>
        <v>30</v>
      </c>
      <c r="AC199" s="12">
        <f t="shared" ref="AC199:AD199" si="334">AC193</f>
        <v>27.9</v>
      </c>
      <c r="AD199" s="12">
        <f t="shared" si="334"/>
        <v>29.3</v>
      </c>
      <c r="AE199" s="12">
        <f t="shared" ref="AE199:AF199" si="335">AE193</f>
        <v>30.8</v>
      </c>
      <c r="AF199" s="12">
        <f t="shared" si="335"/>
        <v>30.7</v>
      </c>
      <c r="AG199" s="12">
        <f t="shared" ref="AG199" si="336">AG193</f>
        <v>31.4</v>
      </c>
      <c r="AH199" s="12"/>
      <c r="AI199" s="12"/>
      <c r="AJ199" s="12"/>
      <c r="AK199" s="177">
        <f t="shared" ref="AK199:AO199" si="337">AK193</f>
        <v>42</v>
      </c>
      <c r="AL199" s="177">
        <f t="shared" si="337"/>
        <v>39</v>
      </c>
      <c r="AM199" s="177">
        <f t="shared" si="337"/>
        <v>38</v>
      </c>
      <c r="AN199" s="177">
        <f t="shared" si="337"/>
        <v>34</v>
      </c>
      <c r="AO199" s="177">
        <f t="shared" si="337"/>
        <v>34</v>
      </c>
      <c r="AP199" s="177">
        <f t="shared" ref="AP199:AQ199" si="338">AP193</f>
        <v>35.5</v>
      </c>
      <c r="AQ199" s="177">
        <f t="shared" si="338"/>
        <v>34.5</v>
      </c>
      <c r="AR199" s="177">
        <f t="shared" ref="AR199:AS199" si="339">AR193</f>
        <v>28.4</v>
      </c>
      <c r="AS199" s="177">
        <f t="shared" si="339"/>
        <v>30.8</v>
      </c>
      <c r="AT199" s="177"/>
      <c r="AU199" s="177"/>
      <c r="AV199" s="177"/>
      <c r="AW199" s="177"/>
      <c r="AX199" s="177"/>
    </row>
    <row r="200" spans="1:50">
      <c r="A200" s="4" t="s">
        <v>656</v>
      </c>
      <c r="B200" s="260">
        <v>100</v>
      </c>
      <c r="C200" s="260">
        <f t="shared" ref="C200:J200" si="340">100-C199</f>
        <v>100</v>
      </c>
      <c r="D200" s="260">
        <f t="shared" si="340"/>
        <v>100</v>
      </c>
      <c r="E200" s="260">
        <f t="shared" si="340"/>
        <v>59</v>
      </c>
      <c r="F200" s="260">
        <f t="shared" si="340"/>
        <v>61</v>
      </c>
      <c r="G200" s="260">
        <f t="shared" si="340"/>
        <v>61</v>
      </c>
      <c r="H200" s="260">
        <f t="shared" si="340"/>
        <v>64</v>
      </c>
      <c r="I200" s="260">
        <f t="shared" si="340"/>
        <v>63</v>
      </c>
      <c r="J200" s="260">
        <f t="shared" si="340"/>
        <v>62.5</v>
      </c>
      <c r="K200" s="260">
        <f t="shared" ref="K200:P200" si="341">100-K199</f>
        <v>64</v>
      </c>
      <c r="L200" s="260">
        <f t="shared" si="341"/>
        <v>65.8</v>
      </c>
      <c r="M200" s="260">
        <f t="shared" si="341"/>
        <v>63.5</v>
      </c>
      <c r="N200" s="256">
        <f t="shared" si="341"/>
        <v>64</v>
      </c>
      <c r="O200" s="256">
        <f t="shared" si="341"/>
        <v>67</v>
      </c>
      <c r="P200" s="256">
        <f t="shared" si="341"/>
        <v>63.9</v>
      </c>
      <c r="Q200" s="256">
        <f t="shared" ref="Q200:R200" si="342">100-Q199</f>
        <v>65</v>
      </c>
      <c r="R200" s="256">
        <f t="shared" si="342"/>
        <v>64.5</v>
      </c>
      <c r="S200" s="256">
        <f t="shared" ref="S200:T200" si="343">100-S199</f>
        <v>64.2</v>
      </c>
      <c r="T200" s="256">
        <f t="shared" si="343"/>
        <v>63.7</v>
      </c>
      <c r="U200" s="256">
        <f t="shared" ref="U200:V200" si="344">100-U199</f>
        <v>64.5</v>
      </c>
      <c r="V200" s="256">
        <f t="shared" si="344"/>
        <v>62.3</v>
      </c>
      <c r="W200" s="256">
        <f t="shared" ref="W200:X200" si="345">100-W199</f>
        <v>64.8</v>
      </c>
      <c r="X200" s="256">
        <f t="shared" si="345"/>
        <v>65.7</v>
      </c>
      <c r="Y200" s="256">
        <f t="shared" ref="Y200:Z200" si="346">100-Y199</f>
        <v>65.599999999999994</v>
      </c>
      <c r="Z200" s="256">
        <f t="shared" si="346"/>
        <v>67.3</v>
      </c>
      <c r="AA200" s="256">
        <f t="shared" ref="AA200:AB200" si="347">100-AA199</f>
        <v>71.8</v>
      </c>
      <c r="AB200" s="256">
        <f t="shared" si="347"/>
        <v>70</v>
      </c>
      <c r="AC200" s="256">
        <f t="shared" ref="AC200:AD200" si="348">100-AC199</f>
        <v>72.099999999999994</v>
      </c>
      <c r="AD200" s="256">
        <f t="shared" si="348"/>
        <v>70.7</v>
      </c>
      <c r="AE200" s="256">
        <f t="shared" ref="AE200:AF200" si="349">100-AE199</f>
        <v>69.2</v>
      </c>
      <c r="AF200" s="256">
        <f t="shared" si="349"/>
        <v>69.3</v>
      </c>
      <c r="AG200" s="256">
        <f t="shared" ref="AG200" si="350">100-AG199</f>
        <v>68.599999999999994</v>
      </c>
      <c r="AH200" s="256"/>
      <c r="AI200" s="256"/>
      <c r="AJ200" s="256"/>
      <c r="AK200" s="164">
        <f t="shared" ref="AK200:AO200" si="351">100-AK199</f>
        <v>58</v>
      </c>
      <c r="AL200" s="164">
        <f t="shared" si="351"/>
        <v>61</v>
      </c>
      <c r="AM200" s="164">
        <f t="shared" si="351"/>
        <v>62</v>
      </c>
      <c r="AN200" s="164">
        <f t="shared" si="351"/>
        <v>66</v>
      </c>
      <c r="AO200" s="164">
        <f t="shared" si="351"/>
        <v>66</v>
      </c>
      <c r="AP200" s="164">
        <f t="shared" ref="AP200:AQ200" si="352">100-AP199</f>
        <v>64.5</v>
      </c>
      <c r="AQ200" s="164">
        <f t="shared" si="352"/>
        <v>65.5</v>
      </c>
      <c r="AR200" s="164">
        <f t="shared" ref="AR200:AS200" si="353">100-AR199</f>
        <v>71.599999999999994</v>
      </c>
      <c r="AS200" s="164">
        <f t="shared" si="353"/>
        <v>69.2</v>
      </c>
      <c r="AT200" s="164"/>
      <c r="AU200" s="164"/>
      <c r="AV200" s="164"/>
      <c r="AW200" s="164"/>
      <c r="AX200" s="164"/>
    </row>
    <row r="201" spans="1:50">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P201" t="e">
        <f>#REF!</f>
        <v>#REF!</v>
      </c>
      <c r="AT201">
        <f>AM3</f>
        <v>65.169811320754775</v>
      </c>
      <c r="AU201">
        <f>AN3</f>
        <v>35.530188679245271</v>
      </c>
    </row>
    <row r="202" spans="1:50">
      <c r="A202" s="251" t="s">
        <v>657</v>
      </c>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c r="AA202" s="252"/>
      <c r="AB202" s="252"/>
      <c r="AC202" s="252"/>
      <c r="AD202" s="252"/>
      <c r="AE202" s="252"/>
      <c r="AF202" s="252"/>
      <c r="AG202" s="252"/>
      <c r="AH202" s="252"/>
      <c r="AI202" s="252"/>
      <c r="AJ202" s="252"/>
      <c r="AK202" s="273"/>
      <c r="AL202" s="273"/>
      <c r="AM202" s="273"/>
      <c r="AN202" s="273"/>
      <c r="AO202" s="273"/>
      <c r="AP202" s="273"/>
      <c r="AQ202" s="273"/>
      <c r="AR202" s="273"/>
      <c r="AS202" s="273"/>
      <c r="AT202" s="273"/>
      <c r="AU202" s="273"/>
      <c r="AV202" s="273"/>
      <c r="AW202" s="273"/>
      <c r="AX202" s="273"/>
    </row>
    <row r="203" spans="1:50">
      <c r="A203" s="4" t="s">
        <v>652</v>
      </c>
      <c r="B203" s="18">
        <v>0</v>
      </c>
      <c r="C203" s="18">
        <f t="shared" ref="C203:P203" si="354">C197*(C$4/100)</f>
        <v>0</v>
      </c>
      <c r="D203" s="18">
        <f t="shared" si="354"/>
        <v>0</v>
      </c>
      <c r="E203" s="18">
        <f t="shared" si="354"/>
        <v>39.008516166281751</v>
      </c>
      <c r="F203" s="18">
        <f t="shared" si="354"/>
        <v>37.827591240875918</v>
      </c>
      <c r="G203" s="18">
        <f t="shared" si="354"/>
        <v>42.621709595244837</v>
      </c>
      <c r="H203" s="18">
        <f t="shared" si="354"/>
        <v>40.836691559814</v>
      </c>
      <c r="I203" s="18">
        <f t="shared" si="354"/>
        <v>41.796120569355288</v>
      </c>
      <c r="J203" s="18">
        <f t="shared" si="354"/>
        <v>36.793700000000001</v>
      </c>
      <c r="K203" s="18">
        <f t="shared" si="354"/>
        <v>38.725000000000001</v>
      </c>
      <c r="L203" s="18">
        <f t="shared" si="354"/>
        <v>39.235199999999999</v>
      </c>
      <c r="M203" s="18">
        <f t="shared" si="354"/>
        <v>43.713399999999993</v>
      </c>
      <c r="N203" s="18">
        <f t="shared" si="354"/>
        <v>49.924999999999997</v>
      </c>
      <c r="O203" s="18">
        <f t="shared" si="354"/>
        <v>47.88</v>
      </c>
      <c r="P203" s="18">
        <f t="shared" si="354"/>
        <v>55.843199999999989</v>
      </c>
      <c r="Q203" s="18">
        <f t="shared" ref="Q203:R203" si="355">Q197*(Q$4/100)</f>
        <v>53.684399999999997</v>
      </c>
      <c r="R203" s="18">
        <f t="shared" si="355"/>
        <v>54.662299999999995</v>
      </c>
      <c r="S203" s="18">
        <f t="shared" ref="S203:T203" si="356">S197*(S$4/100)</f>
        <v>57.033900000000003</v>
      </c>
      <c r="T203" s="18">
        <f t="shared" si="356"/>
        <v>60.156299999999995</v>
      </c>
      <c r="U203" s="18">
        <f t="shared" ref="U203:V203" si="357">U197*(U$4/100)</f>
        <v>60.811999999999991</v>
      </c>
      <c r="V203" s="18">
        <f t="shared" si="357"/>
        <v>68.221800000000002</v>
      </c>
      <c r="W203" s="18">
        <f t="shared" ref="W203:X203" si="358">W197*(W$4/100)</f>
        <v>65.353499999999997</v>
      </c>
      <c r="X203" s="18">
        <f t="shared" si="358"/>
        <v>64.013999999999996</v>
      </c>
      <c r="Y203" s="18">
        <f t="shared" ref="Y203:Z203" si="359">Y197*(Y$4/100)</f>
        <v>64.606999999999999</v>
      </c>
      <c r="Z203" s="18">
        <f t="shared" si="359"/>
        <v>61.0032</v>
      </c>
      <c r="AA203" s="18">
        <f t="shared" ref="AA203:AB203" si="360">AA197*(AA$4/100)</f>
        <v>68.273700000000005</v>
      </c>
      <c r="AB203" s="18">
        <f t="shared" si="360"/>
        <v>77.319000000000003</v>
      </c>
      <c r="AC203" s="18">
        <f t="shared" ref="AC203:AD203" si="361">AC197*(AC$4/100)</f>
        <v>73.840500000000006</v>
      </c>
      <c r="AD203" s="18">
        <f t="shared" si="361"/>
        <v>91.576799999999992</v>
      </c>
      <c r="AE203" s="18">
        <f t="shared" ref="AE203:AF203" si="362">AE197*(AE$4/100)</f>
        <v>97.041000000000011</v>
      </c>
      <c r="AF203" s="18">
        <f t="shared" si="362"/>
        <v>100.989</v>
      </c>
      <c r="AG203" s="18">
        <f t="shared" ref="AG203" si="363">AG197*(AG$4/100)</f>
        <v>106.6238</v>
      </c>
      <c r="AH203" s="18"/>
      <c r="AI203" s="18"/>
      <c r="AJ203" s="18"/>
      <c r="AK203" s="23">
        <f t="shared" ref="AK203" si="364">AK197*(AK$4/100)</f>
        <v>136.5</v>
      </c>
      <c r="AL203" s="23">
        <f t="shared" ref="AL203:AN206" si="365">AL197*(AL$4/100)</f>
        <v>147.56</v>
      </c>
      <c r="AM203" s="23">
        <f t="shared" si="365"/>
        <v>165.80754716981133</v>
      </c>
      <c r="AN203" s="23">
        <f t="shared" si="365"/>
        <v>150.648</v>
      </c>
      <c r="AO203" s="23">
        <f t="shared" ref="AO203:AQ203" si="366">AO197*(AO$4/100)</f>
        <v>198.42849999999996</v>
      </c>
      <c r="AP203" s="23">
        <f t="shared" si="366"/>
        <v>232.39440000000002</v>
      </c>
      <c r="AQ203" s="23">
        <f t="shared" si="366"/>
        <v>258.33550000000002</v>
      </c>
      <c r="AR203" s="23">
        <f t="shared" ref="AR203:AS203" si="367">AR197*(AR$4/100)</f>
        <v>269.32800000000003</v>
      </c>
      <c r="AS203" s="23">
        <f t="shared" si="367"/>
        <v>518.69999999999993</v>
      </c>
      <c r="AT203" s="23">
        <f t="shared" ref="AT203" si="368">AM203-AL203</f>
        <v>18.247547169811327</v>
      </c>
      <c r="AU203" s="23">
        <f>AN203-AM203</f>
        <v>-15.159547169811333</v>
      </c>
      <c r="AV203" s="23"/>
      <c r="AW203" s="23"/>
      <c r="AX203" s="23"/>
    </row>
    <row r="204" spans="1:50">
      <c r="A204" s="4" t="s">
        <v>655</v>
      </c>
      <c r="B204" s="18">
        <v>0</v>
      </c>
      <c r="C204" s="18">
        <f t="shared" ref="C204:P204" si="369">C198*(C$4/100)</f>
        <v>0</v>
      </c>
      <c r="D204" s="18">
        <f t="shared" si="369"/>
        <v>0</v>
      </c>
      <c r="E204" s="18">
        <f t="shared" si="369"/>
        <v>16.141454965357966</v>
      </c>
      <c r="F204" s="18">
        <f t="shared" si="369"/>
        <v>16.81226277372263</v>
      </c>
      <c r="G204" s="18">
        <f t="shared" si="369"/>
        <v>14.697141239739599</v>
      </c>
      <c r="H204" s="18">
        <f t="shared" si="369"/>
        <v>13.612230519938</v>
      </c>
      <c r="I204" s="18">
        <f t="shared" si="369"/>
        <v>15.480044655316775</v>
      </c>
      <c r="J204" s="18">
        <f t="shared" si="369"/>
        <v>15.668799999999999</v>
      </c>
      <c r="K204" s="18">
        <f t="shared" si="369"/>
        <v>17.039000000000001</v>
      </c>
      <c r="L204" s="18">
        <f t="shared" si="369"/>
        <v>15.758400000000007</v>
      </c>
      <c r="M204" s="18">
        <f t="shared" si="369"/>
        <v>19.103100000000001</v>
      </c>
      <c r="N204" s="18">
        <f t="shared" si="369"/>
        <v>21.966999999999999</v>
      </c>
      <c r="O204" s="18">
        <f t="shared" si="369"/>
        <v>22.344000000000001</v>
      </c>
      <c r="P204" s="18">
        <f t="shared" si="369"/>
        <v>24.154400000000003</v>
      </c>
      <c r="Q204" s="18">
        <f t="shared" ref="Q204:R204" si="370">Q198*(Q$4/100)</f>
        <v>27.655599999999996</v>
      </c>
      <c r="R204" s="18">
        <f t="shared" si="370"/>
        <v>30.076200000000004</v>
      </c>
      <c r="S204" s="18">
        <f t="shared" ref="S204:T204" si="371">S198*(S$4/100)</f>
        <v>31.356299999999987</v>
      </c>
      <c r="T204" s="18">
        <f t="shared" si="371"/>
        <v>31.210799999999995</v>
      </c>
      <c r="U204" s="18">
        <f t="shared" ref="U204:V204" si="372">U198*(U$4/100)</f>
        <v>33.049999999999997</v>
      </c>
      <c r="V204" s="18">
        <f t="shared" si="372"/>
        <v>34.2468</v>
      </c>
      <c r="W204" s="18">
        <f t="shared" ref="W204:X204" si="373">W198*(W$4/100)</f>
        <v>32.537700000000008</v>
      </c>
      <c r="X204" s="18">
        <f t="shared" si="373"/>
        <v>32.711999999999989</v>
      </c>
      <c r="Y204" s="18">
        <f t="shared" ref="Y204:Z204" si="374">Y198*(Y$4/100)</f>
        <v>32.02259999999999</v>
      </c>
      <c r="Z204" s="18">
        <f t="shared" si="374"/>
        <v>32.649600000000007</v>
      </c>
      <c r="AA204" s="18">
        <f t="shared" ref="AA204:AB204" si="375">AA198*(AA$4/100)</f>
        <v>34.6845</v>
      </c>
      <c r="AB204" s="18">
        <f t="shared" si="375"/>
        <v>39.830999999999996</v>
      </c>
      <c r="AC204" s="18">
        <f t="shared" ref="AC204:AD204" si="376">AC198*(AC$4/100)</f>
        <v>38.73599999999999</v>
      </c>
      <c r="AD204" s="18">
        <f t="shared" si="376"/>
        <v>38.046399999999998</v>
      </c>
      <c r="AE204" s="18">
        <f t="shared" ref="AE204:AF204" si="377">AE198*(AE$4/100)</f>
        <v>45.285800000000009</v>
      </c>
      <c r="AF204" s="18">
        <f t="shared" si="377"/>
        <v>46.647300000000001</v>
      </c>
      <c r="AG204" s="18">
        <f t="shared" ref="AG204" si="378">AG198*(AG$4/100)</f>
        <v>46.953599999999987</v>
      </c>
      <c r="AH204" s="18"/>
      <c r="AI204" s="18"/>
      <c r="AJ204" s="18"/>
      <c r="AK204" s="23">
        <f t="shared" ref="AK204" si="379">AK198*(AK$4/100)</f>
        <v>54.599999999999994</v>
      </c>
      <c r="AL204" s="23">
        <f t="shared" si="365"/>
        <v>57.97</v>
      </c>
      <c r="AM204" s="23">
        <f t="shared" si="365"/>
        <v>59.216981132075475</v>
      </c>
      <c r="AN204" s="23">
        <f t="shared" si="365"/>
        <v>62.77</v>
      </c>
      <c r="AO204" s="23">
        <f t="shared" ref="AO204:AQ204" si="380">AO198*(AO$4/100)</f>
        <v>96.1815</v>
      </c>
      <c r="AP204" s="23">
        <f t="shared" si="380"/>
        <v>123.20909999999996</v>
      </c>
      <c r="AQ204" s="23">
        <f t="shared" si="380"/>
        <v>120.923</v>
      </c>
      <c r="AR204" s="23">
        <f t="shared" ref="AR204:AS204" si="381">AR198*(AR$4/100)</f>
        <v>141.90399999999997</v>
      </c>
      <c r="AS204" s="23">
        <f t="shared" si="381"/>
        <v>242.06</v>
      </c>
      <c r="AT204" s="23">
        <f t="shared" ref="AT204:AT206" si="382">AM204-AL204</f>
        <v>1.2469811320754758</v>
      </c>
      <c r="AU204" s="23">
        <f>AN204-AM204</f>
        <v>3.5530188679245285</v>
      </c>
      <c r="AV204" s="23"/>
      <c r="AW204" s="23"/>
      <c r="AX204" s="23"/>
    </row>
    <row r="205" spans="1:50">
      <c r="A205" s="4" t="s">
        <v>653</v>
      </c>
      <c r="B205" s="18">
        <v>0</v>
      </c>
      <c r="C205" s="18">
        <f t="shared" ref="C205:P205" si="383">C199*(C$4/100)</f>
        <v>0</v>
      </c>
      <c r="D205" s="18">
        <f t="shared" si="383"/>
        <v>0</v>
      </c>
      <c r="E205" s="18">
        <f t="shared" si="383"/>
        <v>55.149971131639724</v>
      </c>
      <c r="F205" s="18">
        <f t="shared" si="383"/>
        <v>54.639854014598548</v>
      </c>
      <c r="G205" s="18">
        <f t="shared" si="383"/>
        <v>57.318850834984438</v>
      </c>
      <c r="H205" s="18">
        <f t="shared" si="383"/>
        <v>54.448922079752002</v>
      </c>
      <c r="I205" s="18">
        <f t="shared" si="383"/>
        <v>57.276165224672063</v>
      </c>
      <c r="J205" s="18">
        <f t="shared" si="383"/>
        <v>52.462499999999999</v>
      </c>
      <c r="K205" s="18">
        <f t="shared" si="383"/>
        <v>55.764000000000003</v>
      </c>
      <c r="L205" s="18">
        <f t="shared" si="383"/>
        <v>54.993600000000008</v>
      </c>
      <c r="M205" s="18">
        <f t="shared" si="383"/>
        <v>62.816499999999998</v>
      </c>
      <c r="N205" s="18">
        <f t="shared" si="383"/>
        <v>71.891999999999996</v>
      </c>
      <c r="O205" s="18">
        <f t="shared" si="383"/>
        <v>70.224000000000004</v>
      </c>
      <c r="P205" s="18">
        <f t="shared" si="383"/>
        <v>79.997599999999991</v>
      </c>
      <c r="Q205" s="18">
        <f t="shared" ref="Q205:R205" si="384">Q199*(Q$4/100)</f>
        <v>81.339999999999989</v>
      </c>
      <c r="R205" s="18">
        <f t="shared" si="384"/>
        <v>84.738500000000002</v>
      </c>
      <c r="S205" s="18">
        <f t="shared" ref="S205:T205" si="385">S199*(S$4/100)</f>
        <v>88.390199999999993</v>
      </c>
      <c r="T205" s="18">
        <f t="shared" si="385"/>
        <v>91.367099999999994</v>
      </c>
      <c r="U205" s="18">
        <f t="shared" ref="U205:V205" si="386">U199*(U$4/100)</f>
        <v>93.861999999999995</v>
      </c>
      <c r="V205" s="18">
        <f t="shared" si="386"/>
        <v>102.46860000000001</v>
      </c>
      <c r="W205" s="18">
        <f>W199*(W$4/100)</f>
        <v>97.891200000000012</v>
      </c>
      <c r="X205" s="18">
        <f t="shared" ref="X205:Z205" si="387">X199*(X$4/100)</f>
        <v>96.725999999999985</v>
      </c>
      <c r="Y205" s="18">
        <f t="shared" si="387"/>
        <v>96.629599999999982</v>
      </c>
      <c r="Z205" s="18">
        <f t="shared" si="387"/>
        <v>93.652799999999999</v>
      </c>
      <c r="AA205" s="18">
        <f t="shared" ref="AA205:AB205" si="388">AA199*(AA$4/100)</f>
        <v>102.95820000000001</v>
      </c>
      <c r="AB205" s="18">
        <f t="shared" si="388"/>
        <v>117.14999999999999</v>
      </c>
      <c r="AC205" s="18">
        <f t="shared" ref="AC205:AD205" si="389">AC199*(AC$4/100)</f>
        <v>112.5765</v>
      </c>
      <c r="AD205" s="18">
        <f t="shared" si="389"/>
        <v>129.6232</v>
      </c>
      <c r="AE205" s="18">
        <f t="shared" ref="AE205:AF205" si="390">AE199*(AE$4/100)</f>
        <v>142.32680000000002</v>
      </c>
      <c r="AF205" s="18">
        <f t="shared" si="390"/>
        <v>147.63630000000001</v>
      </c>
      <c r="AG205" s="18">
        <f t="shared" ref="AG205" si="391">AG199*(AG$4/100)</f>
        <v>153.57739999999998</v>
      </c>
      <c r="AH205" s="18"/>
      <c r="AI205" s="18"/>
      <c r="AJ205" s="18"/>
      <c r="AK205" s="23">
        <f t="shared" ref="AK205" si="392">AK199*(AK$4/100)</f>
        <v>191.1</v>
      </c>
      <c r="AL205" s="23">
        <f t="shared" si="365"/>
        <v>205.52999999999997</v>
      </c>
      <c r="AM205" s="23">
        <f t="shared" si="365"/>
        <v>225.02452830188679</v>
      </c>
      <c r="AN205" s="23">
        <f t="shared" si="365"/>
        <v>213.41800000000001</v>
      </c>
      <c r="AO205" s="23">
        <f t="shared" ref="AO205:AQ205" si="393">AO199*(AO$4/100)</f>
        <v>294.60999999999996</v>
      </c>
      <c r="AP205" s="23">
        <f t="shared" si="393"/>
        <v>355.6035</v>
      </c>
      <c r="AQ205" s="23">
        <f t="shared" si="393"/>
        <v>379.25850000000003</v>
      </c>
      <c r="AR205" s="23">
        <f t="shared" ref="AR205:AS205" si="394">AR199*(AR$4/100)</f>
        <v>411.23199999999997</v>
      </c>
      <c r="AS205" s="23">
        <f t="shared" si="394"/>
        <v>760.76</v>
      </c>
      <c r="AT205" s="23">
        <f t="shared" si="382"/>
        <v>19.494528301886817</v>
      </c>
      <c r="AU205" s="23">
        <f>AN205-AM205</f>
        <v>-11.606528301886783</v>
      </c>
      <c r="AV205" s="23"/>
      <c r="AW205" s="23"/>
      <c r="AX205" s="23"/>
    </row>
    <row r="206" spans="1:50">
      <c r="A206" s="4" t="s">
        <v>656</v>
      </c>
      <c r="B206" s="18">
        <v>118.5574644549763</v>
      </c>
      <c r="C206" s="18">
        <f t="shared" ref="C206:P206" si="395">C200*(C$4/100)</f>
        <v>123.7129485179407</v>
      </c>
      <c r="D206" s="18">
        <f t="shared" si="395"/>
        <v>129.06782026234998</v>
      </c>
      <c r="E206" s="18">
        <f t="shared" si="395"/>
        <v>79.362153579676672</v>
      </c>
      <c r="F206" s="18">
        <f t="shared" si="395"/>
        <v>85.462335766423365</v>
      </c>
      <c r="G206" s="18">
        <f t="shared" si="395"/>
        <v>89.652561562411563</v>
      </c>
      <c r="H206" s="18">
        <f t="shared" si="395"/>
        <v>96.798083697336892</v>
      </c>
      <c r="I206" s="18">
        <f t="shared" si="395"/>
        <v>97.524281328495675</v>
      </c>
      <c r="J206" s="18">
        <f t="shared" si="395"/>
        <v>87.4375</v>
      </c>
      <c r="K206" s="18">
        <f t="shared" si="395"/>
        <v>99.13600000000001</v>
      </c>
      <c r="L206" s="18">
        <f t="shared" si="395"/>
        <v>105.8064</v>
      </c>
      <c r="M206" s="18">
        <f t="shared" si="395"/>
        <v>109.28349999999999</v>
      </c>
      <c r="N206" s="18">
        <f t="shared" si="395"/>
        <v>127.80799999999999</v>
      </c>
      <c r="O206" s="18">
        <f t="shared" si="395"/>
        <v>142.57600000000002</v>
      </c>
      <c r="P206" s="18">
        <f t="shared" si="395"/>
        <v>141.60239999999999</v>
      </c>
      <c r="Q206" s="18">
        <f t="shared" ref="Q206:R206" si="396">Q200*(Q$4/100)</f>
        <v>151.06</v>
      </c>
      <c r="R206" s="18">
        <f t="shared" si="396"/>
        <v>153.9615</v>
      </c>
      <c r="S206" s="18">
        <f t="shared" ref="S206:T206" si="397">S200*(S$4/100)</f>
        <v>158.50979999999998</v>
      </c>
      <c r="T206" s="18">
        <f t="shared" si="397"/>
        <v>160.3329</v>
      </c>
      <c r="U206" s="18">
        <f t="shared" ref="U206:V206" si="398">U200*(U$4/100)</f>
        <v>170.53799999999998</v>
      </c>
      <c r="V206" s="18">
        <f t="shared" si="398"/>
        <v>169.3314</v>
      </c>
      <c r="W206" s="18">
        <f t="shared" ref="W206:X206" si="399">W200*(W$4/100)</f>
        <v>180.2088</v>
      </c>
      <c r="X206" s="18">
        <f t="shared" si="399"/>
        <v>185.274</v>
      </c>
      <c r="Y206" s="18">
        <f t="shared" ref="Y206:Z206" si="400">Y200*(Y$4/100)</f>
        <v>184.27039999999997</v>
      </c>
      <c r="Z206" s="18">
        <f t="shared" si="400"/>
        <v>192.74719999999999</v>
      </c>
      <c r="AA206" s="18">
        <f t="shared" ref="AA206:AB206" si="401">AA200*(AA$4/100)</f>
        <v>262.14179999999999</v>
      </c>
      <c r="AB206" s="18">
        <f t="shared" si="401"/>
        <v>273.34999999999997</v>
      </c>
      <c r="AC206" s="18">
        <f t="shared" ref="AC206:AD206" si="402">AC200*(AC$4/100)</f>
        <v>290.92349999999999</v>
      </c>
      <c r="AD206" s="18">
        <f t="shared" si="402"/>
        <v>312.77679999999998</v>
      </c>
      <c r="AE206" s="18">
        <f t="shared" ref="AE206:AF206" si="403">AE200*(AE$4/100)</f>
        <v>319.77320000000003</v>
      </c>
      <c r="AF206" s="18">
        <f t="shared" si="403"/>
        <v>333.26369999999997</v>
      </c>
      <c r="AG206" s="18">
        <f t="shared" ref="AG206" si="404">AG200*(AG$4/100)</f>
        <v>335.52259999999995</v>
      </c>
      <c r="AH206" s="18"/>
      <c r="AI206" s="18"/>
      <c r="AJ206" s="18"/>
      <c r="AK206" s="23">
        <f t="shared" ref="AK206" si="405">AK200*(AK$4/100)</f>
        <v>263.89999999999998</v>
      </c>
      <c r="AL206" s="23">
        <f t="shared" si="365"/>
        <v>321.46999999999997</v>
      </c>
      <c r="AM206" s="23">
        <f t="shared" si="365"/>
        <v>367.14528301886793</v>
      </c>
      <c r="AN206" s="23">
        <f t="shared" si="365"/>
        <v>414.28199999999998</v>
      </c>
      <c r="AO206" s="23">
        <f t="shared" ref="AO206:AQ206" si="406">AO200*(AO$4/100)</f>
        <v>571.89</v>
      </c>
      <c r="AP206" s="23">
        <f t="shared" si="406"/>
        <v>646.09649999999999</v>
      </c>
      <c r="AQ206" s="23">
        <f t="shared" si="406"/>
        <v>720.04150000000004</v>
      </c>
      <c r="AR206" s="23">
        <f t="shared" ref="AR206:AS206" si="407">AR200*(AR$4/100)</f>
        <v>1036.768</v>
      </c>
      <c r="AS206" s="23">
        <f t="shared" si="407"/>
        <v>1709.24</v>
      </c>
      <c r="AT206" s="23">
        <f t="shared" si="382"/>
        <v>45.675283018867958</v>
      </c>
      <c r="AU206" s="23">
        <f>AN206-AM206</f>
        <v>47.136716981132054</v>
      </c>
      <c r="AV206" s="23"/>
      <c r="AW206" s="23"/>
      <c r="AX206" s="23"/>
    </row>
    <row r="207" spans="1:50">
      <c r="A207" s="4"/>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4"/>
      <c r="AL207" s="4"/>
      <c r="AM207" s="4"/>
      <c r="AN207" s="4"/>
      <c r="AO207" s="4"/>
      <c r="AP207" s="4"/>
      <c r="AQ207" s="4"/>
      <c r="AR207" s="4"/>
      <c r="AS207" s="4"/>
      <c r="AT207" s="4">
        <f>AT205/AT201</f>
        <v>0.29913433700057912</v>
      </c>
      <c r="AU207" s="4"/>
      <c r="AV207" s="4"/>
      <c r="AW207" s="4"/>
      <c r="AX207" s="4"/>
    </row>
    <row r="208" spans="1:50">
      <c r="A208" s="251" t="s">
        <v>633</v>
      </c>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c r="AK208" s="273"/>
      <c r="AL208" s="273"/>
      <c r="AM208" s="273"/>
      <c r="AN208" s="273"/>
      <c r="AO208" s="273"/>
      <c r="AP208" s="273"/>
      <c r="AQ208" s="273"/>
      <c r="AR208" s="273"/>
      <c r="AS208" s="273"/>
      <c r="AT208" s="273"/>
      <c r="AU208" s="273"/>
      <c r="AV208" s="273"/>
      <c r="AW208" s="273"/>
      <c r="AX208" s="273"/>
    </row>
    <row r="209" spans="1:50">
      <c r="A209" s="4" t="s">
        <v>652</v>
      </c>
      <c r="B209" s="260"/>
      <c r="C209" s="312" t="e">
        <f t="shared" ref="C209:Z209" si="408">(C203/B203-1)*100</f>
        <v>#DIV/0!</v>
      </c>
      <c r="D209" s="312" t="e">
        <f t="shared" si="408"/>
        <v>#DIV/0!</v>
      </c>
      <c r="E209" s="312" t="e">
        <f t="shared" si="408"/>
        <v>#DIV/0!</v>
      </c>
      <c r="F209" s="312">
        <f t="shared" si="408"/>
        <v>-3.0273515669550166</v>
      </c>
      <c r="G209" s="312">
        <f t="shared" si="408"/>
        <v>12.673601984967164</v>
      </c>
      <c r="H209" s="312">
        <f t="shared" si="408"/>
        <v>-4.1880488895968293</v>
      </c>
      <c r="I209" s="312">
        <f t="shared" si="408"/>
        <v>2.3494288417953868</v>
      </c>
      <c r="J209" s="312">
        <f t="shared" si="408"/>
        <v>-11.96862412398877</v>
      </c>
      <c r="K209" s="312">
        <f t="shared" si="408"/>
        <v>5.2489964314542892</v>
      </c>
      <c r="L209" s="312">
        <f t="shared" si="408"/>
        <v>1.3174951581665484</v>
      </c>
      <c r="M209" s="312">
        <f t="shared" si="408"/>
        <v>11.413730527689413</v>
      </c>
      <c r="N209" s="312">
        <f t="shared" si="408"/>
        <v>14.209830395256384</v>
      </c>
      <c r="O209" s="312">
        <f t="shared" si="408"/>
        <v>-4.096144216324471</v>
      </c>
      <c r="P209" s="312">
        <f t="shared" si="408"/>
        <v>16.631578947368396</v>
      </c>
      <c r="Q209" s="312">
        <f t="shared" si="408"/>
        <v>-3.8658243080625598</v>
      </c>
      <c r="R209" s="312">
        <f t="shared" si="408"/>
        <v>1.8215720022948911</v>
      </c>
      <c r="S209" s="312">
        <f t="shared" si="408"/>
        <v>4.3386392449640931</v>
      </c>
      <c r="T209" s="312">
        <f t="shared" si="408"/>
        <v>5.4746387674698527</v>
      </c>
      <c r="U209" s="312">
        <f t="shared" si="408"/>
        <v>1.0899938992258384</v>
      </c>
      <c r="V209" s="312">
        <f t="shared" si="408"/>
        <v>12.184766164572803</v>
      </c>
      <c r="W209" s="312">
        <f>(W203/V203-1)*100</f>
        <v>-4.2043745547610918</v>
      </c>
      <c r="X209" s="312">
        <f t="shared" si="408"/>
        <v>-2.0496224379719541</v>
      </c>
      <c r="Y209" s="312">
        <f t="shared" si="408"/>
        <v>0.92635985878088967</v>
      </c>
      <c r="Z209" s="312">
        <f t="shared" si="408"/>
        <v>-5.5780333400405553</v>
      </c>
      <c r="AA209" s="312">
        <f t="shared" ref="AA209:AG209" si="409">(AA203/Z203-1)*100</f>
        <v>11.918227240538215</v>
      </c>
      <c r="AB209" s="312">
        <f t="shared" si="409"/>
        <v>13.248586205229817</v>
      </c>
      <c r="AC209" s="312">
        <f t="shared" si="409"/>
        <v>-4.4988941915958485</v>
      </c>
      <c r="AD209" s="312">
        <f t="shared" si="409"/>
        <v>24.019745261746571</v>
      </c>
      <c r="AE209" s="312">
        <f t="shared" si="409"/>
        <v>5.9667950834709549</v>
      </c>
      <c r="AF209" s="312">
        <f t="shared" si="409"/>
        <v>4.0683834667820662</v>
      </c>
      <c r="AG209" s="312">
        <f t="shared" si="409"/>
        <v>5.5796175821128946</v>
      </c>
      <c r="AH209" s="312"/>
      <c r="AI209" s="312"/>
      <c r="AJ209" s="312"/>
      <c r="AK209" s="19" t="e">
        <f>AK203/#REF!-1</f>
        <v>#REF!</v>
      </c>
      <c r="AL209" s="19">
        <f t="shared" ref="AL209:AL212" si="410">AL203/AK203-1</f>
        <v>8.1025641025641137E-2</v>
      </c>
      <c r="AM209" s="19">
        <f t="shared" ref="AM209:AO212" si="411">AM203/AL203-1</f>
        <v>0.12366188106405063</v>
      </c>
      <c r="AN209" s="19">
        <f t="shared" si="411"/>
        <v>-9.1428571428571526E-2</v>
      </c>
      <c r="AO209" s="19">
        <f t="shared" si="411"/>
        <v>0.31716650735489327</v>
      </c>
      <c r="AP209" s="19">
        <f t="shared" ref="AP209:AP212" si="412">AP203/AO203-1</f>
        <v>0.17117450366252873</v>
      </c>
      <c r="AQ209" s="19">
        <f t="shared" ref="AQ209:AS212" si="413">AQ203/AP203-1</f>
        <v>0.11162532315752882</v>
      </c>
      <c r="AR209" s="19">
        <f t="shared" si="413"/>
        <v>4.2551256021723605E-2</v>
      </c>
      <c r="AS209" s="19">
        <f t="shared" si="413"/>
        <v>0.92590447335590764</v>
      </c>
      <c r="AT209" s="19"/>
      <c r="AU209" s="19"/>
      <c r="AV209" s="19"/>
      <c r="AW209" s="19"/>
      <c r="AX209" s="19"/>
    </row>
    <row r="210" spans="1:50">
      <c r="A210" s="4" t="s">
        <v>655</v>
      </c>
      <c r="B210" s="4"/>
      <c r="C210" s="312" t="e">
        <f t="shared" ref="C210:AG210" si="414">(C204/B204-1)*100</f>
        <v>#DIV/0!</v>
      </c>
      <c r="D210" s="312" t="e">
        <f t="shared" si="414"/>
        <v>#DIV/0!</v>
      </c>
      <c r="E210" s="312" t="e">
        <f t="shared" si="414"/>
        <v>#DIV/0!</v>
      </c>
      <c r="F210" s="312">
        <f t="shared" si="414"/>
        <v>4.1558075762335056</v>
      </c>
      <c r="G210" s="312">
        <f t="shared" si="414"/>
        <v>-12.580826046146154</v>
      </c>
      <c r="H210" s="312">
        <f t="shared" si="414"/>
        <v>-7.3817805932769325</v>
      </c>
      <c r="I210" s="312">
        <f t="shared" si="414"/>
        <v>13.721587601994866</v>
      </c>
      <c r="J210" s="312">
        <f t="shared" si="414"/>
        <v>1.2193462543946598</v>
      </c>
      <c r="K210" s="312">
        <f t="shared" si="414"/>
        <v>8.7447666700704687</v>
      </c>
      <c r="L210" s="312">
        <f t="shared" si="414"/>
        <v>-7.5156992781266201</v>
      </c>
      <c r="M210" s="312">
        <f t="shared" si="414"/>
        <v>21.224870545232967</v>
      </c>
      <c r="N210" s="312">
        <f t="shared" si="414"/>
        <v>14.991807612377039</v>
      </c>
      <c r="O210" s="312">
        <f t="shared" si="414"/>
        <v>1.7162106796558607</v>
      </c>
      <c r="P210" s="312">
        <f t="shared" si="414"/>
        <v>8.1023988542785688</v>
      </c>
      <c r="Q210" s="312">
        <f t="shared" si="414"/>
        <v>14.495081641440045</v>
      </c>
      <c r="R210" s="312">
        <f t="shared" si="414"/>
        <v>8.7526576895818877</v>
      </c>
      <c r="S210" s="312">
        <f t="shared" si="414"/>
        <v>4.2561892792307043</v>
      </c>
      <c r="T210" s="312">
        <f t="shared" si="414"/>
        <v>-0.46402158417923056</v>
      </c>
      <c r="U210" s="312">
        <f t="shared" si="414"/>
        <v>5.8928319684211861</v>
      </c>
      <c r="V210" s="312">
        <f t="shared" si="414"/>
        <v>3.6211800302571984</v>
      </c>
      <c r="W210" s="312">
        <f t="shared" si="414"/>
        <v>-4.9905392620624216</v>
      </c>
      <c r="X210" s="312">
        <f t="shared" si="414"/>
        <v>0.53568629620404096</v>
      </c>
      <c r="Y210" s="312">
        <f t="shared" si="414"/>
        <v>-2.1074834922964025</v>
      </c>
      <c r="Z210" s="312">
        <f t="shared" si="414"/>
        <v>1.9579921680313861</v>
      </c>
      <c r="AA210" s="312">
        <f t="shared" si="414"/>
        <v>6.2325418994413129</v>
      </c>
      <c r="AB210" s="312">
        <f t="shared" si="414"/>
        <v>14.838040046706723</v>
      </c>
      <c r="AC210" s="312">
        <f t="shared" si="414"/>
        <v>-2.7491150109211548</v>
      </c>
      <c r="AD210" s="312">
        <f t="shared" si="414"/>
        <v>-1.7802560925237243</v>
      </c>
      <c r="AE210" s="312">
        <f t="shared" si="414"/>
        <v>19.027818663526674</v>
      </c>
      <c r="AF210" s="312">
        <f t="shared" si="414"/>
        <v>3.0064611865087798</v>
      </c>
      <c r="AG210" s="312">
        <f t="shared" si="414"/>
        <v>0.65662964415944547</v>
      </c>
      <c r="AH210" s="312"/>
      <c r="AI210" s="312"/>
      <c r="AJ210" s="312"/>
      <c r="AK210" s="19" t="e">
        <f>AK204/#REF!-1</f>
        <v>#REF!</v>
      </c>
      <c r="AL210" s="19">
        <f t="shared" si="410"/>
        <v>6.1721611721611724E-2</v>
      </c>
      <c r="AM210" s="19">
        <f t="shared" si="411"/>
        <v>2.1510800967318833E-2</v>
      </c>
      <c r="AN210" s="19">
        <f t="shared" si="411"/>
        <v>6.0000000000000053E-2</v>
      </c>
      <c r="AO210" s="19">
        <f t="shared" si="411"/>
        <v>0.53228453082682803</v>
      </c>
      <c r="AP210" s="19">
        <f t="shared" si="412"/>
        <v>0.28100622261037689</v>
      </c>
      <c r="AQ210" s="19">
        <f t="shared" si="413"/>
        <v>-1.8554635980621237E-2</v>
      </c>
      <c r="AR210" s="19">
        <f t="shared" si="413"/>
        <v>0.17350710782894874</v>
      </c>
      <c r="AS210" s="19">
        <f t="shared" si="413"/>
        <v>0.70580110497237603</v>
      </c>
      <c r="AT210" s="19"/>
      <c r="AU210" s="19"/>
      <c r="AV210" s="19"/>
      <c r="AW210" s="19"/>
      <c r="AX210" s="19"/>
    </row>
    <row r="211" spans="1:50">
      <c r="A211" s="4" t="s">
        <v>653</v>
      </c>
      <c r="B211" s="4"/>
      <c r="C211" s="312" t="e">
        <f t="shared" ref="C211:AG211" si="415">(C205/B205-1)*100</f>
        <v>#DIV/0!</v>
      </c>
      <c r="D211" s="312" t="e">
        <f t="shared" si="415"/>
        <v>#DIV/0!</v>
      </c>
      <c r="E211" s="312" t="e">
        <f t="shared" si="415"/>
        <v>#DIV/0!</v>
      </c>
      <c r="F211" s="312">
        <f t="shared" si="415"/>
        <v>-0.92496352504619628</v>
      </c>
      <c r="G211" s="312">
        <f t="shared" si="415"/>
        <v>4.9030087446246151</v>
      </c>
      <c r="H211" s="312">
        <f t="shared" si="415"/>
        <v>-5.0069544546430089</v>
      </c>
      <c r="I211" s="312">
        <f t="shared" si="415"/>
        <v>5.1924685318452513</v>
      </c>
      <c r="J211" s="312">
        <f t="shared" si="415"/>
        <v>-8.404307805506761</v>
      </c>
      <c r="K211" s="312">
        <f t="shared" si="415"/>
        <v>6.2930664760543431</v>
      </c>
      <c r="L211" s="312">
        <f t="shared" si="415"/>
        <v>-1.3815364751452508</v>
      </c>
      <c r="M211" s="312">
        <f t="shared" si="415"/>
        <v>14.225109830962124</v>
      </c>
      <c r="N211" s="312">
        <f t="shared" si="415"/>
        <v>14.447637165394433</v>
      </c>
      <c r="O211" s="312">
        <f t="shared" si="415"/>
        <v>-2.3201468869971542</v>
      </c>
      <c r="P211" s="312">
        <f t="shared" si="415"/>
        <v>13.917748917748906</v>
      </c>
      <c r="Q211" s="312">
        <f t="shared" si="415"/>
        <v>1.678050341510251</v>
      </c>
      <c r="R211" s="312">
        <f t="shared" si="415"/>
        <v>4.1781411359724796</v>
      </c>
      <c r="S211" s="312">
        <f t="shared" si="415"/>
        <v>4.3093753134643586</v>
      </c>
      <c r="T211" s="312">
        <f t="shared" si="415"/>
        <v>3.3679073019407202</v>
      </c>
      <c r="U211" s="312">
        <f t="shared" si="415"/>
        <v>2.7306327988958934</v>
      </c>
      <c r="V211" s="312">
        <f t="shared" si="415"/>
        <v>9.1694189341799728</v>
      </c>
      <c r="W211" s="312">
        <f>(W205/V205-1)*100</f>
        <v>-4.4671245630368723</v>
      </c>
      <c r="X211" s="312">
        <f t="shared" si="415"/>
        <v>-1.190301068941868</v>
      </c>
      <c r="Y211" s="312">
        <f t="shared" si="415"/>
        <v>-9.9662965490154853E-2</v>
      </c>
      <c r="Z211" s="312">
        <f t="shared" si="415"/>
        <v>-3.0806295379469439</v>
      </c>
      <c r="AA211" s="312">
        <f t="shared" si="415"/>
        <v>9.9360617087796754</v>
      </c>
      <c r="AB211" s="312">
        <f t="shared" si="415"/>
        <v>13.784040513528772</v>
      </c>
      <c r="AC211" s="312">
        <f t="shared" si="415"/>
        <v>-3.9039692701664519</v>
      </c>
      <c r="AD211" s="312">
        <f t="shared" si="415"/>
        <v>15.142325440922399</v>
      </c>
      <c r="AE211" s="312">
        <f t="shared" si="415"/>
        <v>9.8004061001425882</v>
      </c>
      <c r="AF211" s="312">
        <f t="shared" si="415"/>
        <v>3.7304991048769276</v>
      </c>
      <c r="AG211" s="312">
        <f t="shared" si="415"/>
        <v>4.0241458232155525</v>
      </c>
      <c r="AH211" s="312"/>
      <c r="AI211" s="312"/>
      <c r="AJ211" s="312"/>
      <c r="AK211" s="19" t="e">
        <f>AK205/#REF!-1</f>
        <v>#REF!</v>
      </c>
      <c r="AL211" s="19">
        <f t="shared" si="410"/>
        <v>7.5510204081632448E-2</v>
      </c>
      <c r="AM211" s="19">
        <f t="shared" si="411"/>
        <v>9.485003795984448E-2</v>
      </c>
      <c r="AN211" s="19">
        <f t="shared" si="411"/>
        <v>-5.1578947368421058E-2</v>
      </c>
      <c r="AO211" s="19">
        <f t="shared" si="411"/>
        <v>0.38043651425840341</v>
      </c>
      <c r="AP211" s="19">
        <f t="shared" si="412"/>
        <v>0.20703132955432624</v>
      </c>
      <c r="AQ211" s="19">
        <f t="shared" si="413"/>
        <v>6.6520717596986634E-2</v>
      </c>
      <c r="AR211" s="19">
        <f t="shared" si="413"/>
        <v>8.4305295728375196E-2</v>
      </c>
      <c r="AS211" s="19">
        <f t="shared" si="413"/>
        <v>0.84995331102637928</v>
      </c>
      <c r="AT211" s="19"/>
      <c r="AU211" s="19"/>
      <c r="AV211" s="19"/>
      <c r="AW211" s="19"/>
      <c r="AX211" s="19"/>
    </row>
    <row r="212" spans="1:50">
      <c r="A212" s="4" t="s">
        <v>658</v>
      </c>
      <c r="B212" s="4"/>
      <c r="C212" s="312">
        <f t="shared" ref="C212:AG212" si="416">(C206/B206-1)*100</f>
        <v>4.3485107299357395</v>
      </c>
      <c r="D212" s="312">
        <f t="shared" si="416"/>
        <v>4.3284650544342274</v>
      </c>
      <c r="E212" s="312">
        <f t="shared" si="416"/>
        <v>-38.511277700079681</v>
      </c>
      <c r="F212" s="312">
        <f t="shared" si="416"/>
        <v>7.6865129178007141</v>
      </c>
      <c r="G212" s="312">
        <f t="shared" si="416"/>
        <v>4.9030087446246373</v>
      </c>
      <c r="H212" s="312">
        <f t="shared" si="416"/>
        <v>7.9702375597500152</v>
      </c>
      <c r="I212" s="312">
        <f t="shared" si="416"/>
        <v>0.75021901614231723</v>
      </c>
      <c r="J212" s="312">
        <f t="shared" si="416"/>
        <v>-10.342840973644185</v>
      </c>
      <c r="K212" s="312">
        <f t="shared" si="416"/>
        <v>13.379270907791296</v>
      </c>
      <c r="L212" s="312">
        <f t="shared" si="416"/>
        <v>6.7285345384118678</v>
      </c>
      <c r="M212" s="312">
        <f t="shared" si="416"/>
        <v>3.2862851396512793</v>
      </c>
      <c r="N212" s="312">
        <f t="shared" si="416"/>
        <v>16.950866324742542</v>
      </c>
      <c r="O212" s="312">
        <f t="shared" si="416"/>
        <v>11.554832248372593</v>
      </c>
      <c r="P212" s="312">
        <f t="shared" si="416"/>
        <v>-0.68286387610820842</v>
      </c>
      <c r="Q212" s="312">
        <f t="shared" si="416"/>
        <v>6.6789828420987352</v>
      </c>
      <c r="R212" s="312">
        <f t="shared" si="416"/>
        <v>1.920759962928642</v>
      </c>
      <c r="S212" s="312">
        <f t="shared" si="416"/>
        <v>2.9541801034674187</v>
      </c>
      <c r="T212" s="312">
        <f t="shared" si="416"/>
        <v>1.1501497068320043</v>
      </c>
      <c r="U212" s="312">
        <f t="shared" si="416"/>
        <v>6.3649444374797692</v>
      </c>
      <c r="V212" s="312">
        <f t="shared" si="416"/>
        <v>-0.70752559546845006</v>
      </c>
      <c r="W212" s="312">
        <f t="shared" si="416"/>
        <v>6.4237347591763916</v>
      </c>
      <c r="X212" s="312">
        <f t="shared" si="416"/>
        <v>2.8107395421311354</v>
      </c>
      <c r="Y212" s="312">
        <f t="shared" si="416"/>
        <v>-0.54168420825374541</v>
      </c>
      <c r="Z212" s="312">
        <f t="shared" si="416"/>
        <v>4.600196233361431</v>
      </c>
      <c r="AA212" s="312">
        <f t="shared" si="416"/>
        <v>36.002909510488344</v>
      </c>
      <c r="AB212" s="312">
        <f t="shared" si="416"/>
        <v>4.2756248717297218</v>
      </c>
      <c r="AC212" s="312">
        <f t="shared" si="416"/>
        <v>6.4289372599231953</v>
      </c>
      <c r="AD212" s="312">
        <f t="shared" si="416"/>
        <v>7.5116998111187216</v>
      </c>
      <c r="AE212" s="312">
        <f t="shared" si="416"/>
        <v>2.2368666729757569</v>
      </c>
      <c r="AF212" s="312">
        <f t="shared" si="416"/>
        <v>4.2187713041617947</v>
      </c>
      <c r="AG212" s="312">
        <f t="shared" si="416"/>
        <v>0.67781159484214815</v>
      </c>
      <c r="AH212" s="312"/>
      <c r="AI212" s="312"/>
      <c r="AJ212" s="312"/>
      <c r="AK212" s="19" t="e">
        <f>AK206/#REF!-1</f>
        <v>#REF!</v>
      </c>
      <c r="AL212" s="19">
        <f t="shared" si="410"/>
        <v>0.21815081470253883</v>
      </c>
      <c r="AM212" s="19">
        <f t="shared" si="411"/>
        <v>0.14208256763887128</v>
      </c>
      <c r="AN212" s="19">
        <f t="shared" si="411"/>
        <v>0.12838709677419358</v>
      </c>
      <c r="AO212" s="19">
        <f t="shared" si="411"/>
        <v>0.38043651425840364</v>
      </c>
      <c r="AP212" s="19">
        <f t="shared" si="412"/>
        <v>0.1297565965482872</v>
      </c>
      <c r="AQ212" s="19">
        <f t="shared" si="413"/>
        <v>0.11444884781143383</v>
      </c>
      <c r="AR212" s="19">
        <f t="shared" si="413"/>
        <v>0.43987256290088839</v>
      </c>
      <c r="AS212" s="19">
        <f t="shared" si="413"/>
        <v>0.64862341430291059</v>
      </c>
      <c r="AT212" s="19"/>
      <c r="AU212" s="19"/>
      <c r="AV212" s="19"/>
      <c r="AW212" s="19"/>
      <c r="AX212" s="19"/>
    </row>
    <row r="213" spans="1:50">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row>
    <row r="214" spans="1:50">
      <c r="A214" s="251" t="s">
        <v>634</v>
      </c>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73"/>
      <c r="AL214" s="273"/>
      <c r="AM214" s="273"/>
      <c r="AN214" s="273"/>
      <c r="AO214" s="273"/>
      <c r="AP214" s="273"/>
      <c r="AQ214" s="273"/>
      <c r="AR214" s="273"/>
      <c r="AS214" s="273"/>
      <c r="AT214" s="273"/>
      <c r="AU214" s="273"/>
      <c r="AV214" s="273"/>
      <c r="AW214" s="273"/>
      <c r="AX214" s="273"/>
    </row>
    <row r="215" spans="1:50">
      <c r="A215" s="4" t="s">
        <v>652</v>
      </c>
      <c r="B215" s="260"/>
      <c r="C215" s="260"/>
      <c r="D215" s="260"/>
      <c r="E215" s="260"/>
      <c r="F215" s="312" t="e">
        <f t="shared" ref="F215:AG218" si="417">(F203/B203-1)*100</f>
        <v>#DIV/0!</v>
      </c>
      <c r="G215" s="312" t="e">
        <f t="shared" si="417"/>
        <v>#DIV/0!</v>
      </c>
      <c r="H215" s="312" t="e">
        <f t="shared" si="417"/>
        <v>#DIV/0!</v>
      </c>
      <c r="I215" s="312">
        <f t="shared" si="417"/>
        <v>7.1461431426686595</v>
      </c>
      <c r="J215" s="312">
        <f t="shared" si="417"/>
        <v>-2.7331670004901332</v>
      </c>
      <c r="K215" s="312">
        <f t="shared" si="417"/>
        <v>-9.1425464446399864</v>
      </c>
      <c r="L215" s="312">
        <f t="shared" si="417"/>
        <v>-3.9216976171252194</v>
      </c>
      <c r="M215" s="312">
        <f t="shared" si="417"/>
        <v>4.5872186330385034</v>
      </c>
      <c r="N215" s="312">
        <f t="shared" si="417"/>
        <v>35.688990234741254</v>
      </c>
      <c r="O215" s="312">
        <f t="shared" si="417"/>
        <v>23.641058747579091</v>
      </c>
      <c r="P215" s="312">
        <f t="shared" si="417"/>
        <v>42.329336921947622</v>
      </c>
      <c r="Q215" s="312">
        <f t="shared" si="417"/>
        <v>22.809939286351554</v>
      </c>
      <c r="R215" s="312">
        <f t="shared" si="417"/>
        <v>9.4888332498748174</v>
      </c>
      <c r="S215" s="312">
        <f t="shared" si="417"/>
        <v>19.118421052631575</v>
      </c>
      <c r="T215" s="312">
        <f t="shared" si="417"/>
        <v>7.7235903386625449</v>
      </c>
      <c r="U215" s="312">
        <f t="shared" si="417"/>
        <v>13.276855101295704</v>
      </c>
      <c r="V215" s="312">
        <f t="shared" si="417"/>
        <v>24.805944865108142</v>
      </c>
      <c r="W215" s="312">
        <f t="shared" si="417"/>
        <v>14.587113979580547</v>
      </c>
      <c r="X215" s="312">
        <f t="shared" si="417"/>
        <v>6.4127946698849581</v>
      </c>
      <c r="Y215" s="312">
        <f t="shared" si="417"/>
        <v>6.2405446293494871</v>
      </c>
      <c r="Z215" s="312">
        <f t="shared" si="417"/>
        <v>-10.581075257469019</v>
      </c>
      <c r="AA215" s="312">
        <f t="shared" si="417"/>
        <v>4.4683146273726937</v>
      </c>
      <c r="AB215" s="312">
        <f t="shared" si="417"/>
        <v>20.784515887149691</v>
      </c>
      <c r="AC215" s="312">
        <f t="shared" si="417"/>
        <v>14.291795006733032</v>
      </c>
      <c r="AD215" s="312">
        <f t="shared" si="417"/>
        <v>50.118026595326135</v>
      </c>
      <c r="AE215" s="312">
        <f t="shared" si="417"/>
        <v>42.135258525610887</v>
      </c>
      <c r="AF215" s="312">
        <f t="shared" si="417"/>
        <v>30.613432662088226</v>
      </c>
      <c r="AG215" s="312">
        <f t="shared" si="417"/>
        <v>44.397451263195677</v>
      </c>
      <c r="AH215" s="312"/>
      <c r="AI215" s="312"/>
      <c r="AJ215" s="312"/>
      <c r="AK215" s="4"/>
      <c r="AL215" s="19"/>
      <c r="AM215" s="19"/>
      <c r="AN215" s="19"/>
      <c r="AO215" s="19"/>
      <c r="AP215" s="19"/>
      <c r="AQ215" s="19"/>
      <c r="AR215" s="19"/>
      <c r="AS215" s="19"/>
      <c r="AT215" s="19"/>
      <c r="AU215" s="19"/>
      <c r="AV215" s="19"/>
      <c r="AW215" s="19"/>
      <c r="AX215" s="19"/>
    </row>
    <row r="216" spans="1:50">
      <c r="A216" s="4" t="s">
        <v>655</v>
      </c>
      <c r="B216" s="4"/>
      <c r="C216" s="4"/>
      <c r="D216" s="4"/>
      <c r="E216" s="4"/>
      <c r="F216" s="312" t="e">
        <f t="shared" si="417"/>
        <v>#DIV/0!</v>
      </c>
      <c r="G216" s="312" t="e">
        <f t="shared" si="417"/>
        <v>#DIV/0!</v>
      </c>
      <c r="H216" s="312" t="e">
        <f t="shared" si="417"/>
        <v>#DIV/0!</v>
      </c>
      <c r="I216" s="312">
        <f t="shared" si="417"/>
        <v>-4.0975879278582923</v>
      </c>
      <c r="J216" s="312">
        <f t="shared" si="417"/>
        <v>-6.80136153659131</v>
      </c>
      <c r="K216" s="312">
        <f t="shared" si="417"/>
        <v>15.934110736639395</v>
      </c>
      <c r="L216" s="312">
        <f t="shared" si="417"/>
        <v>15.766479100677033</v>
      </c>
      <c r="M216" s="312">
        <f t="shared" si="417"/>
        <v>23.40468277291987</v>
      </c>
      <c r="N216" s="312">
        <f t="shared" si="417"/>
        <v>40.195803124680893</v>
      </c>
      <c r="O216" s="312">
        <f t="shared" si="417"/>
        <v>31.134456247432361</v>
      </c>
      <c r="P216" s="312">
        <f t="shared" si="417"/>
        <v>53.279520763529241</v>
      </c>
      <c r="Q216" s="312">
        <f t="shared" si="417"/>
        <v>44.770220540121741</v>
      </c>
      <c r="R216" s="312">
        <f t="shared" si="417"/>
        <v>36.915373059589406</v>
      </c>
      <c r="S216" s="312">
        <f t="shared" si="417"/>
        <v>40.334317937701329</v>
      </c>
      <c r="T216" s="312">
        <f t="shared" si="417"/>
        <v>29.213725035604241</v>
      </c>
      <c r="U216" s="312">
        <f t="shared" si="417"/>
        <v>19.505633578732695</v>
      </c>
      <c r="V216" s="312">
        <f t="shared" si="417"/>
        <v>13.866778382907397</v>
      </c>
      <c r="W216" s="312">
        <f t="shared" si="417"/>
        <v>3.7676639144287538</v>
      </c>
      <c r="X216" s="312">
        <f t="shared" si="417"/>
        <v>4.8098735053250685</v>
      </c>
      <c r="Y216" s="312">
        <f t="shared" si="417"/>
        <v>-3.1086232980333084</v>
      </c>
      <c r="Z216" s="312">
        <f t="shared" si="417"/>
        <v>-4.6637934055152375</v>
      </c>
      <c r="AA216" s="312">
        <f t="shared" si="417"/>
        <v>6.5978849150369889</v>
      </c>
      <c r="AB216" s="312">
        <f t="shared" si="417"/>
        <v>21.762655906089545</v>
      </c>
      <c r="AC216" s="312">
        <f t="shared" si="417"/>
        <v>20.96456877330386</v>
      </c>
      <c r="AD216" s="312">
        <f t="shared" si="417"/>
        <v>16.529452121924891</v>
      </c>
      <c r="AE216" s="312">
        <f t="shared" si="417"/>
        <v>30.564949761420834</v>
      </c>
      <c r="AF216" s="312">
        <f t="shared" si="417"/>
        <v>17.113052647435435</v>
      </c>
      <c r="AG216" s="312">
        <f t="shared" si="417"/>
        <v>21.214374225526633</v>
      </c>
      <c r="AH216" s="312"/>
      <c r="AI216" s="312"/>
      <c r="AJ216" s="312"/>
      <c r="AK216" s="4"/>
      <c r="AL216" s="19"/>
      <c r="AM216" s="19"/>
      <c r="AN216" s="19"/>
      <c r="AO216" s="19"/>
      <c r="AP216" s="19"/>
      <c r="AQ216" s="19"/>
      <c r="AR216" s="19"/>
      <c r="AS216" s="19"/>
      <c r="AT216" s="19"/>
      <c r="AU216" s="19"/>
      <c r="AV216" s="19"/>
      <c r="AW216" s="19"/>
      <c r="AX216" s="19"/>
    </row>
    <row r="217" spans="1:50">
      <c r="A217" s="4" t="s">
        <v>653</v>
      </c>
      <c r="B217" s="4"/>
      <c r="C217" s="4"/>
      <c r="D217" s="4"/>
      <c r="E217" s="4"/>
      <c r="F217" s="312" t="e">
        <f t="shared" si="417"/>
        <v>#DIV/0!</v>
      </c>
      <c r="G217" s="312" t="e">
        <f t="shared" si="417"/>
        <v>#DIV/0!</v>
      </c>
      <c r="H217" s="312" t="e">
        <f t="shared" si="417"/>
        <v>#DIV/0!</v>
      </c>
      <c r="I217" s="312">
        <f t="shared" si="417"/>
        <v>3.8552950244656436</v>
      </c>
      <c r="J217" s="312">
        <f t="shared" si="417"/>
        <v>-3.984919165444345</v>
      </c>
      <c r="K217" s="312">
        <f t="shared" si="417"/>
        <v>-2.7126343468760417</v>
      </c>
      <c r="L217" s="312">
        <f t="shared" si="417"/>
        <v>1.0003465623253494</v>
      </c>
      <c r="M217" s="312">
        <f t="shared" si="417"/>
        <v>9.6730197519253593</v>
      </c>
      <c r="N217" s="312">
        <f t="shared" si="417"/>
        <v>37.035025017869906</v>
      </c>
      <c r="O217" s="312">
        <f t="shared" si="417"/>
        <v>25.930707983645362</v>
      </c>
      <c r="P217" s="312">
        <f t="shared" si="417"/>
        <v>45.467108899944677</v>
      </c>
      <c r="Q217" s="312">
        <f t="shared" si="417"/>
        <v>29.48827139366248</v>
      </c>
      <c r="R217" s="312">
        <f t="shared" si="417"/>
        <v>17.869164858398712</v>
      </c>
      <c r="S217" s="312">
        <f t="shared" si="417"/>
        <v>25.868933697881058</v>
      </c>
      <c r="T217" s="312">
        <f t="shared" si="417"/>
        <v>14.21230136904108</v>
      </c>
      <c r="U217" s="312">
        <f t="shared" si="417"/>
        <v>15.394639783624298</v>
      </c>
      <c r="V217" s="312">
        <f t="shared" si="417"/>
        <v>20.923311127763668</v>
      </c>
      <c r="W217" s="312">
        <f t="shared" si="417"/>
        <v>10.748929179931732</v>
      </c>
      <c r="X217" s="312">
        <f t="shared" si="417"/>
        <v>5.8652403326799218</v>
      </c>
      <c r="Y217" s="312">
        <f t="shared" si="417"/>
        <v>2.9485840915386197</v>
      </c>
      <c r="Z217" s="312">
        <f t="shared" si="417"/>
        <v>-8.6034160708744025</v>
      </c>
      <c r="AA217" s="312">
        <f t="shared" si="417"/>
        <v>5.1761547513974548</v>
      </c>
      <c r="AB217" s="312">
        <f t="shared" si="417"/>
        <v>21.115315427082692</v>
      </c>
      <c r="AC217" s="312">
        <f t="shared" si="417"/>
        <v>16.50312119681756</v>
      </c>
      <c r="AD217" s="312">
        <f t="shared" si="417"/>
        <v>38.408248338544063</v>
      </c>
      <c r="AE217" s="312">
        <f t="shared" si="417"/>
        <v>38.237459473844737</v>
      </c>
      <c r="AF217" s="312">
        <f t="shared" si="417"/>
        <v>26.023303457106284</v>
      </c>
      <c r="AG217" s="312">
        <f t="shared" si="417"/>
        <v>36.420478519051478</v>
      </c>
      <c r="AH217" s="312"/>
      <c r="AI217" s="312"/>
      <c r="AJ217" s="312"/>
      <c r="AK217" s="4"/>
      <c r="AL217" s="19"/>
      <c r="AM217" s="19"/>
      <c r="AN217" s="19"/>
      <c r="AO217" s="19"/>
      <c r="AP217" s="19"/>
      <c r="AQ217" s="19"/>
      <c r="AR217" s="19"/>
      <c r="AS217" s="19"/>
      <c r="AT217" s="19"/>
      <c r="AU217" s="19"/>
      <c r="AV217" s="19"/>
      <c r="AW217" s="19"/>
      <c r="AX217" s="19"/>
    </row>
    <row r="218" spans="1:50">
      <c r="A218" s="4" t="s">
        <v>656</v>
      </c>
      <c r="B218" s="4"/>
      <c r="C218" s="4"/>
      <c r="D218" s="4"/>
      <c r="E218" s="4"/>
      <c r="F218" s="312">
        <f t="shared" si="417"/>
        <v>-27.914841836990554</v>
      </c>
      <c r="G218" s="312">
        <f t="shared" si="417"/>
        <v>-27.531788194822425</v>
      </c>
      <c r="H218" s="312">
        <f t="shared" si="417"/>
        <v>-25.002155068102905</v>
      </c>
      <c r="I218" s="312">
        <f t="shared" si="417"/>
        <v>22.885124621252739</v>
      </c>
      <c r="J218" s="312">
        <f t="shared" si="417"/>
        <v>2.3111517089527522</v>
      </c>
      <c r="K218" s="312">
        <f t="shared" si="417"/>
        <v>10.577989376228313</v>
      </c>
      <c r="L218" s="312">
        <f t="shared" si="417"/>
        <v>9.3062961151481272</v>
      </c>
      <c r="M218" s="312">
        <f t="shared" si="417"/>
        <v>12.057734249684128</v>
      </c>
      <c r="N218" s="312">
        <f t="shared" si="417"/>
        <v>46.170693352394565</v>
      </c>
      <c r="O218" s="312">
        <f t="shared" si="417"/>
        <v>43.818592640413165</v>
      </c>
      <c r="P218" s="312">
        <f t="shared" si="417"/>
        <v>33.831601869074078</v>
      </c>
      <c r="Q218" s="312">
        <f t="shared" si="417"/>
        <v>38.227637291997432</v>
      </c>
      <c r="R218" s="312">
        <f t="shared" si="417"/>
        <v>20.463116549824733</v>
      </c>
      <c r="S218" s="312">
        <f t="shared" si="417"/>
        <v>11.175653686454922</v>
      </c>
      <c r="T218" s="312">
        <f t="shared" si="417"/>
        <v>13.2275300418637</v>
      </c>
      <c r="U218" s="312">
        <f t="shared" si="417"/>
        <v>12.894214219515421</v>
      </c>
      <c r="V218" s="312">
        <f t="shared" si="417"/>
        <v>9.9829502830252927</v>
      </c>
      <c r="W218" s="312">
        <f t="shared" si="417"/>
        <v>13.689374410919708</v>
      </c>
      <c r="X218" s="312">
        <f t="shared" si="417"/>
        <v>15.555821668540904</v>
      </c>
      <c r="Y218" s="312">
        <f t="shared" si="417"/>
        <v>8.0523988788422365</v>
      </c>
      <c r="Z218" s="312">
        <f t="shared" si="417"/>
        <v>13.82838622960656</v>
      </c>
      <c r="AA218" s="312">
        <f t="shared" si="417"/>
        <v>45.465593245168947</v>
      </c>
      <c r="AB218" s="312">
        <f t="shared" si="417"/>
        <v>47.538240659779539</v>
      </c>
      <c r="AC218" s="312">
        <f t="shared" si="417"/>
        <v>57.878584949074849</v>
      </c>
      <c r="AD218" s="312">
        <f t="shared" si="417"/>
        <v>62.273070633451489</v>
      </c>
      <c r="AE218" s="312">
        <f t="shared" si="417"/>
        <v>21.984818903356906</v>
      </c>
      <c r="AF218" s="312">
        <f t="shared" si="417"/>
        <v>21.918309859154927</v>
      </c>
      <c r="AG218" s="312">
        <f t="shared" si="417"/>
        <v>15.33018130195738</v>
      </c>
      <c r="AH218" s="312"/>
      <c r="AI218" s="312"/>
      <c r="AJ218" s="312"/>
      <c r="AK218" s="4"/>
      <c r="AL218" s="19"/>
      <c r="AM218" s="19"/>
      <c r="AN218" s="19"/>
      <c r="AO218" s="19"/>
      <c r="AP218" s="19"/>
      <c r="AQ218" s="19"/>
      <c r="AR218" s="19"/>
      <c r="AS218" s="19"/>
      <c r="AT218" s="19"/>
      <c r="AU218" s="19"/>
      <c r="AV218" s="19"/>
      <c r="AW218" s="19"/>
      <c r="AX218" s="19"/>
    </row>
    <row r="219" spans="1:50">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row>
    <row r="220" spans="1:50">
      <c r="A220" s="251" t="s">
        <v>659</v>
      </c>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c r="AF220" s="252"/>
      <c r="AG220" s="252"/>
      <c r="AH220" s="252"/>
      <c r="AI220" s="252"/>
      <c r="AJ220" s="252"/>
      <c r="AK220" s="273"/>
      <c r="AL220" s="273"/>
      <c r="AM220" s="273"/>
      <c r="AN220" s="273"/>
      <c r="AO220" s="273"/>
      <c r="AP220" s="273"/>
      <c r="AQ220" s="273"/>
      <c r="AR220" s="273"/>
      <c r="AS220" s="273"/>
      <c r="AT220" s="273"/>
      <c r="AU220" s="273"/>
      <c r="AV220" s="273"/>
      <c r="AW220" s="273"/>
      <c r="AX220" s="273"/>
    </row>
    <row r="221" spans="1:50">
      <c r="A221" s="4" t="s">
        <v>652</v>
      </c>
      <c r="B221" s="260"/>
      <c r="C221" s="260"/>
      <c r="D221" s="260"/>
      <c r="E221" s="260"/>
      <c r="F221" s="312"/>
      <c r="G221" s="312"/>
      <c r="H221" s="312">
        <f t="shared" ref="H221:R221" si="418">H203+G203+F203+E203</f>
        <v>160.29450856221649</v>
      </c>
      <c r="I221" s="312">
        <f t="shared" si="418"/>
        <v>163.08211296529004</v>
      </c>
      <c r="J221" s="312">
        <f t="shared" si="418"/>
        <v>162.04822172441413</v>
      </c>
      <c r="K221" s="312">
        <f t="shared" si="418"/>
        <v>158.15151212916928</v>
      </c>
      <c r="L221" s="312">
        <f t="shared" si="418"/>
        <v>156.5500205693553</v>
      </c>
      <c r="M221" s="312">
        <f t="shared" si="418"/>
        <v>158.46729999999999</v>
      </c>
      <c r="N221" s="312">
        <f t="shared" si="418"/>
        <v>171.59859999999998</v>
      </c>
      <c r="O221" s="312">
        <f t="shared" si="418"/>
        <v>180.75359999999998</v>
      </c>
      <c r="P221" s="312">
        <f t="shared" si="418"/>
        <v>197.36159999999995</v>
      </c>
      <c r="Q221" s="312">
        <f t="shared" si="418"/>
        <v>207.33259999999996</v>
      </c>
      <c r="R221" s="312">
        <f t="shared" si="418"/>
        <v>212.06989999999999</v>
      </c>
      <c r="S221" s="312">
        <f t="shared" ref="S221:AG221" si="419">S203+R203+Q203+P203</f>
        <v>221.22380000000001</v>
      </c>
      <c r="T221" s="312">
        <f t="shared" si="419"/>
        <v>225.5369</v>
      </c>
      <c r="U221" s="312">
        <f t="shared" si="419"/>
        <v>232.66449999999998</v>
      </c>
      <c r="V221" s="312">
        <f t="shared" si="419"/>
        <v>246.22399999999999</v>
      </c>
      <c r="W221" s="312">
        <f t="shared" si="419"/>
        <v>254.54359999999997</v>
      </c>
      <c r="X221" s="312">
        <f t="shared" si="419"/>
        <v>258.40129999999999</v>
      </c>
      <c r="Y221" s="312">
        <f t="shared" si="419"/>
        <v>262.19629999999995</v>
      </c>
      <c r="Z221" s="312">
        <f t="shared" si="419"/>
        <v>254.97769999999997</v>
      </c>
      <c r="AA221" s="312">
        <f t="shared" si="419"/>
        <v>257.89789999999999</v>
      </c>
      <c r="AB221" s="312">
        <f t="shared" si="419"/>
        <v>271.2029</v>
      </c>
      <c r="AC221" s="312">
        <f t="shared" si="419"/>
        <v>280.43639999999999</v>
      </c>
      <c r="AD221" s="312">
        <f t="shared" si="419"/>
        <v>311.01000000000005</v>
      </c>
      <c r="AE221" s="312">
        <f t="shared" si="419"/>
        <v>339.77730000000003</v>
      </c>
      <c r="AF221" s="312">
        <f t="shared" si="419"/>
        <v>363.44730000000004</v>
      </c>
      <c r="AG221" s="312">
        <f t="shared" si="419"/>
        <v>396.23059999999998</v>
      </c>
      <c r="AH221" s="312"/>
      <c r="AI221" s="312"/>
      <c r="AJ221" s="312"/>
      <c r="AK221" s="4"/>
      <c r="AL221" s="19"/>
      <c r="AM221" s="19"/>
      <c r="AN221" s="19"/>
      <c r="AO221" s="19"/>
      <c r="AP221" s="19"/>
      <c r="AQ221" s="19"/>
      <c r="AR221" s="19"/>
      <c r="AS221" s="19"/>
      <c r="AT221" s="19"/>
      <c r="AU221" s="19"/>
      <c r="AV221" s="19"/>
      <c r="AW221" s="19"/>
      <c r="AX221" s="19"/>
    </row>
    <row r="222" spans="1:50">
      <c r="A222" s="4" t="s">
        <v>655</v>
      </c>
      <c r="B222" s="4"/>
      <c r="C222" s="4"/>
      <c r="D222" s="4"/>
      <c r="E222" s="4"/>
      <c r="F222" s="312"/>
      <c r="G222" s="312"/>
      <c r="H222" s="312">
        <f t="shared" ref="H222:H224" si="420">H204+G204+F204+E204</f>
        <v>61.263089498758191</v>
      </c>
      <c r="I222" s="312">
        <f t="shared" ref="I222:I224" si="421">I204+H204+G204+F204</f>
        <v>60.601679188717007</v>
      </c>
      <c r="J222" s="312">
        <f t="shared" ref="J222:J224" si="422">J204+I204+H204+G204</f>
        <v>59.458216414994375</v>
      </c>
      <c r="K222" s="312">
        <f t="shared" ref="K222:K224" si="423">K204+J204+I204+H204</f>
        <v>61.800075175254776</v>
      </c>
      <c r="L222" s="312">
        <f t="shared" ref="L222:L224" si="424">L204+K204+J204+I204</f>
        <v>63.946244655316782</v>
      </c>
      <c r="M222" s="312">
        <f t="shared" ref="M222:M224" si="425">M204+L204+K204+J204</f>
        <v>67.569300000000013</v>
      </c>
      <c r="N222" s="312">
        <f t="shared" ref="N222:N224" si="426">N204+M204+L204+K204</f>
        <v>73.867500000000007</v>
      </c>
      <c r="O222" s="312">
        <f t="shared" ref="O222:O224" si="427">O204+N204+M204+L204</f>
        <v>79.172500000000014</v>
      </c>
      <c r="P222" s="312">
        <f t="shared" ref="P222:P224" si="428">P204+O204+N204+M204</f>
        <v>87.5685</v>
      </c>
      <c r="Q222" s="312">
        <f t="shared" ref="Q222:Q224" si="429">Q204+P204+O204+N204</f>
        <v>96.120999999999995</v>
      </c>
      <c r="R222" s="312">
        <f t="shared" ref="R222:AG224" si="430">R204+Q204+P204+O204</f>
        <v>104.2302</v>
      </c>
      <c r="S222" s="312">
        <f t="shared" si="430"/>
        <v>113.24249999999998</v>
      </c>
      <c r="T222" s="312">
        <f t="shared" si="430"/>
        <v>120.29889999999997</v>
      </c>
      <c r="U222" s="312">
        <f t="shared" si="430"/>
        <v>125.69329999999998</v>
      </c>
      <c r="V222" s="312">
        <f t="shared" si="430"/>
        <v>129.86389999999997</v>
      </c>
      <c r="W222" s="312">
        <f t="shared" si="430"/>
        <v>131.0453</v>
      </c>
      <c r="X222" s="312">
        <f t="shared" si="430"/>
        <v>132.54649999999998</v>
      </c>
      <c r="Y222" s="312">
        <f t="shared" si="430"/>
        <v>131.51909999999998</v>
      </c>
      <c r="Z222" s="312">
        <f t="shared" si="430"/>
        <v>129.92189999999999</v>
      </c>
      <c r="AA222" s="312">
        <f t="shared" si="430"/>
        <v>132.06869999999998</v>
      </c>
      <c r="AB222" s="312">
        <f t="shared" si="430"/>
        <v>139.18770000000001</v>
      </c>
      <c r="AC222" s="312">
        <f t="shared" si="430"/>
        <v>145.90109999999999</v>
      </c>
      <c r="AD222" s="312">
        <f t="shared" si="430"/>
        <v>151.29789999999997</v>
      </c>
      <c r="AE222" s="312">
        <f t="shared" si="430"/>
        <v>161.89919999999998</v>
      </c>
      <c r="AF222" s="312">
        <f t="shared" si="430"/>
        <v>168.71549999999999</v>
      </c>
      <c r="AG222" s="312">
        <f t="shared" si="430"/>
        <v>176.93310000000002</v>
      </c>
      <c r="AH222" s="312"/>
      <c r="AI222" s="312"/>
      <c r="AJ222" s="312"/>
      <c r="AK222" s="4"/>
      <c r="AL222" s="19"/>
      <c r="AM222" s="19"/>
      <c r="AN222" s="19"/>
      <c r="AO222" s="19"/>
      <c r="AP222" s="19"/>
      <c r="AQ222" s="19"/>
      <c r="AR222" s="19"/>
      <c r="AS222" s="19"/>
      <c r="AT222" s="19"/>
      <c r="AU222" s="19"/>
      <c r="AV222" s="19"/>
      <c r="AW222" s="19"/>
      <c r="AX222" s="19"/>
    </row>
    <row r="223" spans="1:50">
      <c r="A223" s="4" t="s">
        <v>653</v>
      </c>
      <c r="B223" s="4"/>
      <c r="C223" s="4"/>
      <c r="D223" s="4"/>
      <c r="E223" s="4"/>
      <c r="F223" s="312"/>
      <c r="G223" s="312"/>
      <c r="H223" s="312">
        <f t="shared" si="420"/>
        <v>221.5575980609747</v>
      </c>
      <c r="I223" s="312">
        <f t="shared" si="421"/>
        <v>223.68379215400705</v>
      </c>
      <c r="J223" s="312">
        <f t="shared" si="422"/>
        <v>221.50643813940849</v>
      </c>
      <c r="K223" s="312">
        <f t="shared" si="423"/>
        <v>219.95158730442407</v>
      </c>
      <c r="L223" s="312">
        <f t="shared" si="424"/>
        <v>220.49626522467207</v>
      </c>
      <c r="M223" s="312">
        <f t="shared" si="425"/>
        <v>226.03660000000002</v>
      </c>
      <c r="N223" s="312">
        <f t="shared" si="426"/>
        <v>245.46610000000001</v>
      </c>
      <c r="O223" s="312">
        <f t="shared" si="427"/>
        <v>259.92609999999996</v>
      </c>
      <c r="P223" s="312">
        <f t="shared" si="428"/>
        <v>284.93009999999998</v>
      </c>
      <c r="Q223" s="312">
        <f t="shared" si="429"/>
        <v>303.45359999999999</v>
      </c>
      <c r="R223" s="312">
        <f t="shared" si="430"/>
        <v>316.30009999999999</v>
      </c>
      <c r="S223" s="312">
        <f t="shared" ref="S223:AG223" si="431">S205+R205+Q205+P205</f>
        <v>334.46629999999993</v>
      </c>
      <c r="T223" s="312">
        <f t="shared" si="431"/>
        <v>345.83579999999995</v>
      </c>
      <c r="U223" s="312">
        <f t="shared" si="431"/>
        <v>358.35779999999994</v>
      </c>
      <c r="V223" s="312">
        <f t="shared" si="431"/>
        <v>376.08789999999999</v>
      </c>
      <c r="W223" s="312">
        <f t="shared" si="431"/>
        <v>385.58890000000002</v>
      </c>
      <c r="X223" s="312">
        <f t="shared" si="431"/>
        <v>390.94780000000003</v>
      </c>
      <c r="Y223" s="312">
        <f t="shared" si="431"/>
        <v>393.71540000000005</v>
      </c>
      <c r="Z223" s="312">
        <f t="shared" si="431"/>
        <v>384.89960000000002</v>
      </c>
      <c r="AA223" s="312">
        <f t="shared" si="431"/>
        <v>389.96659999999997</v>
      </c>
      <c r="AB223" s="312">
        <f t="shared" si="431"/>
        <v>410.39060000000001</v>
      </c>
      <c r="AC223" s="312">
        <f t="shared" si="431"/>
        <v>426.33750000000003</v>
      </c>
      <c r="AD223" s="312">
        <f t="shared" si="431"/>
        <v>462.30790000000002</v>
      </c>
      <c r="AE223" s="312">
        <f t="shared" si="431"/>
        <v>501.67650000000003</v>
      </c>
      <c r="AF223" s="312">
        <f t="shared" si="431"/>
        <v>532.16280000000006</v>
      </c>
      <c r="AG223" s="312">
        <f t="shared" si="431"/>
        <v>573.16370000000006</v>
      </c>
      <c r="AH223" s="312"/>
      <c r="AI223" s="312"/>
      <c r="AJ223" s="312"/>
      <c r="AK223" s="4"/>
      <c r="AL223" s="19"/>
      <c r="AM223" s="19"/>
      <c r="AN223" s="19"/>
      <c r="AO223" s="19"/>
      <c r="AP223" s="19"/>
      <c r="AQ223" s="19"/>
      <c r="AR223" s="19"/>
      <c r="AS223" s="19"/>
      <c r="AT223" s="19"/>
      <c r="AU223" s="19"/>
      <c r="AV223" s="19"/>
      <c r="AW223" s="19"/>
      <c r="AX223" s="19"/>
    </row>
    <row r="224" spans="1:50">
      <c r="A224" s="4" t="s">
        <v>656</v>
      </c>
      <c r="B224" s="4"/>
      <c r="C224" s="4"/>
      <c r="D224" s="4"/>
      <c r="E224" s="4"/>
      <c r="F224" s="312"/>
      <c r="G224" s="312"/>
      <c r="H224" s="312">
        <f t="shared" si="420"/>
        <v>351.27513460584845</v>
      </c>
      <c r="I224" s="312">
        <f t="shared" si="421"/>
        <v>369.4372623546675</v>
      </c>
      <c r="J224" s="312">
        <f t="shared" si="422"/>
        <v>371.41242658824416</v>
      </c>
      <c r="K224" s="312">
        <f t="shared" si="423"/>
        <v>380.89586502583256</v>
      </c>
      <c r="L224" s="312">
        <f t="shared" si="424"/>
        <v>389.90418132849572</v>
      </c>
      <c r="M224" s="312">
        <f t="shared" si="425"/>
        <v>401.66340000000002</v>
      </c>
      <c r="N224" s="312">
        <f t="shared" si="426"/>
        <v>442.03390000000002</v>
      </c>
      <c r="O224" s="312">
        <f t="shared" si="427"/>
        <v>485.47390000000001</v>
      </c>
      <c r="P224" s="312">
        <f t="shared" si="428"/>
        <v>521.26990000000001</v>
      </c>
      <c r="Q224" s="312">
        <f t="shared" si="429"/>
        <v>563.04639999999995</v>
      </c>
      <c r="R224" s="312">
        <f t="shared" si="430"/>
        <v>589.19990000000007</v>
      </c>
      <c r="S224" s="312">
        <f t="shared" ref="S224:AG224" si="432">S206+R206+Q206+P206</f>
        <v>605.13369999999998</v>
      </c>
      <c r="T224" s="312">
        <f t="shared" si="432"/>
        <v>623.86419999999998</v>
      </c>
      <c r="U224" s="312">
        <f t="shared" si="432"/>
        <v>643.34220000000005</v>
      </c>
      <c r="V224" s="312">
        <f t="shared" si="432"/>
        <v>658.71209999999996</v>
      </c>
      <c r="W224" s="312">
        <f t="shared" si="432"/>
        <v>680.41110000000003</v>
      </c>
      <c r="X224" s="312">
        <f t="shared" si="432"/>
        <v>705.35220000000004</v>
      </c>
      <c r="Y224" s="312">
        <f t="shared" si="432"/>
        <v>719.08460000000002</v>
      </c>
      <c r="Z224" s="312">
        <f t="shared" si="432"/>
        <v>742.50040000000001</v>
      </c>
      <c r="AA224" s="312">
        <f t="shared" si="432"/>
        <v>824.43340000000001</v>
      </c>
      <c r="AB224" s="312">
        <f t="shared" si="432"/>
        <v>912.50940000000003</v>
      </c>
      <c r="AC224" s="312">
        <f t="shared" si="432"/>
        <v>1019.1625</v>
      </c>
      <c r="AD224" s="312">
        <f t="shared" si="432"/>
        <v>1139.1920999999998</v>
      </c>
      <c r="AE224" s="312">
        <f t="shared" si="432"/>
        <v>1196.8235</v>
      </c>
      <c r="AF224" s="312">
        <f t="shared" si="432"/>
        <v>1256.7372</v>
      </c>
      <c r="AG224" s="312">
        <f t="shared" si="432"/>
        <v>1301.3362999999999</v>
      </c>
      <c r="AH224" s="312"/>
      <c r="AI224" s="312"/>
      <c r="AJ224" s="312"/>
      <c r="AK224" s="4"/>
      <c r="AL224" s="19"/>
      <c r="AM224" s="19"/>
      <c r="AN224" s="19"/>
      <c r="AO224" s="19"/>
      <c r="AP224" s="19"/>
      <c r="AQ224" s="19"/>
      <c r="AR224" s="19"/>
      <c r="AS224" s="19"/>
      <c r="AT224" s="19"/>
      <c r="AU224" s="19"/>
      <c r="AV224" s="19"/>
      <c r="AW224" s="19"/>
      <c r="AX224" s="19"/>
    </row>
    <row r="225" spans="1:50" ht="13.5" customHeight="1">
      <c r="A225" s="4"/>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c r="AB225" s="249"/>
      <c r="AC225" s="249"/>
      <c r="AD225" s="249"/>
      <c r="AE225" s="249"/>
      <c r="AF225" s="249"/>
      <c r="AG225" s="249"/>
      <c r="AH225" s="249"/>
      <c r="AI225" s="249"/>
      <c r="AJ225" s="249"/>
      <c r="AK225" s="9"/>
      <c r="AL225" s="4"/>
      <c r="AM225" s="4"/>
      <c r="AN225" s="4"/>
      <c r="AO225" s="4"/>
      <c r="AP225" s="4"/>
      <c r="AQ225" s="4"/>
      <c r="AR225" s="4"/>
      <c r="AS225" s="4"/>
      <c r="AT225" s="4"/>
      <c r="AU225" s="4"/>
      <c r="AV225" s="4"/>
      <c r="AW225" s="4"/>
      <c r="AX225" s="4"/>
    </row>
    <row r="226" spans="1:50">
      <c r="A226" s="251" t="s">
        <v>660</v>
      </c>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c r="AA226" s="252"/>
      <c r="AB226" s="252"/>
      <c r="AC226" s="252"/>
      <c r="AD226" s="252"/>
      <c r="AE226" s="252"/>
      <c r="AF226" s="252"/>
      <c r="AG226" s="252"/>
      <c r="AH226" s="252"/>
      <c r="AI226" s="252"/>
      <c r="AJ226" s="252"/>
      <c r="AK226" s="273"/>
      <c r="AL226" s="273"/>
      <c r="AM226" s="273"/>
      <c r="AN226" s="273"/>
      <c r="AO226" s="273"/>
      <c r="AP226" s="273"/>
      <c r="AQ226" s="273"/>
      <c r="AR226" s="273"/>
      <c r="AS226" s="273"/>
      <c r="AT226" s="273"/>
      <c r="AU226" s="273"/>
      <c r="AV226" s="273"/>
      <c r="AW226" s="273"/>
      <c r="AX226" s="273"/>
    </row>
    <row r="227" spans="1:50">
      <c r="A227" s="4" t="s">
        <v>652</v>
      </c>
      <c r="B227" s="260"/>
      <c r="C227" s="260"/>
      <c r="D227" s="260"/>
      <c r="E227" s="260"/>
      <c r="F227" s="312"/>
      <c r="G227" s="312"/>
      <c r="H227" s="312"/>
      <c r="I227" s="312"/>
      <c r="J227" s="312"/>
      <c r="K227" s="312"/>
      <c r="L227" s="312">
        <f t="shared" ref="L227:AG227" si="433">(L221/H221-1)*100</f>
        <v>-2.3360051610300858</v>
      </c>
      <c r="M227" s="312">
        <f t="shared" si="433"/>
        <v>-2.8297480829625021</v>
      </c>
      <c r="N227" s="312">
        <f t="shared" si="433"/>
        <v>5.8935409311850373</v>
      </c>
      <c r="O227" s="312">
        <f t="shared" si="433"/>
        <v>14.291414332080855</v>
      </c>
      <c r="P227" s="312">
        <f t="shared" si="433"/>
        <v>26.069354243594091</v>
      </c>
      <c r="Q227" s="312">
        <f t="shared" si="433"/>
        <v>30.836204062289173</v>
      </c>
      <c r="R227" s="312">
        <f t="shared" si="433"/>
        <v>23.584866076995969</v>
      </c>
      <c r="S227" s="312">
        <f t="shared" si="433"/>
        <v>22.389706207787864</v>
      </c>
      <c r="T227" s="312">
        <f t="shared" si="433"/>
        <v>14.275978711157622</v>
      </c>
      <c r="U227" s="312">
        <f t="shared" si="433"/>
        <v>12.218001414152923</v>
      </c>
      <c r="V227" s="312">
        <f t="shared" si="433"/>
        <v>16.105114398601582</v>
      </c>
      <c r="W227" s="312">
        <f t="shared" si="433"/>
        <v>15.061580173561783</v>
      </c>
      <c r="X227" s="312">
        <f t="shared" si="433"/>
        <v>14.571628855411234</v>
      </c>
      <c r="Y227" s="312">
        <f t="shared" si="433"/>
        <v>12.692868916401068</v>
      </c>
      <c r="Z227" s="312">
        <f t="shared" si="433"/>
        <v>3.5551773994411562</v>
      </c>
      <c r="AA227" s="312">
        <f t="shared" si="433"/>
        <v>1.3177703151837417</v>
      </c>
      <c r="AB227" s="312">
        <f t="shared" si="433"/>
        <v>4.9541546424108684</v>
      </c>
      <c r="AC227" s="312">
        <f t="shared" si="433"/>
        <v>6.9566580458992222</v>
      </c>
      <c r="AD227" s="312">
        <f t="shared" si="433"/>
        <v>21.975372748283519</v>
      </c>
      <c r="AE227" s="312">
        <f t="shared" si="433"/>
        <v>31.748765693710588</v>
      </c>
      <c r="AF227" s="312">
        <f t="shared" si="433"/>
        <v>34.01305811995374</v>
      </c>
      <c r="AG227" s="312">
        <f t="shared" si="433"/>
        <v>41.290716896950606</v>
      </c>
      <c r="AH227" s="312"/>
      <c r="AI227" s="312"/>
      <c r="AJ227" s="312"/>
      <c r="AK227" s="4"/>
      <c r="AL227" s="19"/>
      <c r="AM227" s="19"/>
      <c r="AN227" s="19"/>
      <c r="AO227" s="19"/>
      <c r="AP227" s="19"/>
      <c r="AQ227" s="19"/>
      <c r="AR227" s="19"/>
      <c r="AS227" s="19"/>
      <c r="AT227" s="19"/>
      <c r="AU227" s="19"/>
      <c r="AV227" s="19"/>
      <c r="AW227" s="19"/>
      <c r="AX227" s="19"/>
    </row>
    <row r="228" spans="1:50">
      <c r="A228" s="4" t="s">
        <v>655</v>
      </c>
      <c r="B228" s="4"/>
      <c r="C228" s="4"/>
      <c r="D228" s="4"/>
      <c r="E228" s="4"/>
      <c r="F228" s="312"/>
      <c r="G228" s="312"/>
      <c r="H228" s="312"/>
      <c r="I228" s="312"/>
      <c r="J228" s="312"/>
      <c r="K228" s="312"/>
      <c r="L228" s="312">
        <f t="shared" ref="L228:AG228" si="434">(L222/H222-1)*100</f>
        <v>4.379725506029164</v>
      </c>
      <c r="M228" s="312">
        <f t="shared" si="434"/>
        <v>11.49740552499452</v>
      </c>
      <c r="N228" s="312">
        <f t="shared" si="434"/>
        <v>24.234301756437905</v>
      </c>
      <c r="O228" s="312">
        <f t="shared" si="434"/>
        <v>28.11068558651413</v>
      </c>
      <c r="P228" s="312">
        <f t="shared" si="434"/>
        <v>36.940801562330925</v>
      </c>
      <c r="Q228" s="312">
        <f t="shared" si="434"/>
        <v>42.255432570708848</v>
      </c>
      <c r="R228" s="312">
        <f t="shared" si="434"/>
        <v>41.104274545639143</v>
      </c>
      <c r="S228" s="312">
        <f t="shared" si="434"/>
        <v>43.032618649152113</v>
      </c>
      <c r="T228" s="312">
        <f t="shared" si="434"/>
        <v>37.376910647093389</v>
      </c>
      <c r="U228" s="312">
        <f t="shared" si="434"/>
        <v>30.765701563654126</v>
      </c>
      <c r="V228" s="312">
        <f t="shared" si="434"/>
        <v>24.593352022734273</v>
      </c>
      <c r="W228" s="312">
        <f t="shared" si="434"/>
        <v>15.720952822482737</v>
      </c>
      <c r="X228" s="312">
        <f t="shared" si="434"/>
        <v>10.180974223371964</v>
      </c>
      <c r="Y228" s="312">
        <f t="shared" si="434"/>
        <v>4.6349328086700003</v>
      </c>
      <c r="Z228" s="312">
        <f t="shared" si="434"/>
        <v>4.4662142442986053E-2</v>
      </c>
      <c r="AA228" s="312">
        <f t="shared" si="434"/>
        <v>0.78095131988706878</v>
      </c>
      <c r="AB228" s="312">
        <f t="shared" si="434"/>
        <v>5.0104680244291933</v>
      </c>
      <c r="AC228" s="312">
        <f t="shared" si="434"/>
        <v>10.935293809036107</v>
      </c>
      <c r="AD228" s="312">
        <f t="shared" si="434"/>
        <v>16.45296135601464</v>
      </c>
      <c r="AE228" s="312">
        <f t="shared" si="434"/>
        <v>22.587108073298225</v>
      </c>
      <c r="AF228" s="312">
        <f t="shared" si="434"/>
        <v>21.214374546026683</v>
      </c>
      <c r="AG228" s="312">
        <f t="shared" si="434"/>
        <v>21.269202219859928</v>
      </c>
      <c r="AH228" s="312"/>
      <c r="AI228" s="312"/>
      <c r="AJ228" s="312"/>
      <c r="AK228" s="4"/>
      <c r="AL228" s="19"/>
      <c r="AM228" s="19"/>
      <c r="AN228" s="19"/>
      <c r="AO228" s="19"/>
      <c r="AP228" s="19"/>
      <c r="AQ228" s="19"/>
      <c r="AR228" s="19"/>
      <c r="AS228" s="19"/>
      <c r="AT228" s="19"/>
      <c r="AU228" s="19"/>
      <c r="AV228" s="19"/>
      <c r="AW228" s="19"/>
      <c r="AX228" s="19"/>
    </row>
    <row r="229" spans="1:50">
      <c r="A229" s="4" t="s">
        <v>653</v>
      </c>
      <c r="B229" s="4"/>
      <c r="C229" s="4"/>
      <c r="D229" s="4"/>
      <c r="E229" s="4"/>
      <c r="F229" s="312"/>
      <c r="G229" s="312"/>
      <c r="H229" s="312"/>
      <c r="I229" s="312"/>
      <c r="J229" s="312"/>
      <c r="K229" s="312"/>
      <c r="L229" s="312">
        <f t="shared" ref="L229:AG229" si="435">(L223/H223-1)*100</f>
        <v>-0.47903247082978773</v>
      </c>
      <c r="M229" s="312">
        <f t="shared" si="435"/>
        <v>1.0518454749609552</v>
      </c>
      <c r="N229" s="312">
        <f t="shared" si="435"/>
        <v>10.816688698462173</v>
      </c>
      <c r="O229" s="312">
        <f t="shared" si="435"/>
        <v>18.174232423360138</v>
      </c>
      <c r="P229" s="312">
        <f t="shared" si="435"/>
        <v>29.222188733978705</v>
      </c>
      <c r="Q229" s="312">
        <f t="shared" si="435"/>
        <v>34.249763091463926</v>
      </c>
      <c r="R229" s="312">
        <f t="shared" si="435"/>
        <v>28.856937882664834</v>
      </c>
      <c r="S229" s="312">
        <f t="shared" si="435"/>
        <v>28.677458708455973</v>
      </c>
      <c r="T229" s="312">
        <f t="shared" si="435"/>
        <v>21.375663715416504</v>
      </c>
      <c r="U229" s="312">
        <f t="shared" si="435"/>
        <v>18.093112093578711</v>
      </c>
      <c r="V229" s="312">
        <f t="shared" si="435"/>
        <v>18.902238728346909</v>
      </c>
      <c r="W229" s="312">
        <f t="shared" si="435"/>
        <v>15.284828396762284</v>
      </c>
      <c r="X229" s="312">
        <f t="shared" si="435"/>
        <v>13.044340695786861</v>
      </c>
      <c r="Y229" s="312">
        <f t="shared" si="435"/>
        <v>9.8665635295227538</v>
      </c>
      <c r="Z229" s="312">
        <f t="shared" si="435"/>
        <v>2.3429894979338783</v>
      </c>
      <c r="AA229" s="312">
        <f t="shared" si="435"/>
        <v>1.1353283250632895</v>
      </c>
      <c r="AB229" s="312">
        <f t="shared" si="435"/>
        <v>4.9732470677670948</v>
      </c>
      <c r="AC229" s="312">
        <f t="shared" si="435"/>
        <v>8.2857058677410009</v>
      </c>
      <c r="AD229" s="312">
        <f t="shared" si="435"/>
        <v>20.111296556296754</v>
      </c>
      <c r="AE229" s="312">
        <f t="shared" si="435"/>
        <v>28.646017376872802</v>
      </c>
      <c r="AF229" s="312">
        <f t="shared" si="435"/>
        <v>29.672268321935256</v>
      </c>
      <c r="AG229" s="312">
        <f t="shared" si="435"/>
        <v>34.438959744334021</v>
      </c>
      <c r="AH229" s="312"/>
      <c r="AI229" s="312"/>
      <c r="AJ229" s="312"/>
      <c r="AK229" s="4"/>
      <c r="AL229" s="19"/>
      <c r="AM229" s="19"/>
      <c r="AN229" s="19"/>
      <c r="AO229" s="19"/>
      <c r="AP229" s="19"/>
      <c r="AQ229" s="19"/>
      <c r="AR229" s="19"/>
      <c r="AS229" s="19"/>
      <c r="AT229" s="19"/>
      <c r="AU229" s="19"/>
      <c r="AV229" s="19"/>
      <c r="AW229" s="19"/>
      <c r="AX229" s="19"/>
    </row>
    <row r="230" spans="1:50">
      <c r="A230" s="4" t="s">
        <v>656</v>
      </c>
      <c r="B230" s="4"/>
      <c r="C230" s="4"/>
      <c r="D230" s="4"/>
      <c r="E230" s="4"/>
      <c r="F230" s="312"/>
      <c r="G230" s="312"/>
      <c r="H230" s="312"/>
      <c r="I230" s="312"/>
      <c r="J230" s="312"/>
      <c r="K230" s="312"/>
      <c r="L230" s="312">
        <f t="shared" ref="L230:AG230" si="436">(L224/H224-1)*100</f>
        <v>10.996806467953203</v>
      </c>
      <c r="M230" s="312">
        <f t="shared" si="436"/>
        <v>8.7230339029512383</v>
      </c>
      <c r="N230" s="312">
        <f t="shared" si="436"/>
        <v>19.014300103116465</v>
      </c>
      <c r="O230" s="312">
        <f t="shared" si="436"/>
        <v>27.455807367999373</v>
      </c>
      <c r="P230" s="312">
        <f t="shared" si="436"/>
        <v>33.69179530824988</v>
      </c>
      <c r="Q230" s="312">
        <f t="shared" si="436"/>
        <v>40.178667013225478</v>
      </c>
      <c r="R230" s="312">
        <f t="shared" si="436"/>
        <v>33.292921651484207</v>
      </c>
      <c r="S230" s="312">
        <f t="shared" si="436"/>
        <v>24.648039781335296</v>
      </c>
      <c r="T230" s="312">
        <f t="shared" si="436"/>
        <v>19.6816083184546</v>
      </c>
      <c r="U230" s="312">
        <f t="shared" si="436"/>
        <v>14.260956113030844</v>
      </c>
      <c r="V230" s="312">
        <f t="shared" si="436"/>
        <v>11.797727732132991</v>
      </c>
      <c r="W230" s="312">
        <f t="shared" si="436"/>
        <v>12.439796362357614</v>
      </c>
      <c r="X230" s="312">
        <f t="shared" si="436"/>
        <v>13.061816978759166</v>
      </c>
      <c r="Y230" s="312">
        <f t="shared" si="436"/>
        <v>11.773267788122709</v>
      </c>
      <c r="Z230" s="312">
        <f t="shared" si="436"/>
        <v>12.720018350960927</v>
      </c>
      <c r="AA230" s="312">
        <f t="shared" si="436"/>
        <v>21.166953331596151</v>
      </c>
      <c r="AB230" s="312">
        <f t="shared" si="436"/>
        <v>29.36932783366948</v>
      </c>
      <c r="AC230" s="312">
        <f t="shared" si="436"/>
        <v>41.730541858357142</v>
      </c>
      <c r="AD230" s="312">
        <f t="shared" si="436"/>
        <v>53.426462800558717</v>
      </c>
      <c r="AE230" s="312">
        <f t="shared" si="436"/>
        <v>45.169215609168667</v>
      </c>
      <c r="AF230" s="312">
        <f t="shared" si="436"/>
        <v>37.723205919851345</v>
      </c>
      <c r="AG230" s="312">
        <f t="shared" si="436"/>
        <v>27.686831099064179</v>
      </c>
      <c r="AH230" s="312"/>
      <c r="AI230" s="312"/>
      <c r="AJ230" s="312"/>
      <c r="AK230" s="4"/>
      <c r="AL230" s="19"/>
      <c r="AM230" s="19"/>
      <c r="AN230" s="19"/>
      <c r="AO230" s="19"/>
      <c r="AP230" s="19"/>
      <c r="AQ230" s="19"/>
      <c r="AR230" s="19"/>
      <c r="AS230" s="19"/>
      <c r="AT230" s="19"/>
      <c r="AU230" s="19"/>
      <c r="AV230" s="19"/>
      <c r="AW230" s="19"/>
      <c r="AX230" s="19"/>
    </row>
    <row r="231" spans="1:50" ht="13.5" customHeight="1">
      <c r="A231" s="4"/>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c r="AB231" s="249"/>
      <c r="AC231" s="249"/>
      <c r="AD231" s="249"/>
      <c r="AE231" s="249"/>
      <c r="AF231" s="249"/>
      <c r="AG231" s="249"/>
      <c r="AH231" s="249"/>
      <c r="AI231" s="249"/>
      <c r="AJ231" s="249"/>
      <c r="AK231" s="9"/>
      <c r="AL231" s="4"/>
      <c r="AM231" s="4"/>
      <c r="AN231" s="4"/>
      <c r="AO231" s="4"/>
      <c r="AP231" s="4"/>
      <c r="AQ231" s="4"/>
      <c r="AR231" s="4"/>
      <c r="AS231" s="4"/>
      <c r="AT231" s="4"/>
      <c r="AU231" s="4"/>
      <c r="AV231" s="4"/>
      <c r="AW231" s="4"/>
      <c r="AX231" s="4"/>
    </row>
    <row r="232" spans="1:50">
      <c r="A232" s="251" t="s">
        <v>661</v>
      </c>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c r="AK232" s="273"/>
      <c r="AL232" s="273"/>
      <c r="AM232" s="273"/>
      <c r="AN232" s="273"/>
      <c r="AO232" s="273"/>
      <c r="AP232" s="273"/>
      <c r="AQ232" s="273"/>
      <c r="AR232" s="273"/>
      <c r="AS232" s="273"/>
      <c r="AT232" s="273"/>
      <c r="AU232" s="273"/>
      <c r="AV232" s="273"/>
      <c r="AW232" s="273"/>
      <c r="AX232" s="273"/>
    </row>
    <row r="233" spans="1:50">
      <c r="A233" s="4" t="s">
        <v>662</v>
      </c>
      <c r="B233" s="14">
        <v>9764</v>
      </c>
      <c r="C233" s="14">
        <v>10025</v>
      </c>
      <c r="D233" s="14">
        <v>10144</v>
      </c>
      <c r="E233" s="14">
        <v>10263</v>
      </c>
      <c r="F233" s="14">
        <v>10297</v>
      </c>
      <c r="G233" s="14">
        <v>10800</v>
      </c>
      <c r="H233" s="14">
        <v>10849</v>
      </c>
      <c r="I233" s="14">
        <v>11156</v>
      </c>
      <c r="J233" s="14">
        <v>10598</v>
      </c>
      <c r="K233" s="14">
        <v>11162</v>
      </c>
      <c r="L233" s="14">
        <v>11424</v>
      </c>
      <c r="M233" s="14">
        <v>12391</v>
      </c>
      <c r="N233" s="14">
        <v>20491</v>
      </c>
      <c r="O233" s="14">
        <v>20786</v>
      </c>
      <c r="P233" s="14">
        <v>22130</v>
      </c>
      <c r="Q233" s="14">
        <v>22500</v>
      </c>
      <c r="R233" s="14">
        <v>22742</v>
      </c>
      <c r="S233" s="14">
        <v>22991</v>
      </c>
      <c r="T233" s="14">
        <v>22505</v>
      </c>
      <c r="U233" s="14">
        <v>23224</v>
      </c>
      <c r="V233" s="14">
        <v>24224</v>
      </c>
      <c r="W233" s="14">
        <v>24638</v>
      </c>
      <c r="X233" s="14">
        <v>24607</v>
      </c>
      <c r="Y233" s="14">
        <v>24726</v>
      </c>
      <c r="Z233" s="14">
        <v>26111</v>
      </c>
      <c r="AA233" s="14">
        <v>31991</v>
      </c>
      <c r="AB233" s="14">
        <v>32615</v>
      </c>
      <c r="AC233" s="14">
        <v>33023</v>
      </c>
      <c r="AD233" s="14">
        <v>34187</v>
      </c>
      <c r="AE233" s="14">
        <v>34896</v>
      </c>
      <c r="AF233" s="14">
        <v>35341</v>
      </c>
      <c r="AG233" s="14">
        <v>35777</v>
      </c>
      <c r="AH233" s="14"/>
      <c r="AI233" s="14"/>
      <c r="AJ233" s="14"/>
      <c r="AK233" s="14">
        <v>9423</v>
      </c>
      <c r="AL233" s="14">
        <v>10263</v>
      </c>
      <c r="AM233" s="14">
        <v>11156</v>
      </c>
      <c r="AN233" s="14">
        <v>12391</v>
      </c>
      <c r="AO233" s="14">
        <v>22500</v>
      </c>
      <c r="AP233" s="14">
        <v>23224</v>
      </c>
      <c r="AQ233" s="14">
        <v>24726</v>
      </c>
      <c r="AR233" s="14">
        <f>AC233</f>
        <v>33023</v>
      </c>
      <c r="AS233" s="14">
        <f>AG233</f>
        <v>35777</v>
      </c>
      <c r="AT233" s="14"/>
      <c r="AU233" s="14"/>
      <c r="AV233" s="14"/>
      <c r="AW233" s="14"/>
      <c r="AX233" s="14"/>
    </row>
    <row r="234" spans="1:50">
      <c r="A234" s="4" t="s">
        <v>316</v>
      </c>
      <c r="B234" s="13">
        <v>341</v>
      </c>
      <c r="C234" s="13">
        <f t="shared" ref="C234:D234" si="437">C233-B233</f>
        <v>261</v>
      </c>
      <c r="D234" s="13">
        <f t="shared" si="437"/>
        <v>119</v>
      </c>
      <c r="E234" s="13">
        <f t="shared" ref="E234:AG234" si="438">E233-D233</f>
        <v>119</v>
      </c>
      <c r="F234" s="13">
        <f t="shared" si="438"/>
        <v>34</v>
      </c>
      <c r="G234" s="13">
        <f t="shared" si="438"/>
        <v>503</v>
      </c>
      <c r="H234" s="13">
        <f t="shared" si="438"/>
        <v>49</v>
      </c>
      <c r="I234" s="13">
        <f t="shared" si="438"/>
        <v>307</v>
      </c>
      <c r="J234" s="13">
        <f t="shared" si="438"/>
        <v>-558</v>
      </c>
      <c r="K234" s="13">
        <f t="shared" si="438"/>
        <v>564</v>
      </c>
      <c r="L234" s="13">
        <f t="shared" si="438"/>
        <v>262</v>
      </c>
      <c r="M234" s="13">
        <f t="shared" si="438"/>
        <v>967</v>
      </c>
      <c r="N234" s="13">
        <f t="shared" si="438"/>
        <v>8100</v>
      </c>
      <c r="O234" s="13">
        <f t="shared" si="438"/>
        <v>295</v>
      </c>
      <c r="P234" s="13">
        <f t="shared" si="438"/>
        <v>1344</v>
      </c>
      <c r="Q234" s="13">
        <f t="shared" si="438"/>
        <v>370</v>
      </c>
      <c r="R234" s="13">
        <f t="shared" si="438"/>
        <v>242</v>
      </c>
      <c r="S234" s="13">
        <f t="shared" si="438"/>
        <v>249</v>
      </c>
      <c r="T234" s="13">
        <f t="shared" si="438"/>
        <v>-486</v>
      </c>
      <c r="U234" s="13">
        <f t="shared" si="438"/>
        <v>719</v>
      </c>
      <c r="V234" s="13">
        <f t="shared" si="438"/>
        <v>1000</v>
      </c>
      <c r="W234" s="13">
        <f t="shared" si="438"/>
        <v>414</v>
      </c>
      <c r="X234" s="13">
        <f t="shared" si="438"/>
        <v>-31</v>
      </c>
      <c r="Y234" s="13">
        <f t="shared" si="438"/>
        <v>119</v>
      </c>
      <c r="Z234" s="13">
        <f t="shared" si="438"/>
        <v>1385</v>
      </c>
      <c r="AA234" s="13">
        <f t="shared" si="438"/>
        <v>5880</v>
      </c>
      <c r="AB234" s="13">
        <f t="shared" si="438"/>
        <v>624</v>
      </c>
      <c r="AC234" s="13">
        <f t="shared" si="438"/>
        <v>408</v>
      </c>
      <c r="AD234" s="13">
        <f t="shared" si="438"/>
        <v>1164</v>
      </c>
      <c r="AE234" s="13">
        <f t="shared" si="438"/>
        <v>709</v>
      </c>
      <c r="AF234" s="13">
        <f t="shared" si="438"/>
        <v>445</v>
      </c>
      <c r="AG234" s="13">
        <f t="shared" si="438"/>
        <v>436</v>
      </c>
      <c r="AH234" s="13"/>
      <c r="AI234" s="13"/>
      <c r="AJ234" s="13"/>
      <c r="AK234" s="13" t="e">
        <f>AK233-#REF!</f>
        <v>#REF!</v>
      </c>
      <c r="AL234" s="13">
        <f>AL233-AK233</f>
        <v>840</v>
      </c>
      <c r="AM234" s="13">
        <f>AM233-AL233</f>
        <v>893</v>
      </c>
      <c r="AN234" s="13">
        <f>AN233-AM233</f>
        <v>1235</v>
      </c>
      <c r="AO234" s="13">
        <f t="shared" ref="AO234:AS234" si="439">AO233-AN233</f>
        <v>10109</v>
      </c>
      <c r="AP234" s="13">
        <f t="shared" si="439"/>
        <v>724</v>
      </c>
      <c r="AQ234" s="13">
        <f t="shared" si="439"/>
        <v>1502</v>
      </c>
      <c r="AR234" s="13">
        <f t="shared" si="439"/>
        <v>8297</v>
      </c>
      <c r="AS234" s="13">
        <f t="shared" si="439"/>
        <v>2754</v>
      </c>
      <c r="AT234" s="13"/>
      <c r="AU234" s="13"/>
      <c r="AV234" s="13"/>
      <c r="AW234" s="13"/>
      <c r="AX234" s="13"/>
    </row>
    <row r="235" spans="1:50">
      <c r="A235" s="4" t="s">
        <v>663</v>
      </c>
      <c r="B235" s="13"/>
      <c r="C235" s="13"/>
      <c r="D235" s="13"/>
      <c r="E235" s="13"/>
      <c r="F235" s="13"/>
      <c r="G235" s="13"/>
      <c r="H235" s="13"/>
      <c r="I235" s="13"/>
      <c r="J235" s="13"/>
      <c r="K235" s="13"/>
      <c r="L235" s="13"/>
      <c r="M235" s="13"/>
      <c r="N235" s="13"/>
      <c r="O235" s="13"/>
      <c r="P235" s="13"/>
      <c r="Q235" s="13"/>
      <c r="R235" s="13"/>
      <c r="S235" s="13"/>
      <c r="T235" s="13"/>
      <c r="U235" s="13"/>
      <c r="V235" s="9">
        <f t="shared" ref="V235:Z235" si="440">V233/U233-1</f>
        <v>4.305890458146755E-2</v>
      </c>
      <c r="W235" s="9">
        <f t="shared" si="440"/>
        <v>1.7090488771466239E-2</v>
      </c>
      <c r="X235" s="9">
        <f t="shared" si="440"/>
        <v>-1.2582190112834235E-3</v>
      </c>
      <c r="Y235" s="9">
        <f t="shared" si="440"/>
        <v>4.836022270085838E-3</v>
      </c>
      <c r="Z235" s="9">
        <f t="shared" si="440"/>
        <v>5.6013912480789463E-2</v>
      </c>
      <c r="AA235" s="9">
        <f t="shared" ref="AA235:AG235" si="441">AA233/Z233-1</f>
        <v>0.22519244762743673</v>
      </c>
      <c r="AB235" s="9">
        <f t="shared" si="441"/>
        <v>1.9505485917914456E-2</v>
      </c>
      <c r="AC235" s="9">
        <f t="shared" si="441"/>
        <v>1.2509581480913745E-2</v>
      </c>
      <c r="AD235" s="9">
        <f t="shared" si="441"/>
        <v>3.5248160373073212E-2</v>
      </c>
      <c r="AE235" s="9">
        <f t="shared" si="441"/>
        <v>2.0738877351039964E-2</v>
      </c>
      <c r="AF235" s="9">
        <f t="shared" si="441"/>
        <v>1.2752177900045902E-2</v>
      </c>
      <c r="AG235" s="9">
        <f t="shared" si="441"/>
        <v>1.2336945757052797E-2</v>
      </c>
      <c r="AH235" s="9"/>
      <c r="AI235" s="9"/>
      <c r="AJ235" s="9"/>
      <c r="AK235" s="14">
        <v>1080</v>
      </c>
      <c r="AL235" s="13"/>
      <c r="AM235" s="13"/>
      <c r="AN235" s="13"/>
      <c r="AO235" s="13"/>
      <c r="AP235" s="13"/>
      <c r="AQ235" s="13"/>
      <c r="AR235" s="13"/>
      <c r="AS235" s="13"/>
      <c r="AT235" s="13"/>
      <c r="AU235" s="13"/>
      <c r="AV235" s="13"/>
      <c r="AW235" s="13"/>
      <c r="AX235" s="13"/>
    </row>
    <row r="236" spans="1:50">
      <c r="A236" s="4" t="s">
        <v>664</v>
      </c>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4"/>
      <c r="AL236" s="13"/>
      <c r="AM236" s="13"/>
      <c r="AN236" s="14">
        <f>AO236/6</f>
        <v>280</v>
      </c>
      <c r="AO236" s="14">
        <v>1680</v>
      </c>
      <c r="AP236" s="14"/>
      <c r="AQ236" s="14"/>
      <c r="AR236" s="14"/>
      <c r="AS236" s="14"/>
      <c r="AT236" s="14"/>
      <c r="AU236" s="14"/>
      <c r="AV236" s="14"/>
      <c r="AW236" s="14"/>
      <c r="AX236" s="14"/>
    </row>
    <row r="237" spans="1:50">
      <c r="A237" s="4"/>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row>
    <row r="238" spans="1:50">
      <c r="A238" s="4" t="s">
        <v>665</v>
      </c>
      <c r="B238" s="13"/>
      <c r="C238" s="13"/>
      <c r="D238" s="13"/>
      <c r="E238" s="13"/>
      <c r="F238" s="13"/>
      <c r="G238" s="13"/>
      <c r="H238" s="13"/>
      <c r="I238" s="13"/>
      <c r="J238" s="13"/>
      <c r="K238" s="13"/>
      <c r="L238" s="13"/>
      <c r="M238" s="13"/>
      <c r="N238" s="13"/>
      <c r="O238" s="13"/>
      <c r="P238" s="13"/>
      <c r="Q238" s="13"/>
      <c r="R238" s="13">
        <v>700</v>
      </c>
      <c r="S238" s="13">
        <v>550</v>
      </c>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row>
    <row r="239" spans="1:50">
      <c r="A239" s="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row>
    <row r="240" spans="1:50">
      <c r="A240" s="4" t="s">
        <v>666</v>
      </c>
      <c r="B240" s="13">
        <v>2217</v>
      </c>
      <c r="C240" s="13">
        <f t="shared" ref="C240:D240" si="442">C241+C242</f>
        <v>2369</v>
      </c>
      <c r="D240" s="13">
        <f t="shared" si="442"/>
        <v>2408</v>
      </c>
      <c r="E240" s="13">
        <f t="shared" ref="E240:Q240" si="443">E241+E242</f>
        <v>2345</v>
      </c>
      <c r="F240" s="13">
        <f t="shared" si="443"/>
        <v>2429</v>
      </c>
      <c r="G240" s="13">
        <f t="shared" si="443"/>
        <v>2468</v>
      </c>
      <c r="H240" s="13">
        <f t="shared" si="443"/>
        <v>2451</v>
      </c>
      <c r="I240" s="13">
        <f t="shared" si="443"/>
        <v>2451</v>
      </c>
      <c r="J240" s="13">
        <f t="shared" si="443"/>
        <v>2260</v>
      </c>
      <c r="K240" s="13">
        <f t="shared" si="443"/>
        <v>2524</v>
      </c>
      <c r="L240" s="13">
        <f t="shared" si="443"/>
        <v>2506</v>
      </c>
      <c r="M240" s="13">
        <f t="shared" si="443"/>
        <v>2536</v>
      </c>
      <c r="N240" s="13">
        <f t="shared" si="443"/>
        <v>3361</v>
      </c>
      <c r="O240" s="13">
        <f t="shared" si="443"/>
        <v>3458</v>
      </c>
      <c r="P240" s="13">
        <f t="shared" si="443"/>
        <v>3360</v>
      </c>
      <c r="Q240" s="13">
        <f t="shared" si="443"/>
        <v>0</v>
      </c>
      <c r="R240" s="13"/>
      <c r="S240" s="13"/>
      <c r="T240" s="13"/>
      <c r="U240" s="13"/>
      <c r="V240" s="13"/>
      <c r="W240" s="13"/>
      <c r="X240" s="13"/>
      <c r="Y240" s="13"/>
      <c r="Z240" s="13"/>
      <c r="AA240" s="13"/>
      <c r="AB240" s="13"/>
      <c r="AC240" s="13"/>
      <c r="AD240" s="13"/>
      <c r="AE240" s="13"/>
      <c r="AF240" s="13"/>
      <c r="AG240" s="13"/>
      <c r="AH240" s="13"/>
      <c r="AI240" s="13"/>
      <c r="AJ240" s="13"/>
      <c r="AK240" s="13">
        <f>AK241+AK242</f>
        <v>2088</v>
      </c>
      <c r="AL240" s="13">
        <f>AL241+AL242</f>
        <v>2345</v>
      </c>
      <c r="AM240" s="13">
        <f>AM241+AM242</f>
        <v>2451</v>
      </c>
      <c r="AN240" s="13">
        <f>AN241+AN242</f>
        <v>2536</v>
      </c>
      <c r="AO240" s="13"/>
      <c r="AP240" s="13"/>
      <c r="AQ240" s="13"/>
      <c r="AR240" s="13"/>
      <c r="AS240" s="13"/>
      <c r="AT240" s="13"/>
      <c r="AU240" s="13"/>
      <c r="AV240" s="13"/>
      <c r="AW240" s="13"/>
      <c r="AX240" s="13"/>
    </row>
    <row r="241" spans="1:50">
      <c r="A241" s="258" t="s">
        <v>667</v>
      </c>
      <c r="B241" s="14">
        <v>2217</v>
      </c>
      <c r="C241" s="14">
        <v>2369</v>
      </c>
      <c r="D241" s="14">
        <v>2408</v>
      </c>
      <c r="E241" s="14">
        <v>2345</v>
      </c>
      <c r="F241" s="14">
        <v>2429</v>
      </c>
      <c r="G241" s="14">
        <v>2468</v>
      </c>
      <c r="H241" s="14">
        <v>2451</v>
      </c>
      <c r="I241" s="14">
        <v>2451</v>
      </c>
      <c r="J241" s="14">
        <v>2260</v>
      </c>
      <c r="K241" s="14">
        <v>2523</v>
      </c>
      <c r="L241" s="14">
        <v>2505</v>
      </c>
      <c r="M241" s="14">
        <v>2536</v>
      </c>
      <c r="N241" s="14">
        <f>3332</f>
        <v>3332</v>
      </c>
      <c r="O241" s="14">
        <v>3420</v>
      </c>
      <c r="P241" s="14">
        <v>3322</v>
      </c>
      <c r="Q241" s="14"/>
      <c r="R241" s="14"/>
      <c r="S241" s="14"/>
      <c r="T241" s="14"/>
      <c r="U241" s="14"/>
      <c r="V241" s="14"/>
      <c r="W241" s="14"/>
      <c r="X241" s="14"/>
      <c r="Y241" s="14"/>
      <c r="Z241" s="14"/>
      <c r="AA241" s="14"/>
      <c r="AB241" s="14"/>
      <c r="AC241" s="14"/>
      <c r="AD241" s="14"/>
      <c r="AE241" s="14"/>
      <c r="AF241" s="14"/>
      <c r="AG241" s="14"/>
      <c r="AH241" s="14"/>
      <c r="AI241" s="14"/>
      <c r="AJ241" s="14"/>
      <c r="AK241" s="14">
        <v>2088</v>
      </c>
      <c r="AL241" s="14">
        <v>2345</v>
      </c>
      <c r="AM241" s="14">
        <v>2451</v>
      </c>
      <c r="AN241" s="14">
        <v>2536</v>
      </c>
      <c r="AO241" s="14"/>
      <c r="AP241" s="14"/>
      <c r="AQ241" s="14"/>
      <c r="AR241" s="14"/>
      <c r="AS241" s="14"/>
      <c r="AT241" s="14"/>
      <c r="AU241" s="14"/>
      <c r="AV241" s="14"/>
      <c r="AW241" s="14"/>
      <c r="AX241" s="14"/>
    </row>
    <row r="242" spans="1:50">
      <c r="A242" s="258" t="s">
        <v>668</v>
      </c>
      <c r="B242" s="14"/>
      <c r="C242" s="14"/>
      <c r="D242" s="14"/>
      <c r="E242" s="14"/>
      <c r="F242" s="14"/>
      <c r="G242" s="14"/>
      <c r="H242" s="14"/>
      <c r="I242" s="14"/>
      <c r="J242" s="14"/>
      <c r="K242" s="14">
        <v>1</v>
      </c>
      <c r="L242" s="14">
        <v>1</v>
      </c>
      <c r="M242" s="14"/>
      <c r="N242" s="14">
        <v>29</v>
      </c>
      <c r="O242" s="14">
        <v>38</v>
      </c>
      <c r="P242" s="14">
        <v>38</v>
      </c>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row>
    <row r="243" spans="1:50">
      <c r="A243" s="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row>
    <row r="244" spans="1:50">
      <c r="A244" s="4" t="s">
        <v>669</v>
      </c>
      <c r="B244" s="13">
        <v>6684</v>
      </c>
      <c r="C244" s="13">
        <f t="shared" ref="C244:J244" si="444">C245+C246</f>
        <v>2369</v>
      </c>
      <c r="D244" s="13">
        <f t="shared" si="444"/>
        <v>6881</v>
      </c>
      <c r="E244" s="13">
        <f t="shared" si="444"/>
        <v>7018</v>
      </c>
      <c r="F244" s="13">
        <f t="shared" si="444"/>
        <v>7063</v>
      </c>
      <c r="G244" s="13">
        <f t="shared" si="444"/>
        <v>7453</v>
      </c>
      <c r="H244" s="13">
        <f t="shared" si="444"/>
        <v>7515</v>
      </c>
      <c r="I244" s="13">
        <f t="shared" si="444"/>
        <v>7823</v>
      </c>
      <c r="J244" s="13">
        <f t="shared" si="444"/>
        <v>7476</v>
      </c>
      <c r="K244" s="13">
        <f t="shared" ref="K244:P244" si="445">K245+K246</f>
        <v>7757</v>
      </c>
      <c r="L244" s="13">
        <f t="shared" si="445"/>
        <v>8032</v>
      </c>
      <c r="M244" s="13">
        <f t="shared" si="445"/>
        <v>8933</v>
      </c>
      <c r="N244" s="13">
        <f t="shared" si="445"/>
        <v>15978</v>
      </c>
      <c r="O244" s="13">
        <f t="shared" si="445"/>
        <v>16121</v>
      </c>
      <c r="P244" s="13">
        <f t="shared" si="445"/>
        <v>17578</v>
      </c>
      <c r="Q244" s="13"/>
      <c r="R244" s="13"/>
      <c r="S244" s="13"/>
      <c r="T244" s="13"/>
      <c r="U244" s="13"/>
      <c r="V244" s="13"/>
      <c r="W244" s="13"/>
      <c r="X244" s="13"/>
      <c r="Y244" s="13"/>
      <c r="Z244" s="13"/>
      <c r="AA244" s="13"/>
      <c r="AB244" s="13"/>
      <c r="AC244" s="13"/>
      <c r="AD244" s="13"/>
      <c r="AE244" s="13"/>
      <c r="AF244" s="13"/>
      <c r="AG244" s="13"/>
      <c r="AH244" s="13"/>
      <c r="AI244" s="13"/>
      <c r="AJ244" s="13"/>
      <c r="AK244" s="13">
        <f>AK245+AK246</f>
        <v>6500</v>
      </c>
      <c r="AL244" s="13">
        <f>AL245+AL246</f>
        <v>7018</v>
      </c>
      <c r="AM244" s="13">
        <f>AM245+AM246</f>
        <v>7823</v>
      </c>
      <c r="AN244" s="13">
        <f>AN245+AN246</f>
        <v>8933</v>
      </c>
      <c r="AO244" s="13"/>
      <c r="AP244" s="13"/>
      <c r="AQ244" s="13"/>
      <c r="AR244" s="13"/>
      <c r="AS244" s="13"/>
      <c r="AT244" s="13"/>
      <c r="AU244" s="13"/>
      <c r="AV244" s="13"/>
      <c r="AW244" s="13"/>
      <c r="AX244" s="13"/>
    </row>
    <row r="245" spans="1:50">
      <c r="A245" s="258" t="s">
        <v>667</v>
      </c>
      <c r="B245" s="14">
        <v>6684</v>
      </c>
      <c r="C245" s="14">
        <v>2369</v>
      </c>
      <c r="D245" s="14">
        <v>6881</v>
      </c>
      <c r="E245" s="14">
        <v>7018</v>
      </c>
      <c r="F245" s="14">
        <v>7063</v>
      </c>
      <c r="G245" s="14">
        <v>7453</v>
      </c>
      <c r="H245" s="14">
        <v>7515</v>
      </c>
      <c r="I245" s="14">
        <v>7823</v>
      </c>
      <c r="J245" s="14">
        <v>7476</v>
      </c>
      <c r="K245" s="14">
        <v>7264</v>
      </c>
      <c r="L245" s="14">
        <v>7612</v>
      </c>
      <c r="M245" s="14">
        <v>8933</v>
      </c>
      <c r="N245" s="14">
        <v>8889</v>
      </c>
      <c r="O245" s="14">
        <v>9615</v>
      </c>
      <c r="P245" s="14">
        <v>10800</v>
      </c>
      <c r="Q245" s="14"/>
      <c r="R245" s="14"/>
      <c r="S245" s="14"/>
      <c r="T245" s="14"/>
      <c r="U245" s="14"/>
      <c r="V245" s="14"/>
      <c r="W245" s="14"/>
      <c r="X245" s="14"/>
      <c r="Y245" s="14"/>
      <c r="Z245" s="14"/>
      <c r="AA245" s="14"/>
      <c r="AB245" s="14"/>
      <c r="AC245" s="14"/>
      <c r="AD245" s="14"/>
      <c r="AE245" s="14"/>
      <c r="AF245" s="14"/>
      <c r="AG245" s="14"/>
      <c r="AH245" s="14"/>
      <c r="AI245" s="14"/>
      <c r="AJ245" s="14"/>
      <c r="AK245" s="14">
        <v>6500</v>
      </c>
      <c r="AL245" s="14">
        <v>7018</v>
      </c>
      <c r="AM245" s="14">
        <v>7823</v>
      </c>
      <c r="AN245" s="14">
        <v>8933</v>
      </c>
      <c r="AO245" s="14"/>
      <c r="AP245" s="14"/>
      <c r="AQ245" s="14"/>
      <c r="AR245" s="14"/>
      <c r="AS245" s="14"/>
      <c r="AT245" s="14"/>
      <c r="AU245" s="14"/>
      <c r="AV245" s="14"/>
      <c r="AW245" s="14"/>
      <c r="AX245" s="14"/>
    </row>
    <row r="246" spans="1:50">
      <c r="A246" s="258" t="s">
        <v>668</v>
      </c>
      <c r="B246" s="14"/>
      <c r="C246" s="14"/>
      <c r="D246" s="14"/>
      <c r="E246" s="14"/>
      <c r="F246" s="14"/>
      <c r="G246" s="14"/>
      <c r="H246" s="14"/>
      <c r="I246" s="14"/>
      <c r="J246" s="14"/>
      <c r="K246" s="14">
        <v>493</v>
      </c>
      <c r="L246" s="14">
        <v>420</v>
      </c>
      <c r="M246" s="14"/>
      <c r="N246" s="14">
        <v>7089</v>
      </c>
      <c r="O246" s="14">
        <v>6506</v>
      </c>
      <c r="P246" s="14">
        <v>6778</v>
      </c>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row>
    <row r="247" spans="1:50">
      <c r="A247" s="258"/>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row>
    <row r="248" spans="1:50">
      <c r="A248" s="258" t="s">
        <v>670</v>
      </c>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row>
    <row r="249" spans="1:50">
      <c r="A249" s="366" t="s">
        <v>671</v>
      </c>
      <c r="B249" s="14"/>
      <c r="C249" s="14"/>
      <c r="D249" s="14"/>
      <c r="E249" s="14"/>
      <c r="F249" s="14"/>
      <c r="G249" s="14"/>
      <c r="H249" s="14"/>
      <c r="I249" s="14"/>
      <c r="J249" s="14"/>
      <c r="K249" s="14"/>
      <c r="L249" s="14"/>
      <c r="M249" s="14"/>
      <c r="N249" s="14">
        <f t="shared" ref="N249:O249" si="446">N241+N245</f>
        <v>12221</v>
      </c>
      <c r="O249" s="14">
        <f t="shared" si="446"/>
        <v>13035</v>
      </c>
      <c r="P249" s="14">
        <f>P241+P245</f>
        <v>14122</v>
      </c>
      <c r="Q249" s="14">
        <v>14903</v>
      </c>
      <c r="R249" s="14">
        <v>15448</v>
      </c>
      <c r="S249" s="14">
        <v>15912</v>
      </c>
      <c r="T249" s="14">
        <v>15721</v>
      </c>
      <c r="U249" s="14">
        <v>16182</v>
      </c>
      <c r="V249" s="14">
        <v>16827</v>
      </c>
      <c r="W249" s="14">
        <v>17106</v>
      </c>
      <c r="X249" s="14">
        <v>16897</v>
      </c>
      <c r="Y249" s="14">
        <v>16930</v>
      </c>
      <c r="Z249" s="14">
        <v>17471</v>
      </c>
      <c r="AA249" s="14">
        <v>22886</v>
      </c>
      <c r="AB249" s="14">
        <v>23015</v>
      </c>
      <c r="AC249" s="14">
        <v>23068</v>
      </c>
      <c r="AD249" s="14">
        <v>24097</v>
      </c>
      <c r="AE249" s="14">
        <v>24375</v>
      </c>
      <c r="AF249" s="14">
        <v>24673</v>
      </c>
      <c r="AG249" s="14">
        <v>25062</v>
      </c>
      <c r="AH249" s="14"/>
      <c r="AI249" s="14"/>
      <c r="AJ249" s="14"/>
      <c r="AK249" s="14"/>
      <c r="AL249" s="14"/>
      <c r="AM249" s="14"/>
      <c r="AN249" s="14"/>
      <c r="AO249" s="14">
        <v>14903</v>
      </c>
      <c r="AP249" s="14">
        <v>16182</v>
      </c>
      <c r="AQ249" s="14">
        <v>16930</v>
      </c>
      <c r="AR249" s="14">
        <f>AC249</f>
        <v>23068</v>
      </c>
      <c r="AS249" s="14">
        <f>AG249</f>
        <v>25062</v>
      </c>
      <c r="AT249" s="14"/>
      <c r="AU249" s="14"/>
      <c r="AV249" s="14"/>
      <c r="AW249" s="14"/>
      <c r="AX249" s="14"/>
    </row>
    <row r="250" spans="1:50">
      <c r="A250" s="366" t="s">
        <v>672</v>
      </c>
      <c r="B250" s="14"/>
      <c r="C250" s="14"/>
      <c r="D250" s="14"/>
      <c r="E250" s="14"/>
      <c r="F250" s="14"/>
      <c r="G250" s="14"/>
      <c r="H250" s="14"/>
      <c r="I250" s="14"/>
      <c r="J250" s="14"/>
      <c r="K250" s="14"/>
      <c r="L250" s="14"/>
      <c r="M250" s="14"/>
      <c r="N250" s="14">
        <f t="shared" ref="N250:O250" si="447">N242+N246</f>
        <v>7118</v>
      </c>
      <c r="O250" s="14">
        <f t="shared" si="447"/>
        <v>6544</v>
      </c>
      <c r="P250" s="14">
        <f>P242+P246</f>
        <v>6816</v>
      </c>
      <c r="Q250" s="14">
        <v>6391</v>
      </c>
      <c r="R250" s="14">
        <v>6046</v>
      </c>
      <c r="S250" s="14">
        <v>5780</v>
      </c>
      <c r="T250" s="14">
        <v>5432</v>
      </c>
      <c r="U250" s="14">
        <v>5633</v>
      </c>
      <c r="V250" s="14">
        <v>5935</v>
      </c>
      <c r="W250" s="14">
        <v>6025</v>
      </c>
      <c r="X250" s="14">
        <v>6210</v>
      </c>
      <c r="Y250" s="14">
        <v>6313</v>
      </c>
      <c r="Z250" s="14">
        <v>7093</v>
      </c>
      <c r="AA250" s="14">
        <v>7548</v>
      </c>
      <c r="AB250" s="14">
        <v>7966</v>
      </c>
      <c r="AC250" s="14">
        <v>7820</v>
      </c>
      <c r="AD250" s="14">
        <v>7916</v>
      </c>
      <c r="AE250" s="14">
        <v>8335</v>
      </c>
      <c r="AF250" s="14">
        <v>8505</v>
      </c>
      <c r="AG250" s="14">
        <v>8581</v>
      </c>
      <c r="AH250" s="14"/>
      <c r="AI250" s="14"/>
      <c r="AJ250" s="14"/>
      <c r="AK250" s="14"/>
      <c r="AL250" s="14"/>
      <c r="AM250" s="14"/>
      <c r="AN250" s="14"/>
      <c r="AO250" s="14">
        <v>6391</v>
      </c>
      <c r="AP250" s="14">
        <v>5633</v>
      </c>
      <c r="AQ250" s="14">
        <v>6313</v>
      </c>
      <c r="AR250" s="14">
        <f>AC250</f>
        <v>7820</v>
      </c>
      <c r="AS250" s="14">
        <f>AG250</f>
        <v>8581</v>
      </c>
      <c r="AT250" s="14"/>
      <c r="AU250" s="14"/>
      <c r="AV250" s="14"/>
      <c r="AW250" s="14"/>
      <c r="AX250" s="14"/>
    </row>
    <row r="251" spans="1:50">
      <c r="A251" s="258"/>
      <c r="B251" s="14"/>
      <c r="C251" s="14"/>
      <c r="D251" s="14"/>
      <c r="E251" s="14"/>
      <c r="F251" s="14"/>
      <c r="G251" s="14"/>
      <c r="H251" s="14"/>
      <c r="I251" s="14"/>
      <c r="J251" s="14"/>
      <c r="K251" s="14"/>
      <c r="L251" s="14"/>
      <c r="M251" s="14"/>
      <c r="N251" s="14"/>
      <c r="O251" s="14"/>
      <c r="P251" s="14"/>
      <c r="Q251" s="14"/>
      <c r="R251" s="14"/>
      <c r="S251" s="14"/>
      <c r="T251" s="575"/>
      <c r="U251" s="327"/>
      <c r="V251" s="327"/>
      <c r="W251" s="327"/>
      <c r="Z251" s="327">
        <f t="shared" ref="Z251:AG251" si="448">Z250/V250-1</f>
        <v>0.19511373209772542</v>
      </c>
      <c r="AA251" s="327">
        <f t="shared" si="448"/>
        <v>0.25278008298755195</v>
      </c>
      <c r="AB251" s="327">
        <f t="shared" si="448"/>
        <v>0.28276972624798713</v>
      </c>
      <c r="AC251" s="327">
        <f t="shared" si="448"/>
        <v>0.23871376524631716</v>
      </c>
      <c r="AD251" s="327">
        <f t="shared" si="448"/>
        <v>0.11602988862258568</v>
      </c>
      <c r="AE251" s="9">
        <f t="shared" si="448"/>
        <v>0.104266030736619</v>
      </c>
      <c r="AF251" s="9">
        <f t="shared" si="448"/>
        <v>6.7662565905096672E-2</v>
      </c>
      <c r="AG251" s="9">
        <f t="shared" si="448"/>
        <v>9.7314578005115004E-2</v>
      </c>
      <c r="AH251" s="327"/>
      <c r="AI251" s="327"/>
      <c r="AJ251" s="327"/>
      <c r="AK251" s="14"/>
      <c r="AL251" s="14"/>
      <c r="AM251" s="14"/>
      <c r="AN251" s="14"/>
      <c r="AO251" s="14"/>
      <c r="AP251" s="14"/>
      <c r="AQ251" s="14"/>
      <c r="AR251" s="14"/>
      <c r="AS251" s="14"/>
      <c r="AT251" s="14"/>
      <c r="AU251" s="14"/>
      <c r="AV251" s="14"/>
      <c r="AW251" s="14"/>
      <c r="AX251" s="14"/>
    </row>
    <row r="252" spans="1:50">
      <c r="A252" s="258" t="s">
        <v>673</v>
      </c>
      <c r="B252" s="14"/>
      <c r="C252" s="14"/>
      <c r="D252" s="14"/>
      <c r="E252" s="14"/>
      <c r="F252" s="14"/>
      <c r="G252" s="14"/>
      <c r="H252" s="14"/>
      <c r="I252" s="14"/>
      <c r="J252" s="14"/>
      <c r="K252" s="14"/>
      <c r="L252" s="14"/>
      <c r="M252" s="14"/>
      <c r="N252" s="14"/>
      <c r="O252" s="122">
        <f t="shared" ref="O252:AE252" si="449">O249-N249</f>
        <v>814</v>
      </c>
      <c r="P252" s="122">
        <f t="shared" si="449"/>
        <v>1087</v>
      </c>
      <c r="Q252" s="122">
        <f t="shared" si="449"/>
        <v>781</v>
      </c>
      <c r="R252" s="122">
        <f t="shared" si="449"/>
        <v>545</v>
      </c>
      <c r="S252" s="122">
        <f t="shared" si="449"/>
        <v>464</v>
      </c>
      <c r="T252" s="122">
        <f t="shared" si="449"/>
        <v>-191</v>
      </c>
      <c r="U252" s="122">
        <f t="shared" si="449"/>
        <v>461</v>
      </c>
      <c r="V252" s="122">
        <f t="shared" si="449"/>
        <v>645</v>
      </c>
      <c r="W252" s="122">
        <f t="shared" si="449"/>
        <v>279</v>
      </c>
      <c r="X252" s="122">
        <f t="shared" si="449"/>
        <v>-209</v>
      </c>
      <c r="Y252" s="122">
        <f t="shared" si="449"/>
        <v>33</v>
      </c>
      <c r="Z252" s="122">
        <f t="shared" si="449"/>
        <v>541</v>
      </c>
      <c r="AA252" s="122">
        <f t="shared" si="449"/>
        <v>5415</v>
      </c>
      <c r="AB252" s="122">
        <f t="shared" si="449"/>
        <v>129</v>
      </c>
      <c r="AC252" s="122">
        <f t="shared" si="449"/>
        <v>53</v>
      </c>
      <c r="AD252" s="122">
        <f t="shared" si="449"/>
        <v>1029</v>
      </c>
      <c r="AE252" s="122">
        <f t="shared" si="449"/>
        <v>278</v>
      </c>
      <c r="AF252" s="122">
        <f>AF249-AE249</f>
        <v>298</v>
      </c>
      <c r="AG252" s="122">
        <f>AG249-AF249</f>
        <v>389</v>
      </c>
      <c r="AH252" s="122"/>
      <c r="AI252" s="122"/>
      <c r="AJ252" s="122"/>
      <c r="AK252" s="14"/>
      <c r="AL252" s="14"/>
      <c r="AM252" s="14"/>
      <c r="AN252" s="14"/>
      <c r="AO252" s="14"/>
      <c r="AP252" s="14"/>
      <c r="AQ252" s="14"/>
      <c r="AR252" s="14"/>
      <c r="AS252" s="14"/>
      <c r="AT252" s="14"/>
      <c r="AU252" s="14"/>
      <c r="AV252" s="14"/>
      <c r="AW252" s="14"/>
      <c r="AX252" s="14"/>
    </row>
    <row r="253" spans="1:50">
      <c r="A253" s="258" t="s">
        <v>674</v>
      </c>
      <c r="B253" s="14"/>
      <c r="C253" s="14"/>
      <c r="D253" s="14"/>
      <c r="E253" s="14"/>
      <c r="F253" s="14"/>
      <c r="G253" s="14"/>
      <c r="H253" s="14"/>
      <c r="I253" s="14"/>
      <c r="J253" s="14"/>
      <c r="K253" s="14"/>
      <c r="L253" s="14"/>
      <c r="M253" s="14"/>
      <c r="N253" s="14"/>
      <c r="O253" s="122">
        <f t="shared" ref="O253:Z253" si="450">O250-N250</f>
        <v>-574</v>
      </c>
      <c r="P253" s="122">
        <f t="shared" si="450"/>
        <v>272</v>
      </c>
      <c r="Q253" s="122">
        <f t="shared" si="450"/>
        <v>-425</v>
      </c>
      <c r="R253" s="122">
        <f t="shared" si="450"/>
        <v>-345</v>
      </c>
      <c r="S253" s="122">
        <f t="shared" si="450"/>
        <v>-266</v>
      </c>
      <c r="T253" s="122">
        <f t="shared" si="450"/>
        <v>-348</v>
      </c>
      <c r="U253" s="122">
        <f t="shared" si="450"/>
        <v>201</v>
      </c>
      <c r="V253" s="122">
        <f t="shared" si="450"/>
        <v>302</v>
      </c>
      <c r="W253" s="122">
        <f t="shared" si="450"/>
        <v>90</v>
      </c>
      <c r="X253" s="122">
        <f t="shared" si="450"/>
        <v>185</v>
      </c>
      <c r="Y253" s="122">
        <f t="shared" si="450"/>
        <v>103</v>
      </c>
      <c r="Z253" s="608">
        <f t="shared" si="450"/>
        <v>780</v>
      </c>
      <c r="AA253" s="608">
        <f t="shared" ref="AA253:AG253" si="451">AA250-Z250</f>
        <v>455</v>
      </c>
      <c r="AB253" s="608">
        <f t="shared" si="451"/>
        <v>418</v>
      </c>
      <c r="AC253" s="608">
        <f t="shared" si="451"/>
        <v>-146</v>
      </c>
      <c r="AD253" s="608">
        <f t="shared" si="451"/>
        <v>96</v>
      </c>
      <c r="AE253" s="608">
        <f t="shared" si="451"/>
        <v>419</v>
      </c>
      <c r="AF253" s="608">
        <f t="shared" si="451"/>
        <v>170</v>
      </c>
      <c r="AG253" s="608">
        <f t="shared" si="451"/>
        <v>76</v>
      </c>
      <c r="AH253" s="608"/>
      <c r="AI253" s="608"/>
      <c r="AJ253" s="608"/>
      <c r="AK253" s="14"/>
      <c r="AL253" s="14"/>
      <c r="AM253" s="14"/>
      <c r="AN253" s="14"/>
      <c r="AO253" s="14"/>
      <c r="AP253" s="14"/>
      <c r="AQ253" s="14"/>
      <c r="AR253" s="14"/>
      <c r="AS253" s="14"/>
      <c r="AT253" s="14"/>
      <c r="AU253" s="14"/>
      <c r="AV253" s="14"/>
      <c r="AW253" s="14"/>
      <c r="AX253" s="14"/>
    </row>
    <row r="254" spans="1:50">
      <c r="A254" s="258"/>
      <c r="B254" s="14"/>
      <c r="C254" s="14"/>
      <c r="D254" s="14"/>
      <c r="E254" s="14"/>
      <c r="F254" s="14"/>
      <c r="G254" s="14"/>
      <c r="H254" s="14"/>
      <c r="I254" s="14"/>
      <c r="J254" s="14"/>
      <c r="K254" s="14"/>
      <c r="L254" s="14"/>
      <c r="M254" s="14"/>
      <c r="N254" s="14"/>
      <c r="O254" s="14"/>
      <c r="P254" s="14"/>
      <c r="Q254" s="14"/>
      <c r="R254" s="14"/>
      <c r="S254" s="14"/>
      <c r="T254" s="575"/>
      <c r="U254" s="327"/>
      <c r="V254" s="327"/>
      <c r="W254" s="327"/>
      <c r="X254" s="327"/>
      <c r="Y254" s="327"/>
      <c r="Z254" s="327"/>
      <c r="AA254" s="327"/>
      <c r="AB254" s="327"/>
      <c r="AC254" s="327"/>
      <c r="AD254" s="327"/>
      <c r="AE254" s="327"/>
      <c r="AF254" s="327"/>
      <c r="AG254" s="327"/>
      <c r="AH254" s="327"/>
      <c r="AI254" s="327"/>
      <c r="AJ254" s="327"/>
      <c r="AK254" s="14"/>
      <c r="AL254" s="14"/>
      <c r="AM254" s="14"/>
      <c r="AN254" s="14"/>
      <c r="AO254" s="14"/>
      <c r="AP254" s="14"/>
      <c r="AQ254" s="14"/>
      <c r="AR254" s="14"/>
      <c r="AS254" s="14"/>
      <c r="AT254" s="14"/>
      <c r="AU254" s="14"/>
      <c r="AV254" s="14"/>
      <c r="AW254" s="14"/>
      <c r="AX254" s="14"/>
    </row>
    <row r="255" spans="1:50">
      <c r="A255" s="4" t="s">
        <v>675</v>
      </c>
      <c r="B255" s="13">
        <v>8901</v>
      </c>
      <c r="C255" s="13">
        <f t="shared" ref="C255:D255" si="452">C244+C240</f>
        <v>4738</v>
      </c>
      <c r="D255" s="13">
        <f t="shared" si="452"/>
        <v>9289</v>
      </c>
      <c r="E255" s="13">
        <f t="shared" ref="E255:M255" si="453">E244+E240</f>
        <v>9363</v>
      </c>
      <c r="F255" s="13">
        <f t="shared" si="453"/>
        <v>9492</v>
      </c>
      <c r="G255" s="13">
        <f t="shared" si="453"/>
        <v>9921</v>
      </c>
      <c r="H255" s="13">
        <f t="shared" si="453"/>
        <v>9966</v>
      </c>
      <c r="I255" s="13">
        <f t="shared" si="453"/>
        <v>10274</v>
      </c>
      <c r="J255" s="13">
        <f t="shared" si="453"/>
        <v>9736</v>
      </c>
      <c r="K255" s="13">
        <f t="shared" si="453"/>
        <v>10281</v>
      </c>
      <c r="L255" s="13">
        <f t="shared" si="453"/>
        <v>10538</v>
      </c>
      <c r="M255" s="13">
        <f t="shared" si="453"/>
        <v>11469</v>
      </c>
      <c r="N255" s="13">
        <f>N244+N240</f>
        <v>19339</v>
      </c>
      <c r="O255" s="13">
        <f>O244+O240</f>
        <v>19579</v>
      </c>
      <c r="P255" s="13">
        <f>P244+P240</f>
        <v>20938</v>
      </c>
      <c r="Q255" s="13">
        <f t="shared" ref="Q255:V255" si="454">Q249+Q250</f>
        <v>21294</v>
      </c>
      <c r="R255" s="13">
        <f t="shared" si="454"/>
        <v>21494</v>
      </c>
      <c r="S255" s="13">
        <f t="shared" si="454"/>
        <v>21692</v>
      </c>
      <c r="T255" s="13">
        <f t="shared" si="454"/>
        <v>21153</v>
      </c>
      <c r="U255" s="13">
        <f>U249+U250</f>
        <v>21815</v>
      </c>
      <c r="V255" s="13">
        <f t="shared" si="454"/>
        <v>22762</v>
      </c>
      <c r="W255" s="13">
        <f>W249+W250</f>
        <v>23131</v>
      </c>
      <c r="X255" s="13">
        <f>X249+X250</f>
        <v>23107</v>
      </c>
      <c r="Y255" s="13">
        <f>Y249+Y250</f>
        <v>23243</v>
      </c>
      <c r="Z255" s="13">
        <f t="shared" ref="Z255:AA255" si="455">Z249+Z250</f>
        <v>24564</v>
      </c>
      <c r="AA255" s="13">
        <f t="shared" si="455"/>
        <v>30434</v>
      </c>
      <c r="AB255" s="13">
        <f t="shared" ref="AB255:AC255" si="456">AB249+AB250</f>
        <v>30981</v>
      </c>
      <c r="AC255" s="13">
        <f t="shared" si="456"/>
        <v>30888</v>
      </c>
      <c r="AD255" s="13">
        <f t="shared" ref="AD255:AE255" si="457">AD249+AD250</f>
        <v>32013</v>
      </c>
      <c r="AE255" s="13">
        <f t="shared" si="457"/>
        <v>32710</v>
      </c>
      <c r="AF255" s="13">
        <f t="shared" ref="AF255:AG255" si="458">AF249+AF250</f>
        <v>33178</v>
      </c>
      <c r="AG255" s="13">
        <f t="shared" si="458"/>
        <v>33643</v>
      </c>
      <c r="AH255" s="13"/>
      <c r="AI255" s="13"/>
      <c r="AJ255" s="13"/>
      <c r="AK255" s="13">
        <f>AK244+AK240</f>
        <v>8588</v>
      </c>
      <c r="AL255" s="13">
        <f>AL244+AL240</f>
        <v>9363</v>
      </c>
      <c r="AM255" s="13">
        <f>AM244+AM240</f>
        <v>10274</v>
      </c>
      <c r="AN255" s="13">
        <f>AN244+AN240</f>
        <v>11469</v>
      </c>
      <c r="AO255" s="13">
        <f>AO249+AO250</f>
        <v>21294</v>
      </c>
      <c r="AP255" s="13">
        <f t="shared" ref="AP255:AQ255" si="459">AP249+AP250</f>
        <v>21815</v>
      </c>
      <c r="AQ255" s="13">
        <f t="shared" si="459"/>
        <v>23243</v>
      </c>
      <c r="AR255" s="13">
        <f t="shared" ref="AR255:AS255" si="460">AR249+AR250</f>
        <v>30888</v>
      </c>
      <c r="AS255" s="13">
        <f t="shared" si="460"/>
        <v>33643</v>
      </c>
      <c r="AT255" s="13"/>
      <c r="AU255" s="13"/>
      <c r="AV255" s="13"/>
      <c r="AW255" s="13"/>
      <c r="AX255" s="13"/>
    </row>
    <row r="256" spans="1:50">
      <c r="A256" s="4" t="s">
        <v>312</v>
      </c>
      <c r="B256" s="14">
        <v>221</v>
      </c>
      <c r="C256" s="14">
        <f>123+94</f>
        <v>217</v>
      </c>
      <c r="D256" s="14">
        <f>114+94</f>
        <v>208</v>
      </c>
      <c r="E256" s="14">
        <f>122+89</f>
        <v>211</v>
      </c>
      <c r="F256" s="14">
        <v>141</v>
      </c>
      <c r="G256" s="14">
        <v>185</v>
      </c>
      <c r="H256" s="14">
        <v>185</v>
      </c>
      <c r="I256" s="13">
        <v>170</v>
      </c>
      <c r="J256" s="14">
        <v>184</v>
      </c>
      <c r="K256" s="14">
        <v>191</v>
      </c>
      <c r="L256" s="14">
        <v>189</v>
      </c>
      <c r="M256" s="14">
        <v>188</v>
      </c>
      <c r="N256" s="14">
        <v>258</v>
      </c>
      <c r="O256" s="14">
        <v>297</v>
      </c>
      <c r="P256" s="14">
        <v>281</v>
      </c>
      <c r="Q256" s="14">
        <v>278</v>
      </c>
      <c r="R256" s="14">
        <v>285</v>
      </c>
      <c r="S256" s="14">
        <v>291</v>
      </c>
      <c r="T256" s="14">
        <v>317</v>
      </c>
      <c r="U256" s="14">
        <v>350</v>
      </c>
      <c r="V256" s="14">
        <v>363</v>
      </c>
      <c r="W256" s="14">
        <v>360</v>
      </c>
      <c r="X256" s="14">
        <v>368</v>
      </c>
      <c r="Y256" s="14">
        <v>388</v>
      </c>
      <c r="Z256" s="14">
        <v>424</v>
      </c>
      <c r="AA256" s="14">
        <v>575</v>
      </c>
      <c r="AB256" s="14">
        <v>583</v>
      </c>
      <c r="AC256" s="14">
        <v>569</v>
      </c>
      <c r="AD256" s="14">
        <v>594</v>
      </c>
      <c r="AE256" s="14">
        <v>622</v>
      </c>
      <c r="AF256" s="14">
        <v>617</v>
      </c>
      <c r="AG256" s="14">
        <v>577</v>
      </c>
      <c r="AH256" s="14"/>
      <c r="AI256" s="14"/>
      <c r="AJ256" s="14"/>
      <c r="AK256" s="14">
        <f>145+85</f>
        <v>230</v>
      </c>
      <c r="AL256" s="14">
        <f>122+89</f>
        <v>211</v>
      </c>
      <c r="AM256" s="13">
        <v>170</v>
      </c>
      <c r="AN256" s="14">
        <v>188</v>
      </c>
      <c r="AO256" s="14">
        <v>278</v>
      </c>
      <c r="AP256" s="14">
        <v>350</v>
      </c>
      <c r="AQ256" s="14">
        <v>388</v>
      </c>
      <c r="AR256" s="14">
        <f>AC256</f>
        <v>569</v>
      </c>
      <c r="AS256" s="14">
        <f>AG256</f>
        <v>577</v>
      </c>
      <c r="AT256" s="14"/>
      <c r="AU256" s="14"/>
      <c r="AV256" s="14"/>
      <c r="AW256" s="14"/>
      <c r="AX256" s="14"/>
    </row>
    <row r="257" spans="1:50">
      <c r="A257" s="4" t="s">
        <v>85</v>
      </c>
      <c r="B257" s="13">
        <v>642</v>
      </c>
      <c r="C257" s="13">
        <f t="shared" ref="C257:P257" si="461">C233-C255-C256</f>
        <v>5070</v>
      </c>
      <c r="D257" s="13">
        <f t="shared" si="461"/>
        <v>647</v>
      </c>
      <c r="E257" s="13">
        <f t="shared" si="461"/>
        <v>689</v>
      </c>
      <c r="F257" s="13">
        <f t="shared" si="461"/>
        <v>664</v>
      </c>
      <c r="G257" s="13">
        <f t="shared" si="461"/>
        <v>694</v>
      </c>
      <c r="H257" s="13">
        <f t="shared" si="461"/>
        <v>698</v>
      </c>
      <c r="I257" s="13">
        <f t="shared" si="461"/>
        <v>712</v>
      </c>
      <c r="J257" s="13">
        <f t="shared" si="461"/>
        <v>678</v>
      </c>
      <c r="K257" s="13">
        <f t="shared" si="461"/>
        <v>690</v>
      </c>
      <c r="L257" s="13">
        <f t="shared" si="461"/>
        <v>697</v>
      </c>
      <c r="M257" s="13">
        <f t="shared" si="461"/>
        <v>734</v>
      </c>
      <c r="N257" s="14">
        <f t="shared" si="461"/>
        <v>894</v>
      </c>
      <c r="O257" s="14">
        <f t="shared" si="461"/>
        <v>910</v>
      </c>
      <c r="P257" s="14">
        <f t="shared" si="461"/>
        <v>911</v>
      </c>
      <c r="Q257" s="14">
        <v>928</v>
      </c>
      <c r="R257" s="14">
        <v>963</v>
      </c>
      <c r="S257" s="14">
        <v>1008</v>
      </c>
      <c r="T257" s="14">
        <v>1035</v>
      </c>
      <c r="U257" s="14">
        <v>1059</v>
      </c>
      <c r="V257" s="14">
        <v>1099</v>
      </c>
      <c r="W257" s="14">
        <v>1147</v>
      </c>
      <c r="X257" s="14">
        <v>1132</v>
      </c>
      <c r="Y257" s="14">
        <v>1095</v>
      </c>
      <c r="Z257" s="14">
        <v>1123</v>
      </c>
      <c r="AA257" s="14">
        <v>1474</v>
      </c>
      <c r="AB257" s="14">
        <v>1530</v>
      </c>
      <c r="AC257" s="14">
        <v>1566</v>
      </c>
      <c r="AD257" s="14">
        <v>1580</v>
      </c>
      <c r="AE257" s="14">
        <v>1564</v>
      </c>
      <c r="AF257" s="14">
        <v>1546</v>
      </c>
      <c r="AG257" s="14">
        <v>1557</v>
      </c>
      <c r="AH257" s="14"/>
      <c r="AI257" s="14"/>
      <c r="AJ257" s="14"/>
      <c r="AK257" s="13">
        <f>AK233-AK255-AK256</f>
        <v>605</v>
      </c>
      <c r="AL257" s="13">
        <f>AL233-AL255-AL256</f>
        <v>689</v>
      </c>
      <c r="AM257" s="13">
        <f>AM233-AM255-AM256</f>
        <v>712</v>
      </c>
      <c r="AN257" s="13">
        <f>AN233-AN255-AN256</f>
        <v>734</v>
      </c>
      <c r="AO257" s="13">
        <v>928</v>
      </c>
      <c r="AP257" s="13">
        <v>1059</v>
      </c>
      <c r="AQ257" s="13">
        <v>1095</v>
      </c>
      <c r="AR257" s="13">
        <v>1566</v>
      </c>
      <c r="AS257" s="13">
        <v>1557</v>
      </c>
      <c r="AT257" s="13"/>
      <c r="AU257" s="13"/>
      <c r="AV257" s="13"/>
      <c r="AW257" s="13"/>
      <c r="AX257" s="13"/>
    </row>
    <row r="258" spans="1:50">
      <c r="A258" s="4"/>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row>
    <row r="259" spans="1:50">
      <c r="A259" s="4" t="s">
        <v>676</v>
      </c>
      <c r="B259" s="13">
        <v>131</v>
      </c>
      <c r="C259" s="13">
        <v>123</v>
      </c>
      <c r="D259" s="13">
        <v>114</v>
      </c>
      <c r="E259" s="13">
        <v>122</v>
      </c>
      <c r="F259" s="14">
        <v>141</v>
      </c>
      <c r="G259" s="14">
        <v>185</v>
      </c>
      <c r="H259" s="14">
        <v>185</v>
      </c>
      <c r="I259" s="13">
        <v>170</v>
      </c>
      <c r="J259" s="14">
        <v>184</v>
      </c>
      <c r="K259" s="14">
        <v>191</v>
      </c>
      <c r="L259" s="14">
        <v>189</v>
      </c>
      <c r="M259" s="14">
        <v>188</v>
      </c>
      <c r="N259" s="14">
        <v>258</v>
      </c>
      <c r="O259" s="14">
        <v>297</v>
      </c>
      <c r="P259" s="13">
        <f t="shared" ref="P259:Q259" si="462">P256</f>
        <v>281</v>
      </c>
      <c r="Q259" s="13">
        <f t="shared" si="462"/>
        <v>278</v>
      </c>
      <c r="R259" s="13">
        <f t="shared" ref="R259:V259" si="463">R256</f>
        <v>285</v>
      </c>
      <c r="S259" s="13">
        <f t="shared" si="463"/>
        <v>291</v>
      </c>
      <c r="T259" s="13">
        <f t="shared" si="463"/>
        <v>317</v>
      </c>
      <c r="U259" s="13">
        <f t="shared" si="463"/>
        <v>350</v>
      </c>
      <c r="V259" s="13">
        <f t="shared" si="463"/>
        <v>363</v>
      </c>
      <c r="W259" s="13">
        <f>W256</f>
        <v>360</v>
      </c>
      <c r="X259" s="13">
        <f t="shared" ref="X259:Z259" si="464">X256</f>
        <v>368</v>
      </c>
      <c r="Y259" s="13">
        <f t="shared" si="464"/>
        <v>388</v>
      </c>
      <c r="Z259" s="13">
        <f t="shared" si="464"/>
        <v>424</v>
      </c>
      <c r="AA259" s="13">
        <f t="shared" ref="AA259:AB259" si="465">AA256</f>
        <v>575</v>
      </c>
      <c r="AB259" s="13">
        <f t="shared" si="465"/>
        <v>583</v>
      </c>
      <c r="AC259" s="13">
        <f t="shared" ref="AC259:AD259" si="466">AC256</f>
        <v>569</v>
      </c>
      <c r="AD259" s="13">
        <f t="shared" si="466"/>
        <v>594</v>
      </c>
      <c r="AE259" s="13">
        <f t="shared" ref="AE259" si="467">AE256</f>
        <v>622</v>
      </c>
      <c r="AF259" s="13">
        <f>AF256</f>
        <v>617</v>
      </c>
      <c r="AG259" s="13">
        <f>AG256</f>
        <v>577</v>
      </c>
      <c r="AH259" s="13"/>
      <c r="AI259" s="13"/>
      <c r="AJ259" s="13"/>
      <c r="AK259" s="13">
        <v>145</v>
      </c>
      <c r="AL259" s="13">
        <v>122</v>
      </c>
      <c r="AM259" s="13">
        <v>170</v>
      </c>
      <c r="AN259" s="14">
        <v>188</v>
      </c>
      <c r="AO259" s="14">
        <v>278</v>
      </c>
      <c r="AP259" s="14">
        <v>350</v>
      </c>
      <c r="AQ259" s="14">
        <v>388</v>
      </c>
      <c r="AR259" s="14">
        <f>AC259</f>
        <v>569</v>
      </c>
      <c r="AS259" s="14">
        <f>AG259</f>
        <v>577</v>
      </c>
      <c r="AT259" s="14"/>
      <c r="AU259" s="14"/>
      <c r="AV259" s="14"/>
      <c r="AW259" s="14"/>
      <c r="AX259" s="14"/>
    </row>
    <row r="260" spans="1:50">
      <c r="A260" s="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row>
    <row r="261" spans="1:50">
      <c r="A261" s="4" t="s">
        <v>677</v>
      </c>
      <c r="B261" s="262"/>
      <c r="C261" s="262"/>
      <c r="D261" s="262"/>
      <c r="E261" s="262">
        <v>79.3</v>
      </c>
      <c r="F261" s="262">
        <v>80.5</v>
      </c>
      <c r="G261" s="262">
        <v>80.7</v>
      </c>
      <c r="H261" s="262">
        <v>79.3</v>
      </c>
      <c r="I261" s="262">
        <v>78.099999999999994</v>
      </c>
      <c r="J261" s="262">
        <v>77</v>
      </c>
      <c r="K261" s="262">
        <v>81</v>
      </c>
      <c r="L261" s="262">
        <v>78.900000000000006</v>
      </c>
      <c r="M261" s="262">
        <v>81</v>
      </c>
      <c r="N261" s="262">
        <v>77</v>
      </c>
      <c r="O261" s="262">
        <v>78.5</v>
      </c>
      <c r="P261" s="262">
        <v>77.100000000000009</v>
      </c>
      <c r="Q261" s="262">
        <v>76.099999999999994</v>
      </c>
      <c r="R261" s="262">
        <v>76.2</v>
      </c>
      <c r="S261" s="262">
        <v>77.3</v>
      </c>
      <c r="T261" s="262">
        <v>80.3</v>
      </c>
      <c r="U261" s="262">
        <v>81.5</v>
      </c>
      <c r="V261" s="262">
        <v>81</v>
      </c>
      <c r="W261" s="262">
        <v>80</v>
      </c>
      <c r="X261" s="262">
        <v>79.400000000000006</v>
      </c>
      <c r="Y261" s="262">
        <v>81.7</v>
      </c>
      <c r="Z261" s="262">
        <v>81.400000000000006</v>
      </c>
      <c r="AA261" s="262">
        <v>82.2</v>
      </c>
      <c r="AB261" s="262">
        <v>81.3</v>
      </c>
      <c r="AC261" s="262">
        <v>82</v>
      </c>
      <c r="AD261" s="262">
        <v>82.1</v>
      </c>
      <c r="AE261" s="262">
        <v>82.3</v>
      </c>
      <c r="AF261" s="262">
        <v>81.7</v>
      </c>
      <c r="AG261" s="262">
        <v>82.5</v>
      </c>
      <c r="AH261" s="262"/>
      <c r="AI261" s="262"/>
      <c r="AJ261" s="262"/>
      <c r="AK261" s="262">
        <v>79.5</v>
      </c>
      <c r="AL261" s="262">
        <v>79.3</v>
      </c>
      <c r="AM261" s="262">
        <v>78.099999999999994</v>
      </c>
      <c r="AN261" s="262">
        <v>81</v>
      </c>
      <c r="AO261" s="262">
        <v>77.099999999999994</v>
      </c>
      <c r="AP261" s="262">
        <v>81.5</v>
      </c>
      <c r="AQ261" s="262">
        <v>81.7</v>
      </c>
      <c r="AR261" s="262">
        <v>82</v>
      </c>
      <c r="AS261" s="262"/>
      <c r="AT261" s="262"/>
      <c r="AU261" s="262"/>
      <c r="AV261" s="262"/>
      <c r="AW261" s="262"/>
      <c r="AX261" s="262"/>
    </row>
    <row r="262" spans="1:50">
      <c r="A262" s="4" t="s">
        <v>678</v>
      </c>
      <c r="B262" s="262"/>
      <c r="C262" s="262"/>
      <c r="D262" s="262"/>
      <c r="E262" s="262"/>
      <c r="F262" s="262"/>
      <c r="G262" s="262"/>
      <c r="H262" s="262"/>
      <c r="I262" s="262"/>
      <c r="J262" s="262"/>
      <c r="K262" s="262"/>
      <c r="L262" s="262"/>
      <c r="M262" s="262"/>
      <c r="N262" s="262"/>
      <c r="O262" s="262"/>
      <c r="P262" s="262"/>
      <c r="Q262" s="262"/>
      <c r="R262" s="262"/>
      <c r="S262" s="262"/>
      <c r="T262" s="262"/>
      <c r="U262" s="262"/>
      <c r="V262" s="262"/>
      <c r="W262" s="262"/>
      <c r="X262" s="262"/>
      <c r="Y262" s="262"/>
      <c r="Z262" s="262"/>
      <c r="AA262" s="262"/>
      <c r="AB262" s="262"/>
      <c r="AC262" s="262"/>
      <c r="AD262" s="262"/>
      <c r="AE262" s="262"/>
      <c r="AF262" s="262"/>
      <c r="AG262" s="262"/>
      <c r="AH262" s="262"/>
      <c r="AI262" s="262"/>
      <c r="AJ262" s="262"/>
      <c r="AK262" s="262"/>
      <c r="AL262" s="262"/>
      <c r="AM262" s="262"/>
      <c r="AN262" s="262"/>
      <c r="AO262" s="262">
        <v>80.2</v>
      </c>
      <c r="AP262" s="262"/>
      <c r="AQ262" s="262"/>
      <c r="AR262" s="262"/>
      <c r="AS262" s="262"/>
      <c r="AT262" s="262"/>
      <c r="AU262" s="262"/>
      <c r="AV262" s="262"/>
      <c r="AW262" s="262"/>
      <c r="AX262" s="262"/>
    </row>
    <row r="263" spans="1:50">
      <c r="A263" s="4" t="s">
        <v>679</v>
      </c>
      <c r="B263" s="262"/>
      <c r="C263" s="262"/>
      <c r="D263" s="262"/>
      <c r="E263" s="262">
        <v>12.24</v>
      </c>
      <c r="F263" s="262">
        <v>12.98</v>
      </c>
      <c r="G263" s="262">
        <v>12.3</v>
      </c>
      <c r="H263" s="262">
        <v>11.9</v>
      </c>
      <c r="I263" s="262">
        <v>11.8</v>
      </c>
      <c r="J263" s="262">
        <v>11.8</v>
      </c>
      <c r="K263" s="262">
        <v>10.5</v>
      </c>
      <c r="L263" s="262">
        <v>10.4</v>
      </c>
      <c r="M263" s="262">
        <v>10.5</v>
      </c>
      <c r="N263" s="262">
        <v>12.6</v>
      </c>
      <c r="O263" s="262">
        <v>15.299999999999999</v>
      </c>
      <c r="P263" s="262">
        <v>16.3</v>
      </c>
      <c r="Q263" s="262">
        <v>17.7</v>
      </c>
      <c r="R263" s="262">
        <v>18</v>
      </c>
      <c r="S263" s="262">
        <v>16.399999999999999</v>
      </c>
      <c r="T263" s="534">
        <v>15.8</v>
      </c>
      <c r="U263" s="534">
        <v>14.1</v>
      </c>
      <c r="V263" s="534">
        <v>13.3</v>
      </c>
      <c r="W263" s="534">
        <v>13</v>
      </c>
      <c r="X263" s="534">
        <v>12.1</v>
      </c>
      <c r="Y263" s="534">
        <v>11.5</v>
      </c>
      <c r="Z263" s="534">
        <v>11.4</v>
      </c>
      <c r="AA263" s="534">
        <v>11.7</v>
      </c>
      <c r="AB263" s="534">
        <v>11.9</v>
      </c>
      <c r="AC263" s="534">
        <v>10.9</v>
      </c>
      <c r="AD263" s="534">
        <v>11.3</v>
      </c>
      <c r="AE263" s="534">
        <v>11.4</v>
      </c>
      <c r="AF263" s="534">
        <v>10.9</v>
      </c>
      <c r="AG263" s="534">
        <v>10.8</v>
      </c>
      <c r="AH263" s="534"/>
      <c r="AI263" s="534"/>
      <c r="AJ263" s="534"/>
      <c r="AK263" s="262">
        <v>10.5</v>
      </c>
      <c r="AL263" s="262">
        <v>12.24</v>
      </c>
      <c r="AM263" s="262">
        <v>11.8</v>
      </c>
      <c r="AN263" s="262">
        <v>10.5</v>
      </c>
      <c r="AO263" s="262">
        <v>17.7</v>
      </c>
      <c r="AP263" s="262">
        <v>14.1</v>
      </c>
      <c r="AQ263" s="262">
        <v>11.5</v>
      </c>
      <c r="AR263" s="534">
        <v>10.9</v>
      </c>
      <c r="AS263" s="534"/>
      <c r="AT263" s="262"/>
      <c r="AU263" s="262"/>
      <c r="AV263" s="262"/>
      <c r="AW263" s="262"/>
      <c r="AX263" s="534"/>
    </row>
    <row r="264" spans="1:50">
      <c r="A264" s="4" t="s">
        <v>471</v>
      </c>
      <c r="B264" s="262"/>
      <c r="C264" s="262"/>
      <c r="D264" s="262"/>
      <c r="E264" s="262">
        <v>62</v>
      </c>
      <c r="F264" s="262">
        <v>67</v>
      </c>
      <c r="G264" s="262">
        <v>73</v>
      </c>
      <c r="H264" s="262">
        <v>67</v>
      </c>
      <c r="I264" s="262">
        <v>74</v>
      </c>
      <c r="J264" s="262">
        <v>71</v>
      </c>
      <c r="K264" s="262">
        <v>75</v>
      </c>
      <c r="L264" s="262">
        <v>75</v>
      </c>
      <c r="M264" s="262">
        <v>70</v>
      </c>
      <c r="N264" s="262">
        <v>71</v>
      </c>
      <c r="O264" s="262">
        <v>66</v>
      </c>
      <c r="P264" s="262">
        <v>70</v>
      </c>
      <c r="Q264" s="262">
        <v>63</v>
      </c>
      <c r="R264" s="262">
        <v>72</v>
      </c>
      <c r="S264" s="262">
        <v>70</v>
      </c>
      <c r="T264" s="262">
        <v>73</v>
      </c>
      <c r="U264" s="534">
        <v>61</v>
      </c>
      <c r="V264" s="534">
        <v>61</v>
      </c>
      <c r="W264" s="534">
        <v>64</v>
      </c>
      <c r="X264" s="534">
        <v>63</v>
      </c>
      <c r="Y264" s="534">
        <v>56</v>
      </c>
      <c r="Z264" s="534">
        <v>59</v>
      </c>
      <c r="AA264" s="534">
        <v>60</v>
      </c>
      <c r="AB264" s="534">
        <v>60</v>
      </c>
      <c r="AC264" s="534">
        <v>60</v>
      </c>
      <c r="AD264" s="534">
        <v>64</v>
      </c>
      <c r="AE264" s="534">
        <v>63</v>
      </c>
      <c r="AF264" s="534">
        <v>67</v>
      </c>
      <c r="AG264" s="534">
        <v>69</v>
      </c>
      <c r="AH264" s="534"/>
      <c r="AI264" s="534"/>
      <c r="AJ264" s="534"/>
      <c r="AK264" s="262">
        <v>70</v>
      </c>
      <c r="AL264" s="262">
        <v>62</v>
      </c>
      <c r="AM264" s="262">
        <v>74</v>
      </c>
      <c r="AN264" s="262">
        <v>70</v>
      </c>
      <c r="AO264" s="262">
        <v>63</v>
      </c>
      <c r="AP264" s="262">
        <v>61</v>
      </c>
      <c r="AQ264" s="262">
        <v>56</v>
      </c>
      <c r="AR264" s="534">
        <v>60</v>
      </c>
      <c r="AS264" s="534"/>
      <c r="AT264" s="262"/>
      <c r="AU264" s="262"/>
      <c r="AV264" s="262"/>
      <c r="AW264" s="262"/>
      <c r="AX264" s="534"/>
    </row>
    <row r="265" spans="1:50">
      <c r="A265" s="4" t="s">
        <v>680</v>
      </c>
      <c r="B265" s="262"/>
      <c r="C265" s="262"/>
      <c r="D265" s="262"/>
      <c r="E265" s="262"/>
      <c r="F265" s="262"/>
      <c r="G265" s="262"/>
      <c r="H265" s="262"/>
      <c r="I265" s="262"/>
      <c r="J265" s="262"/>
      <c r="K265" s="262"/>
      <c r="L265" s="262"/>
      <c r="M265" s="262"/>
      <c r="N265" s="262"/>
      <c r="O265" s="262"/>
      <c r="P265" s="262"/>
      <c r="Q265" s="262"/>
      <c r="R265" s="262"/>
      <c r="S265" s="262"/>
      <c r="T265" s="262"/>
      <c r="U265" s="262"/>
      <c r="V265" s="262"/>
      <c r="W265" s="262"/>
      <c r="X265" s="262"/>
      <c r="Y265" s="262"/>
      <c r="Z265" s="262"/>
      <c r="AA265" s="262"/>
      <c r="AB265" s="262"/>
      <c r="AC265" s="262">
        <v>21</v>
      </c>
      <c r="AD265" s="262"/>
      <c r="AE265" s="262"/>
      <c r="AF265" s="262">
        <v>28</v>
      </c>
      <c r="AG265" s="262">
        <v>25</v>
      </c>
      <c r="AH265" s="262"/>
      <c r="AI265" s="262"/>
      <c r="AJ265" s="262"/>
      <c r="AK265" s="259"/>
      <c r="AL265" s="4"/>
      <c r="AM265" s="4"/>
      <c r="AN265" s="4"/>
      <c r="AO265" s="4"/>
      <c r="AP265" s="4"/>
      <c r="AQ265" s="4"/>
      <c r="AR265" s="4"/>
      <c r="AS265" s="4"/>
      <c r="AT265" s="4"/>
      <c r="AU265" s="4"/>
      <c r="AV265" s="4"/>
      <c r="AW265" s="4"/>
      <c r="AX265" s="4"/>
    </row>
    <row r="266" spans="1:50">
      <c r="A266" s="4" t="s">
        <v>681</v>
      </c>
      <c r="B266" s="262"/>
      <c r="C266" s="262"/>
      <c r="D266" s="262"/>
      <c r="E266" s="262"/>
      <c r="F266" s="262"/>
      <c r="G266" s="262"/>
      <c r="H266" s="262"/>
      <c r="I266" s="262"/>
      <c r="J266" s="262"/>
      <c r="K266" s="262"/>
      <c r="L266" s="262"/>
      <c r="M266" s="262"/>
      <c r="N266" s="262"/>
      <c r="O266" s="262"/>
      <c r="P266" s="262"/>
      <c r="Q266" s="262"/>
      <c r="R266" s="262"/>
      <c r="S266" s="262"/>
      <c r="T266" s="262"/>
      <c r="U266" s="262"/>
      <c r="V266" s="262"/>
      <c r="W266" s="262"/>
      <c r="X266" s="262"/>
      <c r="Y266" s="262"/>
      <c r="Z266" s="262"/>
      <c r="AA266" s="262"/>
      <c r="AB266" s="262"/>
      <c r="AC266" s="262">
        <v>13</v>
      </c>
      <c r="AD266" s="262"/>
      <c r="AE266" s="262"/>
      <c r="AF266" s="262">
        <v>14</v>
      </c>
      <c r="AG266" s="262">
        <v>13</v>
      </c>
      <c r="AH266" s="262"/>
      <c r="AI266" s="262"/>
      <c r="AJ266" s="262"/>
      <c r="AK266" s="259"/>
      <c r="AL266" s="4"/>
      <c r="AM266" s="4"/>
      <c r="AN266" s="4"/>
      <c r="AO266" s="4"/>
      <c r="AP266" s="4"/>
      <c r="AQ266" s="4"/>
      <c r="AR266" s="4"/>
      <c r="AS266" s="4"/>
      <c r="AT266" s="4"/>
      <c r="AU266" s="4"/>
      <c r="AV266" s="4"/>
      <c r="AW266" s="4"/>
      <c r="AX266" s="4"/>
    </row>
    <row r="267" spans="1:50">
      <c r="A267" s="6" t="s">
        <v>279</v>
      </c>
      <c r="B267" s="262"/>
      <c r="C267" s="262"/>
      <c r="D267" s="262"/>
      <c r="E267" s="262"/>
      <c r="F267" s="262"/>
      <c r="G267" s="262"/>
      <c r="H267" s="262"/>
      <c r="I267" s="262"/>
      <c r="J267" s="262"/>
      <c r="K267" s="262"/>
      <c r="L267" s="262"/>
      <c r="M267" s="262"/>
      <c r="N267" s="262"/>
      <c r="O267" s="262"/>
      <c r="P267" s="262"/>
      <c r="Q267" s="262"/>
      <c r="R267" s="262"/>
      <c r="S267" s="262"/>
      <c r="T267" s="262"/>
      <c r="U267" s="262"/>
      <c r="V267" s="262"/>
      <c r="W267" s="262"/>
      <c r="X267" s="262"/>
      <c r="Y267" s="262"/>
      <c r="Z267" s="262"/>
      <c r="AA267" s="262"/>
      <c r="AB267" s="262"/>
      <c r="AC267" s="997">
        <f t="shared" ref="AC267" si="468">SUM(AC264:AC266)</f>
        <v>94</v>
      </c>
      <c r="AD267" s="997"/>
      <c r="AE267" s="997"/>
      <c r="AF267" s="997">
        <f t="shared" ref="AF267" si="469">SUM(AF264:AF266)</f>
        <v>109</v>
      </c>
      <c r="AG267" s="997">
        <f>SUM(AG264:AG266)</f>
        <v>107</v>
      </c>
      <c r="AH267" s="262"/>
      <c r="AI267" s="262"/>
      <c r="AJ267" s="262"/>
      <c r="AK267" s="259"/>
      <c r="AL267" s="4"/>
      <c r="AM267" s="4"/>
      <c r="AN267" s="4"/>
      <c r="AO267" s="4"/>
      <c r="AP267" s="4"/>
      <c r="AQ267" s="4"/>
      <c r="AR267" s="4"/>
      <c r="AS267" s="4"/>
      <c r="AT267" s="4"/>
      <c r="AU267" s="4"/>
      <c r="AV267" s="4"/>
      <c r="AW267" s="4"/>
      <c r="AX267" s="4"/>
    </row>
    <row r="268" spans="1:50">
      <c r="A268" s="251" t="s">
        <v>682</v>
      </c>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c r="AA268" s="252"/>
      <c r="AB268" s="252"/>
      <c r="AC268" s="252"/>
      <c r="AD268" s="252"/>
      <c r="AE268" s="252"/>
      <c r="AF268" s="252"/>
      <c r="AG268" s="252"/>
      <c r="AH268" s="252"/>
      <c r="AI268" s="252"/>
      <c r="AJ268" s="252"/>
      <c r="AK268" s="273"/>
      <c r="AL268" s="273"/>
      <c r="AM268" s="273"/>
      <c r="AN268" s="273"/>
      <c r="AO268" s="273"/>
      <c r="AP268" s="273"/>
      <c r="AQ268" s="273"/>
      <c r="AR268" s="273"/>
      <c r="AS268" s="273"/>
      <c r="AT268" s="273"/>
      <c r="AU268" s="273"/>
      <c r="AV268" s="273"/>
      <c r="AW268" s="273"/>
      <c r="AX268" s="273"/>
    </row>
    <row r="269" spans="1:50">
      <c r="A269" s="4" t="s">
        <v>683</v>
      </c>
      <c r="B269" s="8"/>
      <c r="C269" s="8"/>
      <c r="D269" s="8"/>
      <c r="E269" s="8">
        <v>70.47</v>
      </c>
      <c r="F269" s="8">
        <v>69.400000000000006</v>
      </c>
      <c r="G269" s="8">
        <v>69.84</v>
      </c>
      <c r="H269" s="8">
        <v>71.290000000000006</v>
      </c>
      <c r="I269" s="8">
        <v>75.37</v>
      </c>
      <c r="J269" s="8">
        <v>75.53</v>
      </c>
      <c r="K269" s="8">
        <v>73.56</v>
      </c>
      <c r="L269" s="8">
        <v>73.010000000000005</v>
      </c>
      <c r="M269" s="8">
        <v>73.17</v>
      </c>
      <c r="N269" s="8">
        <v>74.33</v>
      </c>
      <c r="O269" s="8">
        <v>74.19</v>
      </c>
      <c r="P269" s="8">
        <v>74.5</v>
      </c>
      <c r="Q269" s="8">
        <v>75.900000000000006</v>
      </c>
      <c r="R269" s="8">
        <v>79.03</v>
      </c>
      <c r="S269" s="8">
        <v>81.38</v>
      </c>
      <c r="T269" s="8">
        <v>82.73</v>
      </c>
      <c r="U269" s="8">
        <v>82.11</v>
      </c>
      <c r="V269" s="8">
        <v>82.1</v>
      </c>
      <c r="W269" s="8">
        <v>83.08</v>
      </c>
      <c r="X269" s="8">
        <v>83.19</v>
      </c>
      <c r="Y269" s="8">
        <v>83.37</v>
      </c>
      <c r="Z269" s="8">
        <v>83.37</v>
      </c>
      <c r="AA269" s="8">
        <v>83.79</v>
      </c>
      <c r="AB269" s="8">
        <v>85.6</v>
      </c>
      <c r="AC269" s="8">
        <v>85.43</v>
      </c>
      <c r="AD269" s="8">
        <v>85.8</v>
      </c>
      <c r="AE269" s="8">
        <v>88.8</v>
      </c>
      <c r="AF269" s="8">
        <v>89.87</v>
      </c>
      <c r="AG269" s="8">
        <v>93.8</v>
      </c>
      <c r="AH269" s="8"/>
      <c r="AI269" s="8"/>
      <c r="AJ269" s="8"/>
      <c r="AK269" s="8">
        <v>69.28</v>
      </c>
      <c r="AL269" s="8">
        <v>69.28</v>
      </c>
      <c r="AM269" s="8">
        <v>75.37</v>
      </c>
      <c r="AN269" s="8">
        <v>73.17</v>
      </c>
      <c r="AO269" s="8"/>
      <c r="AP269" s="8">
        <v>82.11</v>
      </c>
      <c r="AQ269" s="8">
        <v>83.37</v>
      </c>
      <c r="AR269" s="8">
        <v>85.43</v>
      </c>
      <c r="AS269" s="8">
        <v>93.8</v>
      </c>
      <c r="AT269" s="8"/>
      <c r="AU269" s="8"/>
      <c r="AV269" s="8"/>
      <c r="AW269" s="8"/>
      <c r="AX269" s="8"/>
    </row>
    <row r="270" spans="1:50">
      <c r="A270" s="4" t="s">
        <v>684</v>
      </c>
      <c r="B270" s="8">
        <v>67.52</v>
      </c>
      <c r="C270" s="8">
        <v>70.510000000000005</v>
      </c>
      <c r="D270" s="8">
        <v>71.66</v>
      </c>
      <c r="E270" s="8">
        <v>69.28</v>
      </c>
      <c r="F270" s="8">
        <v>68.5</v>
      </c>
      <c r="G270" s="8">
        <v>70.66</v>
      </c>
      <c r="H270" s="8">
        <v>70.97</v>
      </c>
      <c r="I270" s="8">
        <v>71.66</v>
      </c>
      <c r="J270" s="8">
        <v>75.37</v>
      </c>
      <c r="K270" s="8">
        <v>74.66</v>
      </c>
      <c r="L270" s="8">
        <v>74.040000000000006</v>
      </c>
      <c r="M270" s="8">
        <v>73.19</v>
      </c>
      <c r="N270" s="8">
        <v>73.23</v>
      </c>
      <c r="O270" s="8">
        <v>73.89</v>
      </c>
      <c r="P270" s="8">
        <v>74.87</v>
      </c>
      <c r="Q270" s="8">
        <v>74.87</v>
      </c>
      <c r="R270" s="8">
        <v>76.48</v>
      </c>
      <c r="S270" s="8">
        <v>79.28</v>
      </c>
      <c r="T270" s="8">
        <v>81.86</v>
      </c>
      <c r="U270" s="8">
        <v>82.35</v>
      </c>
      <c r="V270" s="8">
        <v>82.15</v>
      </c>
      <c r="W270" s="8">
        <v>82.67</v>
      </c>
      <c r="X270" s="8">
        <v>83.26</v>
      </c>
      <c r="Y270" s="8">
        <v>83.05</v>
      </c>
      <c r="Z270" s="8">
        <v>83.42</v>
      </c>
      <c r="AA270" s="8">
        <v>83.76</v>
      </c>
      <c r="AB270" s="8">
        <v>84.44</v>
      </c>
      <c r="AC270" s="8">
        <v>86.59</v>
      </c>
      <c r="AD270" s="8">
        <v>85.6</v>
      </c>
      <c r="AE270" s="8">
        <v>87.31</v>
      </c>
      <c r="AF270" s="8">
        <v>89.09</v>
      </c>
      <c r="AG270" s="8">
        <v>91.1</v>
      </c>
      <c r="AH270" s="8"/>
      <c r="AI270" s="8"/>
      <c r="AJ270" s="8"/>
      <c r="AK270" s="8">
        <v>69.55</v>
      </c>
      <c r="AL270" s="8">
        <v>69.55</v>
      </c>
      <c r="AM270" s="8">
        <v>70.540000000000006</v>
      </c>
      <c r="AN270" s="8">
        <v>74.319999999999993</v>
      </c>
      <c r="AO270" s="8"/>
      <c r="AP270" s="8">
        <v>80.05</v>
      </c>
      <c r="AQ270" s="8">
        <v>82.78</v>
      </c>
      <c r="AR270" s="8">
        <v>86.6</v>
      </c>
      <c r="AS270" s="8">
        <v>87.8</v>
      </c>
      <c r="AT270" s="8"/>
      <c r="AU270" s="8"/>
      <c r="AV270" s="8"/>
      <c r="AW270" s="8"/>
      <c r="AX270" s="8"/>
    </row>
    <row r="271" spans="1:50">
      <c r="A271" s="4"/>
      <c r="B271" s="8"/>
      <c r="C271" s="8"/>
      <c r="D271" s="8"/>
      <c r="E271" s="8"/>
      <c r="F271" s="8"/>
      <c r="G271" s="8"/>
      <c r="H271" s="8"/>
      <c r="I271" s="8"/>
      <c r="J271" s="8"/>
      <c r="K271" s="8"/>
      <c r="L271" s="8"/>
      <c r="M271" s="8"/>
      <c r="N271" s="8"/>
      <c r="Q271" s="8"/>
      <c r="R271" s="8"/>
      <c r="S271" s="8"/>
      <c r="T271" s="8"/>
      <c r="U271" s="8"/>
      <c r="V271" s="8"/>
      <c r="W271" s="8"/>
      <c r="X271" s="8"/>
      <c r="Y271" s="8"/>
      <c r="Z271" s="8"/>
      <c r="AA271" s="8"/>
      <c r="AB271" s="8"/>
      <c r="AC271" s="8"/>
      <c r="AD271" s="8"/>
      <c r="AE271" s="8"/>
      <c r="AF271" s="8"/>
      <c r="AG271" s="8"/>
      <c r="AH271" s="8"/>
      <c r="AI271" s="8"/>
      <c r="AJ271" s="8"/>
      <c r="AK271" s="13"/>
      <c r="AL271" s="4"/>
      <c r="AM271" s="4"/>
      <c r="AN271" s="4"/>
      <c r="AO271" s="4"/>
      <c r="AP271" s="4"/>
      <c r="AQ271" s="4"/>
      <c r="AR271" s="4"/>
      <c r="AS271" s="4"/>
      <c r="AT271" s="4"/>
      <c r="AU271" s="4"/>
      <c r="AV271" s="4"/>
      <c r="AW271" s="4"/>
      <c r="AX271" s="4"/>
    </row>
    <row r="272" spans="1:50">
      <c r="A272" s="251" t="s">
        <v>685</v>
      </c>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c r="AA272" s="252"/>
      <c r="AB272" s="252"/>
      <c r="AC272" s="252"/>
      <c r="AD272" s="252"/>
      <c r="AE272" s="252"/>
      <c r="AF272" s="252"/>
      <c r="AG272" s="252"/>
      <c r="AH272" s="252"/>
      <c r="AI272" s="252"/>
      <c r="AJ272" s="252"/>
      <c r="AK272" s="252"/>
      <c r="AL272" s="252"/>
      <c r="AM272" s="252"/>
      <c r="AN272" s="252"/>
      <c r="AO272" s="252"/>
      <c r="AP272" s="252"/>
      <c r="AQ272" s="252"/>
      <c r="AR272" s="252"/>
      <c r="AS272" s="252"/>
      <c r="AT272" s="252"/>
      <c r="AU272" s="252"/>
      <c r="AV272" s="252"/>
      <c r="AW272" s="252"/>
      <c r="AX272" s="252"/>
    </row>
    <row r="273" spans="1:50">
      <c r="A273" s="87" t="s">
        <v>616</v>
      </c>
      <c r="B273" s="263"/>
      <c r="C273" s="263"/>
      <c r="D273" s="263"/>
      <c r="E273" s="263"/>
      <c r="F273" s="263"/>
      <c r="G273" s="263"/>
      <c r="H273" s="263"/>
      <c r="I273" s="263"/>
      <c r="J273" s="263"/>
      <c r="K273" s="263"/>
      <c r="L273" s="263">
        <v>5884</v>
      </c>
      <c r="M273" s="263"/>
      <c r="N273" s="263"/>
      <c r="O273" s="263">
        <v>8195</v>
      </c>
      <c r="P273" s="263">
        <v>8844</v>
      </c>
      <c r="Q273" s="263">
        <v>8702</v>
      </c>
      <c r="R273" s="263">
        <v>9376</v>
      </c>
      <c r="S273" s="263">
        <v>10047</v>
      </c>
      <c r="T273" s="263">
        <v>10116</v>
      </c>
      <c r="U273" s="263">
        <v>10481</v>
      </c>
      <c r="V273" s="263">
        <v>11030</v>
      </c>
      <c r="W273" s="263">
        <v>11245</v>
      </c>
      <c r="X273" s="263">
        <v>10819</v>
      </c>
      <c r="Y273" s="263">
        <v>11256</v>
      </c>
      <c r="Z273" s="263">
        <v>11979</v>
      </c>
      <c r="AA273" s="263">
        <v>16874</v>
      </c>
      <c r="AB273" s="263">
        <v>18574</v>
      </c>
      <c r="AC273" s="263">
        <v>18756</v>
      </c>
      <c r="AD273" s="263">
        <v>20924</v>
      </c>
      <c r="AE273" s="263">
        <v>23076</v>
      </c>
      <c r="AF273" s="263">
        <v>23969</v>
      </c>
      <c r="AG273" s="263">
        <v>25245</v>
      </c>
      <c r="AH273" s="263"/>
      <c r="AI273" s="263"/>
      <c r="AJ273" s="263"/>
      <c r="AK273" s="4"/>
      <c r="AL273" s="20"/>
      <c r="AM273" s="20"/>
      <c r="AN273" s="20">
        <v>22236</v>
      </c>
      <c r="AO273" s="20">
        <v>33288</v>
      </c>
      <c r="AP273" s="20">
        <v>40020</v>
      </c>
      <c r="AQ273" s="20">
        <v>44350</v>
      </c>
      <c r="AR273" s="20">
        <v>66190</v>
      </c>
      <c r="AS273" s="20">
        <v>93344</v>
      </c>
      <c r="AT273" s="20"/>
      <c r="AU273" s="19">
        <f>AO273/AN273-1</f>
        <v>0.49703184025903946</v>
      </c>
      <c r="AV273" s="19">
        <f>AP273/AO273-1</f>
        <v>0.20223503965392942</v>
      </c>
      <c r="AW273" s="19">
        <f>AQ273/AP273-1</f>
        <v>0.10819590204897556</v>
      </c>
      <c r="AX273" s="19">
        <f>AR273/AQ273-1</f>
        <v>0.49244644870349497</v>
      </c>
    </row>
    <row r="274" spans="1:50">
      <c r="A274" s="87" t="s">
        <v>617</v>
      </c>
      <c r="B274" s="263"/>
      <c r="C274" s="263"/>
      <c r="D274" s="263"/>
      <c r="E274" s="263"/>
      <c r="F274" s="263"/>
      <c r="G274" s="263"/>
      <c r="H274" s="263"/>
      <c r="I274" s="263"/>
      <c r="J274" s="263"/>
      <c r="K274" s="263"/>
      <c r="L274" s="263">
        <v>4261</v>
      </c>
      <c r="M274" s="263"/>
      <c r="N274" s="263"/>
      <c r="O274" s="263">
        <v>5094</v>
      </c>
      <c r="P274" s="263">
        <v>5584</v>
      </c>
      <c r="Q274" s="263">
        <v>6938</v>
      </c>
      <c r="R274" s="263">
        <v>6746</v>
      </c>
      <c r="S274" s="263">
        <v>7547</v>
      </c>
      <c r="T274" s="263">
        <v>8293</v>
      </c>
      <c r="U274" s="263">
        <v>8589</v>
      </c>
      <c r="V274" s="263">
        <v>8575</v>
      </c>
      <c r="W274" s="263">
        <v>8838</v>
      </c>
      <c r="X274" s="263">
        <v>9300</v>
      </c>
      <c r="Y274" s="263">
        <v>9447</v>
      </c>
      <c r="Z274" s="263">
        <v>9286</v>
      </c>
      <c r="AA274" s="263">
        <v>10345</v>
      </c>
      <c r="AB274" s="263">
        <v>10732</v>
      </c>
      <c r="AC274" s="263">
        <v>11013</v>
      </c>
      <c r="AD274" s="263">
        <v>10999</v>
      </c>
      <c r="AE274" s="263">
        <v>11547</v>
      </c>
      <c r="AF274" s="263">
        <v>11951</v>
      </c>
      <c r="AG274" s="263">
        <v>12584</v>
      </c>
      <c r="AH274" s="263"/>
      <c r="AI274" s="263"/>
      <c r="AJ274" s="263"/>
      <c r="AK274" s="4"/>
      <c r="AL274" s="20"/>
      <c r="AM274" s="20"/>
      <c r="AN274" s="20">
        <v>17181</v>
      </c>
      <c r="AO274" s="20">
        <v>22771</v>
      </c>
      <c r="AP274" s="20">
        <v>31175</v>
      </c>
      <c r="AQ274" s="20">
        <v>34459</v>
      </c>
      <c r="AR274" s="20">
        <v>40680</v>
      </c>
      <c r="AS274" s="20">
        <v>47425</v>
      </c>
      <c r="AT274" s="20"/>
      <c r="AU274" s="19">
        <f t="shared" ref="AU274:AX278" si="470">AO274/AN274-1</f>
        <v>0.32535940864908919</v>
      </c>
      <c r="AV274" s="19">
        <f t="shared" si="470"/>
        <v>0.36906591717535453</v>
      </c>
      <c r="AW274" s="19">
        <f t="shared" si="470"/>
        <v>0.10534081796311145</v>
      </c>
      <c r="AX274" s="19">
        <f t="shared" si="470"/>
        <v>0.18053338750399028</v>
      </c>
    </row>
    <row r="275" spans="1:50">
      <c r="A275" s="87" t="s">
        <v>686</v>
      </c>
      <c r="B275" s="263"/>
      <c r="C275" s="263"/>
      <c r="D275" s="263"/>
      <c r="E275" s="263"/>
      <c r="F275" s="263"/>
      <c r="G275" s="263"/>
      <c r="H275" s="263"/>
      <c r="I275" s="263"/>
      <c r="J275" s="263"/>
      <c r="K275" s="263"/>
      <c r="L275" s="263">
        <v>1044</v>
      </c>
      <c r="M275" s="263"/>
      <c r="N275" s="263"/>
      <c r="O275" s="263">
        <v>1575</v>
      </c>
      <c r="P275" s="263">
        <v>1356</v>
      </c>
      <c r="Q275" s="263">
        <v>1360</v>
      </c>
      <c r="R275" s="263">
        <v>1414</v>
      </c>
      <c r="S275" s="263">
        <v>1465</v>
      </c>
      <c r="T275" s="263">
        <v>1420</v>
      </c>
      <c r="U275" s="263">
        <v>1518</v>
      </c>
      <c r="V275" s="263">
        <v>1563</v>
      </c>
      <c r="W275" s="263">
        <v>1612</v>
      </c>
      <c r="X275" s="263">
        <v>1608</v>
      </c>
      <c r="Y275" s="263">
        <v>1577</v>
      </c>
      <c r="Z275" s="263">
        <v>1832</v>
      </c>
      <c r="AA275" s="263">
        <v>2335</v>
      </c>
      <c r="AB275" s="263">
        <v>2085</v>
      </c>
      <c r="AC275" s="263"/>
      <c r="AD275" s="263">
        <v>3228</v>
      </c>
      <c r="AE275" s="263">
        <v>3422</v>
      </c>
      <c r="AF275" s="263"/>
      <c r="AG275" s="263"/>
      <c r="AH275" s="263"/>
      <c r="AI275" s="263"/>
      <c r="AJ275" s="263"/>
      <c r="AK275" s="4"/>
      <c r="AL275" s="20"/>
      <c r="AM275" s="20"/>
      <c r="AN275" s="20">
        <v>4036</v>
      </c>
      <c r="AO275" s="20">
        <v>5439</v>
      </c>
      <c r="AP275" s="20">
        <v>5817</v>
      </c>
      <c r="AQ275" s="20">
        <v>6360</v>
      </c>
      <c r="AR275" s="20"/>
      <c r="AS275" s="20"/>
      <c r="AT275" s="20"/>
      <c r="AU275" s="19">
        <f t="shared" si="470"/>
        <v>0.34762140733399405</v>
      </c>
      <c r="AV275" s="19">
        <f t="shared" si="470"/>
        <v>6.9498069498069581E-2</v>
      </c>
      <c r="AW275" s="19">
        <f t="shared" si="470"/>
        <v>9.3347086126869483E-2</v>
      </c>
      <c r="AX275" s="19">
        <f t="shared" si="470"/>
        <v>-1</v>
      </c>
    </row>
    <row r="276" spans="1:50">
      <c r="A276" s="87" t="s">
        <v>619</v>
      </c>
      <c r="B276" s="263"/>
      <c r="C276" s="263"/>
      <c r="D276" s="263"/>
      <c r="E276" s="263"/>
      <c r="F276" s="263"/>
      <c r="G276" s="263"/>
      <c r="H276" s="263"/>
      <c r="I276" s="263"/>
      <c r="J276" s="263"/>
      <c r="K276" s="263"/>
      <c r="L276" s="263">
        <v>717</v>
      </c>
      <c r="M276" s="263"/>
      <c r="N276" s="263"/>
      <c r="O276" s="263">
        <v>830</v>
      </c>
      <c r="P276" s="263">
        <v>797</v>
      </c>
      <c r="Q276" s="263">
        <v>429</v>
      </c>
      <c r="R276" s="263">
        <v>758</v>
      </c>
      <c r="S276" s="263">
        <v>535</v>
      </c>
      <c r="T276" s="263">
        <v>729</v>
      </c>
      <c r="U276" s="263">
        <v>1112</v>
      </c>
      <c r="V276" s="263">
        <v>1042</v>
      </c>
      <c r="W276" s="263">
        <v>1067</v>
      </c>
      <c r="X276" s="263">
        <v>1506</v>
      </c>
      <c r="Y276" s="263">
        <v>1305</v>
      </c>
      <c r="Z276" s="263">
        <v>911</v>
      </c>
      <c r="AA276" s="263">
        <v>1069</v>
      </c>
      <c r="AB276" s="263">
        <v>1190</v>
      </c>
      <c r="AC276" s="263"/>
      <c r="AD276" s="263">
        <v>1735</v>
      </c>
      <c r="AE276" s="263">
        <v>1812</v>
      </c>
      <c r="AF276" s="263"/>
      <c r="AH276" s="263"/>
      <c r="AI276" s="263"/>
      <c r="AJ276" s="263"/>
      <c r="AK276" s="4"/>
      <c r="AL276" s="20"/>
      <c r="AM276" s="20"/>
      <c r="AN276" s="20">
        <v>3175</v>
      </c>
      <c r="AO276" s="20">
        <v>2822</v>
      </c>
      <c r="AP276" s="20">
        <v>3134</v>
      </c>
      <c r="AQ276" s="20">
        <v>4920</v>
      </c>
      <c r="AR276" s="20"/>
      <c r="AS276" s="20"/>
      <c r="AT276" s="20"/>
      <c r="AU276" s="19">
        <f t="shared" si="470"/>
        <v>-0.11118110236220469</v>
      </c>
      <c r="AV276" s="19">
        <f t="shared" si="470"/>
        <v>0.11055988660524441</v>
      </c>
      <c r="AW276" s="19">
        <f t="shared" si="470"/>
        <v>0.56987874920229742</v>
      </c>
      <c r="AX276" s="19">
        <f t="shared" si="470"/>
        <v>-1</v>
      </c>
    </row>
    <row r="277" spans="1:50">
      <c r="A277" s="87" t="s">
        <v>687</v>
      </c>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v>4453</v>
      </c>
      <c r="AD277" s="263"/>
      <c r="AE277" s="263"/>
      <c r="AF277" s="263">
        <v>6395</v>
      </c>
      <c r="AG277" s="263">
        <v>6675</v>
      </c>
      <c r="AH277" s="263"/>
      <c r="AI277" s="263"/>
      <c r="AJ277" s="263"/>
      <c r="AK277" s="4"/>
      <c r="AL277" s="20"/>
      <c r="AM277" s="20"/>
      <c r="AN277" s="20"/>
      <c r="AO277" s="20"/>
      <c r="AP277" s="20"/>
      <c r="AQ277" s="20"/>
      <c r="AR277" s="20">
        <v>13863</v>
      </c>
      <c r="AS277" s="20">
        <v>23258</v>
      </c>
      <c r="AT277" s="20"/>
      <c r="AU277" s="19"/>
      <c r="AV277" s="19"/>
      <c r="AW277" s="19"/>
      <c r="AX277" s="19"/>
    </row>
    <row r="278" spans="1:50" s="264" customFormat="1">
      <c r="A278" s="6" t="s">
        <v>688</v>
      </c>
      <c r="B278" s="278">
        <v>0</v>
      </c>
      <c r="C278" s="278">
        <f t="shared" ref="C278:Q278" si="471">SUM(C273:C276)</f>
        <v>0</v>
      </c>
      <c r="D278" s="278">
        <f t="shared" si="471"/>
        <v>0</v>
      </c>
      <c r="E278" s="278">
        <f t="shared" si="471"/>
        <v>0</v>
      </c>
      <c r="F278" s="278">
        <f t="shared" si="471"/>
        <v>0</v>
      </c>
      <c r="G278" s="278">
        <f t="shared" si="471"/>
        <v>0</v>
      </c>
      <c r="H278" s="278">
        <f t="shared" si="471"/>
        <v>0</v>
      </c>
      <c r="I278" s="278">
        <f t="shared" si="471"/>
        <v>0</v>
      </c>
      <c r="J278" s="278">
        <f t="shared" si="471"/>
        <v>0</v>
      </c>
      <c r="K278" s="278">
        <f t="shared" si="471"/>
        <v>0</v>
      </c>
      <c r="L278" s="278">
        <f t="shared" si="471"/>
        <v>11906</v>
      </c>
      <c r="M278" s="278">
        <f t="shared" si="471"/>
        <v>0</v>
      </c>
      <c r="N278" s="278">
        <f t="shared" si="471"/>
        <v>0</v>
      </c>
      <c r="O278" s="278">
        <f t="shared" si="471"/>
        <v>15694</v>
      </c>
      <c r="P278" s="278">
        <f t="shared" si="471"/>
        <v>16581</v>
      </c>
      <c r="Q278" s="278">
        <f t="shared" si="471"/>
        <v>17429</v>
      </c>
      <c r="R278" s="278">
        <f t="shared" ref="R278:W278" si="472">SUM(R273:R276)</f>
        <v>18294</v>
      </c>
      <c r="S278" s="278">
        <f t="shared" si="472"/>
        <v>19594</v>
      </c>
      <c r="T278" s="278">
        <f t="shared" si="472"/>
        <v>20558</v>
      </c>
      <c r="U278" s="278">
        <f t="shared" si="472"/>
        <v>21700</v>
      </c>
      <c r="V278" s="278">
        <f t="shared" si="472"/>
        <v>22210</v>
      </c>
      <c r="W278" s="278">
        <f t="shared" si="472"/>
        <v>22762</v>
      </c>
      <c r="X278" s="278">
        <f t="shared" ref="X278:Z278" si="473">SUM(X273:X276)</f>
        <v>23233</v>
      </c>
      <c r="Y278" s="278">
        <f t="shared" si="473"/>
        <v>23585</v>
      </c>
      <c r="Z278" s="278">
        <f t="shared" si="473"/>
        <v>24008</v>
      </c>
      <c r="AA278" s="278">
        <f t="shared" ref="AA278:AB278" si="474">SUM(AA273:AA276)</f>
        <v>30623</v>
      </c>
      <c r="AB278" s="278">
        <f t="shared" si="474"/>
        <v>32581</v>
      </c>
      <c r="AC278" s="278">
        <f>SUM(AC273:AC277)</f>
        <v>34222</v>
      </c>
      <c r="AD278" s="278">
        <f t="shared" ref="AD278" si="475">SUM(AD273:AD276)</f>
        <v>36886</v>
      </c>
      <c r="AE278" s="278">
        <f t="shared" ref="AE278" si="476">SUM(AE273:AE276)</f>
        <v>39857</v>
      </c>
      <c r="AF278" s="278">
        <f>SUM(AF273:AF277)</f>
        <v>42315</v>
      </c>
      <c r="AG278" s="278">
        <f t="shared" ref="AG278" si="477">SUM(AG273:AG277)</f>
        <v>44504</v>
      </c>
      <c r="AH278" s="278"/>
      <c r="AI278" s="278"/>
      <c r="AJ278" s="278"/>
      <c r="AK278" s="6">
        <f t="shared" ref="AK278:AQ278" si="478">SUM(AK273:AK276)</f>
        <v>0</v>
      </c>
      <c r="AL278" s="6">
        <f t="shared" si="478"/>
        <v>0</v>
      </c>
      <c r="AM278" s="278">
        <f t="shared" si="478"/>
        <v>0</v>
      </c>
      <c r="AN278" s="278">
        <f t="shared" si="478"/>
        <v>46628</v>
      </c>
      <c r="AO278" s="278">
        <f t="shared" si="478"/>
        <v>64320</v>
      </c>
      <c r="AP278" s="278">
        <f t="shared" si="478"/>
        <v>80146</v>
      </c>
      <c r="AQ278" s="278">
        <f t="shared" si="478"/>
        <v>90089</v>
      </c>
      <c r="AR278" s="278">
        <f>SUM(AR273:AR277)</f>
        <v>120733</v>
      </c>
      <c r="AS278" s="278">
        <f>SUM(AS273:AS277)</f>
        <v>164027</v>
      </c>
      <c r="AT278" s="278"/>
      <c r="AU278" s="19">
        <f t="shared" si="470"/>
        <v>0.37942866946898857</v>
      </c>
      <c r="AV278" s="19">
        <f t="shared" si="470"/>
        <v>0.24605099502487571</v>
      </c>
      <c r="AW278" s="19">
        <f t="shared" si="470"/>
        <v>0.12406108851346298</v>
      </c>
      <c r="AX278" s="19">
        <f t="shared" si="470"/>
        <v>0.34015251584544171</v>
      </c>
    </row>
    <row r="279" spans="1:50">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row>
    <row r="280" spans="1:50">
      <c r="A280" s="251" t="s">
        <v>689</v>
      </c>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52"/>
      <c r="AH280" s="252"/>
      <c r="AI280" s="252"/>
      <c r="AJ280" s="252"/>
      <c r="AK280" s="252"/>
      <c r="AL280" s="252"/>
      <c r="AM280" s="252"/>
      <c r="AN280" s="252"/>
      <c r="AO280" s="252"/>
      <c r="AP280" s="252"/>
      <c r="AQ280" s="252"/>
      <c r="AR280" s="252"/>
      <c r="AS280" s="252"/>
      <c r="AT280" s="252"/>
      <c r="AU280" s="252"/>
      <c r="AV280" s="252"/>
      <c r="AW280" s="252"/>
      <c r="AX280" s="252"/>
    </row>
    <row r="281" spans="1:50">
      <c r="A281" s="87" t="s">
        <v>616</v>
      </c>
      <c r="B281" s="263"/>
      <c r="C281" s="21"/>
      <c r="D281" s="21"/>
      <c r="E281" s="21"/>
      <c r="F281" s="263"/>
      <c r="G281" s="263"/>
      <c r="H281" s="263"/>
      <c r="I281" s="263"/>
      <c r="J281" s="263"/>
      <c r="K281" s="263"/>
      <c r="L281" s="263">
        <v>1098</v>
      </c>
      <c r="M281" s="263"/>
      <c r="N281" s="263"/>
      <c r="O281" s="263">
        <v>1502</v>
      </c>
      <c r="P281" s="263">
        <v>1771</v>
      </c>
      <c r="Q281" s="263">
        <v>1597</v>
      </c>
      <c r="R281" s="263">
        <v>1513</v>
      </c>
      <c r="S281" s="263">
        <v>1796</v>
      </c>
      <c r="T281" s="263">
        <v>1541</v>
      </c>
      <c r="U281" s="263">
        <v>1326</v>
      </c>
      <c r="V281" s="263">
        <v>1641</v>
      </c>
      <c r="W281" s="263">
        <v>2010</v>
      </c>
      <c r="X281" s="263">
        <v>2101</v>
      </c>
      <c r="Y281" s="263">
        <v>2217</v>
      </c>
      <c r="Z281" s="263">
        <v>1914</v>
      </c>
      <c r="AA281" s="263">
        <v>2828</v>
      </c>
      <c r="AB281" s="263">
        <v>3048</v>
      </c>
      <c r="AC281" s="263">
        <v>2686</v>
      </c>
      <c r="AD281" s="263">
        <v>3621</v>
      </c>
      <c r="AE281" s="263">
        <v>4505</v>
      </c>
      <c r="AF281" s="263">
        <v>4325</v>
      </c>
      <c r="AG281" s="263">
        <v>4830</v>
      </c>
      <c r="AH281" s="263"/>
      <c r="AI281" s="263"/>
      <c r="AJ281" s="263"/>
      <c r="AK281" s="4"/>
      <c r="AL281" s="20"/>
      <c r="AM281" s="20"/>
      <c r="AN281" s="20">
        <v>3866</v>
      </c>
      <c r="AO281" s="20">
        <v>6056</v>
      </c>
      <c r="AP281" s="20">
        <v>6176</v>
      </c>
      <c r="AQ281" s="20">
        <v>8085</v>
      </c>
      <c r="AR281" s="20">
        <v>8170</v>
      </c>
      <c r="AS281" s="20">
        <v>15788</v>
      </c>
      <c r="AT281" s="20"/>
      <c r="AU281" s="19">
        <f>AO281/AN281-1</f>
        <v>0.56647697878944636</v>
      </c>
      <c r="AV281" s="19">
        <f>AP281/AO281-1</f>
        <v>1.9815059445178251E-2</v>
      </c>
      <c r="AW281" s="19">
        <f>AQ281/AP281-1</f>
        <v>0.30909974093264259</v>
      </c>
      <c r="AX281" s="19">
        <f>AR281/AQ281-1</f>
        <v>1.0513296227582014E-2</v>
      </c>
    </row>
    <row r="282" spans="1:50">
      <c r="A282" s="87" t="s">
        <v>617</v>
      </c>
      <c r="B282" s="263"/>
      <c r="C282" s="21"/>
      <c r="D282" s="21"/>
      <c r="E282" s="21"/>
      <c r="F282" s="263"/>
      <c r="G282" s="263"/>
      <c r="H282" s="263"/>
      <c r="I282" s="263"/>
      <c r="J282" s="263"/>
      <c r="K282" s="263"/>
      <c r="L282" s="263">
        <v>898</v>
      </c>
      <c r="M282" s="263"/>
      <c r="N282" s="263"/>
      <c r="O282" s="263">
        <v>1053</v>
      </c>
      <c r="P282" s="263">
        <v>1181</v>
      </c>
      <c r="Q282" s="263">
        <v>1608</v>
      </c>
      <c r="R282" s="263">
        <v>1401</v>
      </c>
      <c r="S282" s="263">
        <v>1576</v>
      </c>
      <c r="T282" s="263">
        <v>1960</v>
      </c>
      <c r="U282" s="263">
        <v>1674</v>
      </c>
      <c r="V282" s="263">
        <v>1601</v>
      </c>
      <c r="W282" s="263">
        <v>1527</v>
      </c>
      <c r="X282" s="263">
        <v>1998</v>
      </c>
      <c r="Y282" s="263">
        <v>1927</v>
      </c>
      <c r="Z282" s="263">
        <v>1274</v>
      </c>
      <c r="AA282" s="263">
        <v>1670</v>
      </c>
      <c r="AB282" s="263">
        <v>1889</v>
      </c>
      <c r="AC282" s="263">
        <v>1633</v>
      </c>
      <c r="AD282" s="263">
        <v>1767</v>
      </c>
      <c r="AE282" s="263">
        <v>2053</v>
      </c>
      <c r="AF282" s="263">
        <v>1711</v>
      </c>
      <c r="AG282" s="263">
        <v>2318</v>
      </c>
      <c r="AH282" s="263"/>
      <c r="AI282" s="263"/>
      <c r="AJ282" s="263"/>
      <c r="AK282" s="4"/>
      <c r="AL282" s="20"/>
      <c r="AM282" s="20"/>
      <c r="AN282" s="20">
        <v>3604</v>
      </c>
      <c r="AO282" s="20">
        <v>4706</v>
      </c>
      <c r="AP282" s="20">
        <v>6611</v>
      </c>
      <c r="AQ282" s="20">
        <v>7084</v>
      </c>
      <c r="AR282" s="20">
        <v>5414</v>
      </c>
      <c r="AS282" s="20">
        <v>7349</v>
      </c>
      <c r="AT282" s="20"/>
      <c r="AU282" s="19">
        <f t="shared" ref="AU282:AU286" si="479">AO282/AN282-1</f>
        <v>0.3057713651498335</v>
      </c>
      <c r="AV282" s="19">
        <f t="shared" ref="AV282:AV286" si="480">AP282/AO282-1</f>
        <v>0.40480237994050139</v>
      </c>
      <c r="AW282" s="19">
        <f t="shared" ref="AW282:AW286" si="481">AQ282/AP282-1</f>
        <v>7.1547420965058173E-2</v>
      </c>
      <c r="AX282" s="19">
        <f t="shared" ref="AX282:AX286" si="482">AR282/AQ282-1</f>
        <v>-0.23574251835121396</v>
      </c>
    </row>
    <row r="283" spans="1:50">
      <c r="A283" s="87" t="s">
        <v>686</v>
      </c>
      <c r="B283" s="263"/>
      <c r="C283" s="21"/>
      <c r="D283" s="21"/>
      <c r="E283" s="21"/>
      <c r="F283" s="263"/>
      <c r="G283" s="263"/>
      <c r="H283" s="263"/>
      <c r="I283" s="263"/>
      <c r="J283" s="263"/>
      <c r="K283" s="263"/>
      <c r="L283" s="263">
        <v>116</v>
      </c>
      <c r="M283" s="263"/>
      <c r="N283" s="263"/>
      <c r="O283" s="263">
        <v>205</v>
      </c>
      <c r="P283" s="263">
        <v>137</v>
      </c>
      <c r="Q283" s="263">
        <v>135</v>
      </c>
      <c r="R283" s="263">
        <v>130</v>
      </c>
      <c r="S283" s="263">
        <v>176</v>
      </c>
      <c r="T283" s="263">
        <v>221</v>
      </c>
      <c r="U283" s="263">
        <v>222</v>
      </c>
      <c r="V283" s="263">
        <v>140</v>
      </c>
      <c r="W283" s="263">
        <v>115</v>
      </c>
      <c r="X283" s="263">
        <v>120</v>
      </c>
      <c r="Y283" s="263">
        <v>106</v>
      </c>
      <c r="Z283" s="263">
        <v>22</v>
      </c>
      <c r="AA283" s="263">
        <v>166</v>
      </c>
      <c r="AB283" s="263">
        <v>94</v>
      </c>
      <c r="AC283" s="263"/>
      <c r="AD283" s="263">
        <v>852</v>
      </c>
      <c r="AE283" s="263">
        <v>858</v>
      </c>
      <c r="AF283" s="263"/>
      <c r="AG283" s="263"/>
      <c r="AH283" s="263"/>
      <c r="AI283" s="263"/>
      <c r="AJ283" s="263"/>
      <c r="AK283" s="4"/>
      <c r="AL283" s="20"/>
      <c r="AM283" s="20"/>
      <c r="AN283" s="20">
        <v>408</v>
      </c>
      <c r="AO283" s="20">
        <v>590</v>
      </c>
      <c r="AP283" s="20">
        <v>749</v>
      </c>
      <c r="AQ283" s="20">
        <v>481</v>
      </c>
      <c r="AR283" s="20"/>
      <c r="AS283" s="20"/>
      <c r="AT283" s="20"/>
      <c r="AU283" s="19">
        <f t="shared" si="479"/>
        <v>0.44607843137254899</v>
      </c>
      <c r="AV283" s="19">
        <f t="shared" si="480"/>
        <v>0.26949152542372889</v>
      </c>
      <c r="AW283" s="19">
        <f t="shared" si="481"/>
        <v>-0.3578104138851802</v>
      </c>
      <c r="AX283" s="19">
        <f t="shared" si="482"/>
        <v>-1</v>
      </c>
    </row>
    <row r="284" spans="1:50">
      <c r="A284" s="87" t="s">
        <v>619</v>
      </c>
      <c r="B284" s="263"/>
      <c r="C284" s="263"/>
      <c r="D284" s="263"/>
      <c r="E284" s="263"/>
      <c r="F284" s="263"/>
      <c r="G284" s="263"/>
      <c r="H284" s="263"/>
      <c r="I284" s="263"/>
      <c r="J284" s="263"/>
      <c r="K284" s="263"/>
      <c r="L284" s="263">
        <v>-102</v>
      </c>
      <c r="M284" s="263"/>
      <c r="N284" s="263"/>
      <c r="O284" s="263">
        <v>-23</v>
      </c>
      <c r="P284" s="263">
        <v>-69</v>
      </c>
      <c r="Q284" s="263">
        <v>-47</v>
      </c>
      <c r="R284" s="263">
        <v>-126</v>
      </c>
      <c r="S284" s="263">
        <v>-104</v>
      </c>
      <c r="T284" s="263">
        <v>-107</v>
      </c>
      <c r="U284" s="263">
        <v>51</v>
      </c>
      <c r="V284" s="263">
        <v>-231</v>
      </c>
      <c r="W284" s="263">
        <v>-178</v>
      </c>
      <c r="X284" s="263">
        <v>-207</v>
      </c>
      <c r="Y284" s="263">
        <v>-212</v>
      </c>
      <c r="Z284" s="263">
        <v>-76</v>
      </c>
      <c r="AA284" s="263">
        <v>-113</v>
      </c>
      <c r="AB284" s="263">
        <v>-136</v>
      </c>
      <c r="AC284" s="263"/>
      <c r="AD284" s="263">
        <v>-99</v>
      </c>
      <c r="AE284" s="263">
        <v>-45</v>
      </c>
      <c r="AF284" s="263"/>
      <c r="AG284" s="263"/>
      <c r="AH284" s="263"/>
      <c r="AI284" s="263"/>
      <c r="AJ284" s="263"/>
      <c r="AK284" s="4"/>
      <c r="AL284" s="20"/>
      <c r="AM284" s="20"/>
      <c r="AN284" s="20">
        <v>-13</v>
      </c>
      <c r="AO284" s="20">
        <v>-198</v>
      </c>
      <c r="AP284" s="20">
        <v>-286</v>
      </c>
      <c r="AQ284" s="20">
        <v>-828</v>
      </c>
      <c r="AR284" s="20"/>
      <c r="AS284" s="20"/>
      <c r="AT284" s="20"/>
      <c r="AU284" s="19">
        <f t="shared" si="479"/>
        <v>14.23076923076923</v>
      </c>
      <c r="AV284" s="19">
        <f t="shared" si="480"/>
        <v>0.44444444444444442</v>
      </c>
      <c r="AW284" s="19">
        <f t="shared" si="481"/>
        <v>1.895104895104895</v>
      </c>
      <c r="AX284" s="19">
        <f t="shared" si="482"/>
        <v>-1</v>
      </c>
    </row>
    <row r="285" spans="1:50">
      <c r="A285" s="87" t="s">
        <v>690</v>
      </c>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v>-124</v>
      </c>
      <c r="AD285" s="263"/>
      <c r="AE285" s="263"/>
      <c r="AF285" s="263">
        <v>-8</v>
      </c>
      <c r="AG285" s="263">
        <v>220</v>
      </c>
      <c r="AH285" s="263"/>
      <c r="AI285" s="263"/>
      <c r="AJ285" s="263"/>
      <c r="AK285" s="4"/>
      <c r="AL285" s="20"/>
      <c r="AM285" s="20"/>
      <c r="AN285" s="20"/>
      <c r="AO285" s="20"/>
      <c r="AP285" s="20"/>
      <c r="AQ285" s="20"/>
      <c r="AR285" s="20">
        <v>-642</v>
      </c>
      <c r="AS285" s="20">
        <v>508</v>
      </c>
      <c r="AT285" s="20"/>
      <c r="AU285" s="19"/>
      <c r="AV285" s="19"/>
      <c r="AW285" s="19"/>
      <c r="AX285" s="19"/>
    </row>
    <row r="286" spans="1:50" s="264" customFormat="1">
      <c r="A286" s="6" t="s">
        <v>691</v>
      </c>
      <c r="B286" s="279"/>
      <c r="C286" s="279"/>
      <c r="D286" s="279"/>
      <c r="E286" s="279"/>
      <c r="F286" s="279"/>
      <c r="G286" s="279"/>
      <c r="H286" s="279"/>
      <c r="I286" s="279"/>
      <c r="J286" s="279"/>
      <c r="K286" s="279"/>
      <c r="L286" s="278">
        <f t="shared" ref="L286:T286" si="483">SUM(L281:L284)</f>
        <v>2010</v>
      </c>
      <c r="M286" s="278">
        <f t="shared" si="483"/>
        <v>0</v>
      </c>
      <c r="N286" s="278">
        <f t="shared" si="483"/>
        <v>0</v>
      </c>
      <c r="O286" s="278">
        <f t="shared" si="483"/>
        <v>2737</v>
      </c>
      <c r="P286" s="278">
        <f t="shared" si="483"/>
        <v>3020</v>
      </c>
      <c r="Q286" s="278">
        <f t="shared" si="483"/>
        <v>3293</v>
      </c>
      <c r="R286" s="278">
        <f t="shared" si="483"/>
        <v>2918</v>
      </c>
      <c r="S286" s="278">
        <f t="shared" si="483"/>
        <v>3444</v>
      </c>
      <c r="T286" s="278">
        <f t="shared" si="483"/>
        <v>3615</v>
      </c>
      <c r="U286" s="278">
        <f t="shared" ref="U286:V286" si="484">SUM(U281:U284)</f>
        <v>3273</v>
      </c>
      <c r="V286" s="278">
        <f t="shared" si="484"/>
        <v>3151</v>
      </c>
      <c r="W286" s="278">
        <f t="shared" ref="W286:X286" si="485">SUM(W281:W284)</f>
        <v>3474</v>
      </c>
      <c r="X286" s="278">
        <f t="shared" si="485"/>
        <v>4012</v>
      </c>
      <c r="Y286" s="278">
        <f t="shared" ref="Y286:Z286" si="486">SUM(Y281:Y284)</f>
        <v>4038</v>
      </c>
      <c r="Z286" s="278">
        <f t="shared" si="486"/>
        <v>3134</v>
      </c>
      <c r="AA286" s="278">
        <f t="shared" ref="AA286:AB286" si="487">SUM(AA281:AA284)</f>
        <v>4551</v>
      </c>
      <c r="AB286" s="278">
        <f t="shared" si="487"/>
        <v>4895</v>
      </c>
      <c r="AC286" s="278">
        <f>SUM(AC281:AC285)</f>
        <v>4195</v>
      </c>
      <c r="AD286" s="278">
        <f t="shared" ref="AD286" si="488">SUM(AD281:AD284)</f>
        <v>6141</v>
      </c>
      <c r="AE286" s="278">
        <f t="shared" ref="AE286" si="489">SUM(AE281:AE284)</f>
        <v>7371</v>
      </c>
      <c r="AF286" s="278">
        <f>SUM(AF281:AF285)</f>
        <v>6028</v>
      </c>
      <c r="AG286" s="278">
        <f>SUM(AG281:AG285)</f>
        <v>7368</v>
      </c>
      <c r="AH286" s="278"/>
      <c r="AI286" s="278"/>
      <c r="AJ286" s="278"/>
      <c r="AK286" s="6">
        <f t="shared" ref="AK286:AQ286" si="490">SUM(AK281:AK284)</f>
        <v>0</v>
      </c>
      <c r="AL286" s="278">
        <f t="shared" si="490"/>
        <v>0</v>
      </c>
      <c r="AM286" s="278">
        <f t="shared" si="490"/>
        <v>0</v>
      </c>
      <c r="AN286" s="278">
        <f t="shared" si="490"/>
        <v>7865</v>
      </c>
      <c r="AO286" s="278">
        <f t="shared" si="490"/>
        <v>11154</v>
      </c>
      <c r="AP286" s="278">
        <f t="shared" si="490"/>
        <v>13250</v>
      </c>
      <c r="AQ286" s="278">
        <f t="shared" si="490"/>
        <v>14822</v>
      </c>
      <c r="AR286" s="278">
        <f>SUM(AR281:AR285)</f>
        <v>12942</v>
      </c>
      <c r="AS286" s="278">
        <f>SUM(AS281:AS285)</f>
        <v>23645</v>
      </c>
      <c r="AT286" s="278"/>
      <c r="AU286" s="19">
        <f t="shared" si="479"/>
        <v>0.41818181818181821</v>
      </c>
      <c r="AV286" s="19">
        <f t="shared" si="480"/>
        <v>0.18791464945311098</v>
      </c>
      <c r="AW286" s="19">
        <f t="shared" si="481"/>
        <v>0.11864150943396234</v>
      </c>
      <c r="AX286" s="19">
        <f t="shared" si="482"/>
        <v>-0.12683848333558223</v>
      </c>
    </row>
    <row r="287" spans="1:50">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20"/>
      <c r="AM287" s="20"/>
      <c r="AN287" s="20"/>
      <c r="AO287" s="20"/>
      <c r="AP287" s="20"/>
      <c r="AQ287" s="20"/>
      <c r="AR287" s="20"/>
      <c r="AS287" s="20"/>
      <c r="AT287" s="20"/>
      <c r="AU287" s="20"/>
      <c r="AV287" s="20"/>
      <c r="AW287" s="20"/>
      <c r="AX287" s="20"/>
    </row>
    <row r="288" spans="1:50">
      <c r="A288" s="4"/>
      <c r="B288" s="4"/>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252"/>
      <c r="AL288" s="252"/>
      <c r="AM288" s="252"/>
      <c r="AN288" s="252"/>
      <c r="AO288" s="252"/>
      <c r="AP288" s="252"/>
      <c r="AQ288" s="252"/>
      <c r="AR288" s="252"/>
      <c r="AS288" s="252"/>
      <c r="AT288" s="252"/>
      <c r="AU288" s="252"/>
      <c r="AV288" s="252"/>
      <c r="AW288" s="252"/>
      <c r="AX288" s="252"/>
    </row>
    <row r="289" spans="1:50">
      <c r="A289" s="251" t="s">
        <v>692</v>
      </c>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c r="AA289" s="252"/>
      <c r="AB289" s="252"/>
      <c r="AC289" s="252"/>
      <c r="AD289" s="252"/>
      <c r="AE289" s="252"/>
      <c r="AF289" s="252"/>
      <c r="AG289" s="252"/>
      <c r="AH289" s="252"/>
      <c r="AI289" s="252"/>
      <c r="AJ289" s="252"/>
      <c r="AK289" s="252"/>
      <c r="AL289" s="252"/>
      <c r="AM289" s="252"/>
      <c r="AN289" s="252"/>
      <c r="AO289" s="252"/>
      <c r="AP289" s="252"/>
      <c r="AQ289" s="252"/>
      <c r="AR289" s="252"/>
      <c r="AS289" s="252"/>
      <c r="AT289" s="252"/>
      <c r="AU289" s="252"/>
      <c r="AV289" s="252"/>
      <c r="AW289" s="252"/>
      <c r="AX289" s="252"/>
    </row>
    <row r="290" spans="1:50" ht="15.75" customHeight="1">
      <c r="A290" s="87" t="s">
        <v>616</v>
      </c>
      <c r="B290" s="12"/>
      <c r="C290" s="329" t="e">
        <f t="shared" ref="C290:O290" si="491">C281/C273*100</f>
        <v>#DIV/0!</v>
      </c>
      <c r="D290" s="329" t="e">
        <f t="shared" si="491"/>
        <v>#DIV/0!</v>
      </c>
      <c r="E290" s="329" t="e">
        <f t="shared" si="491"/>
        <v>#DIV/0!</v>
      </c>
      <c r="F290" s="329" t="e">
        <f t="shared" si="491"/>
        <v>#DIV/0!</v>
      </c>
      <c r="G290" s="329" t="e">
        <f t="shared" si="491"/>
        <v>#DIV/0!</v>
      </c>
      <c r="H290" s="329" t="e">
        <f t="shared" si="491"/>
        <v>#DIV/0!</v>
      </c>
      <c r="I290" s="329" t="e">
        <f t="shared" si="491"/>
        <v>#DIV/0!</v>
      </c>
      <c r="J290" s="329" t="e">
        <f t="shared" si="491"/>
        <v>#DIV/0!</v>
      </c>
      <c r="K290" s="329" t="e">
        <f t="shared" si="491"/>
        <v>#DIV/0!</v>
      </c>
      <c r="L290" s="329">
        <f t="shared" si="491"/>
        <v>18.660774983004757</v>
      </c>
      <c r="M290" s="329" t="e">
        <f t="shared" si="491"/>
        <v>#DIV/0!</v>
      </c>
      <c r="N290" s="329" t="e">
        <f t="shared" si="491"/>
        <v>#DIV/0!</v>
      </c>
      <c r="O290" s="329">
        <f t="shared" si="491"/>
        <v>18.328248932275777</v>
      </c>
      <c r="P290" s="329">
        <f t="shared" ref="P290:Q293" si="492">P281/P273*100</f>
        <v>20.024875621890548</v>
      </c>
      <c r="Q290" s="329">
        <f t="shared" si="492"/>
        <v>18.352102964835669</v>
      </c>
      <c r="R290" s="329">
        <f t="shared" ref="R290:S290" si="493">R281/R273*100</f>
        <v>16.136945392491466</v>
      </c>
      <c r="S290" s="329">
        <f t="shared" si="493"/>
        <v>17.87598288046183</v>
      </c>
      <c r="T290" s="329">
        <f t="shared" ref="T290:U290" si="494">T281/T273*100</f>
        <v>15.233293792012653</v>
      </c>
      <c r="U290" s="329">
        <f t="shared" si="494"/>
        <v>12.651464554908884</v>
      </c>
      <c r="V290" s="329">
        <f t="shared" ref="V290:W290" si="495">V281/V273*100</f>
        <v>14.87760652765186</v>
      </c>
      <c r="W290" s="329">
        <f t="shared" si="495"/>
        <v>17.874610938194753</v>
      </c>
      <c r="X290" s="329">
        <f t="shared" ref="X290:Z290" si="496">X281/X273*100</f>
        <v>19.41953969867825</v>
      </c>
      <c r="Y290" s="329">
        <f t="shared" si="496"/>
        <v>19.696162046908317</v>
      </c>
      <c r="Z290" s="329">
        <f t="shared" si="496"/>
        <v>15.977961432506888</v>
      </c>
      <c r="AA290" s="329">
        <f t="shared" ref="AA290:AB290" si="497">AA281/AA273*100</f>
        <v>16.759511674765911</v>
      </c>
      <c r="AB290" s="329">
        <f t="shared" si="497"/>
        <v>16.41003553354151</v>
      </c>
      <c r="AC290" s="329">
        <f t="shared" ref="AC290:AD290" si="498">AC281/AC273*100</f>
        <v>14.320750693111536</v>
      </c>
      <c r="AD290" s="329">
        <f t="shared" si="498"/>
        <v>17.305486522653414</v>
      </c>
      <c r="AE290" s="329">
        <f t="shared" ref="AE290:AF290" si="499">AE281/AE273*100</f>
        <v>19.522447564569251</v>
      </c>
      <c r="AF290" s="329">
        <f t="shared" si="499"/>
        <v>18.044140347949433</v>
      </c>
      <c r="AG290" s="329">
        <f t="shared" ref="AG290" si="500">AG281/AG273*100</f>
        <v>19.132501485442663</v>
      </c>
      <c r="AH290" s="329"/>
      <c r="AI290" s="329"/>
      <c r="AJ290" s="329"/>
      <c r="AK290" s="12"/>
      <c r="AL290" s="12"/>
      <c r="AM290" s="12"/>
      <c r="AN290" s="19">
        <f t="shared" ref="AN290" si="501">AN281/AN273</f>
        <v>0.17386220543263176</v>
      </c>
      <c r="AO290" s="19">
        <f t="shared" ref="AO290:AP290" si="502">AO281/AO273</f>
        <v>0.18192742129295841</v>
      </c>
      <c r="AP290" s="19">
        <f t="shared" si="502"/>
        <v>0.15432283858070964</v>
      </c>
      <c r="AQ290" s="19">
        <f t="shared" ref="AQ290:AR293" si="503">AQ281/AQ273</f>
        <v>0.18229988726042842</v>
      </c>
      <c r="AR290" s="19">
        <f t="shared" si="503"/>
        <v>0.12343254268016317</v>
      </c>
      <c r="AS290" s="19">
        <f t="shared" ref="AS290" si="504">AS281/AS273</f>
        <v>0.16913781282139184</v>
      </c>
      <c r="AT290" s="19"/>
      <c r="AU290" s="19"/>
      <c r="AV290" s="887">
        <f>(AP290-AO290)*10000</f>
        <v>-276.04582712248776</v>
      </c>
      <c r="AW290" s="887">
        <f>(AQ290-AP290)*10000</f>
        <v>279.77048679718786</v>
      </c>
      <c r="AX290" s="887">
        <f>(AR290-AQ290)*10000</f>
        <v>-588.67344580265251</v>
      </c>
    </row>
    <row r="291" spans="1:50">
      <c r="A291" s="87" t="s">
        <v>617</v>
      </c>
      <c r="B291" s="12"/>
      <c r="C291" s="329" t="e">
        <f t="shared" ref="C291:O291" si="505">C282/C274*100</f>
        <v>#DIV/0!</v>
      </c>
      <c r="D291" s="329" t="e">
        <f t="shared" si="505"/>
        <v>#DIV/0!</v>
      </c>
      <c r="E291" s="329" t="e">
        <f t="shared" si="505"/>
        <v>#DIV/0!</v>
      </c>
      <c r="F291" s="329" t="e">
        <f t="shared" si="505"/>
        <v>#DIV/0!</v>
      </c>
      <c r="G291" s="329" t="e">
        <f t="shared" si="505"/>
        <v>#DIV/0!</v>
      </c>
      <c r="H291" s="329" t="e">
        <f t="shared" si="505"/>
        <v>#DIV/0!</v>
      </c>
      <c r="I291" s="329" t="e">
        <f t="shared" si="505"/>
        <v>#DIV/0!</v>
      </c>
      <c r="J291" s="329" t="e">
        <f t="shared" si="505"/>
        <v>#DIV/0!</v>
      </c>
      <c r="K291" s="329" t="e">
        <f t="shared" si="505"/>
        <v>#DIV/0!</v>
      </c>
      <c r="L291" s="329">
        <f t="shared" si="505"/>
        <v>21.074865055151374</v>
      </c>
      <c r="M291" s="329" t="e">
        <f t="shared" si="505"/>
        <v>#DIV/0!</v>
      </c>
      <c r="N291" s="329" t="e">
        <f t="shared" si="505"/>
        <v>#DIV/0!</v>
      </c>
      <c r="O291" s="329">
        <f t="shared" si="505"/>
        <v>20.671378091872793</v>
      </c>
      <c r="P291" s="329">
        <f t="shared" si="492"/>
        <v>21.149713467048713</v>
      </c>
      <c r="Q291" s="329">
        <f t="shared" si="492"/>
        <v>23.17670798501009</v>
      </c>
      <c r="R291" s="329">
        <f t="shared" ref="R291:S291" si="506">R282/R274*100</f>
        <v>20.767862436999703</v>
      </c>
      <c r="S291" s="329">
        <f t="shared" si="506"/>
        <v>20.882469855571749</v>
      </c>
      <c r="T291" s="329">
        <f t="shared" ref="T291:U291" si="507">T282/T274*100</f>
        <v>23.634390449776919</v>
      </c>
      <c r="U291" s="329">
        <f t="shared" si="507"/>
        <v>19.490045406915822</v>
      </c>
      <c r="V291" s="329">
        <f t="shared" ref="V291:W291" si="508">V282/V274*100</f>
        <v>18.670553935860056</v>
      </c>
      <c r="W291" s="329">
        <f t="shared" si="508"/>
        <v>17.27766463000679</v>
      </c>
      <c r="X291" s="329">
        <f t="shared" ref="X291:Z291" si="509">X282/X274*100</f>
        <v>21.483870967741936</v>
      </c>
      <c r="Y291" s="329">
        <f t="shared" si="509"/>
        <v>20.398009950248756</v>
      </c>
      <c r="Z291" s="329">
        <f t="shared" si="509"/>
        <v>13.719577859142795</v>
      </c>
      <c r="AA291" s="329">
        <f t="shared" ref="AA291:AB291" si="510">AA282/AA274*100</f>
        <v>16.143064282261964</v>
      </c>
      <c r="AB291" s="329">
        <f t="shared" si="510"/>
        <v>17.601565411852405</v>
      </c>
      <c r="AC291" s="329">
        <f t="shared" ref="AC291:AD291" si="511">AC282/AC274*100</f>
        <v>14.827930627440297</v>
      </c>
      <c r="AD291" s="329">
        <f t="shared" si="511"/>
        <v>16.06509682698427</v>
      </c>
      <c r="AE291" s="329">
        <f t="shared" ref="AE291:AF291" si="512">AE282/AE274*100</f>
        <v>17.779509829392918</v>
      </c>
      <c r="AF291" s="329">
        <f t="shared" si="512"/>
        <v>14.316793573759517</v>
      </c>
      <c r="AG291" s="329">
        <f t="shared" ref="AG291" si="513">AG282/AG274*100</f>
        <v>18.420216147488873</v>
      </c>
      <c r="AH291" s="329"/>
      <c r="AI291" s="329"/>
      <c r="AJ291" s="329"/>
      <c r="AK291" s="12"/>
      <c r="AL291" s="12"/>
      <c r="AM291" s="12"/>
      <c r="AN291" s="19">
        <f t="shared" ref="AN291" si="514">AN282/AN274</f>
        <v>0.20976660264245386</v>
      </c>
      <c r="AO291" s="19">
        <f t="shared" ref="AO291:AP291" si="515">AO282/AO274</f>
        <v>0.2066663738966229</v>
      </c>
      <c r="AP291" s="19">
        <f t="shared" si="515"/>
        <v>0.21206094627105052</v>
      </c>
      <c r="AQ291" s="19">
        <f t="shared" si="503"/>
        <v>0.20557764299602427</v>
      </c>
      <c r="AR291" s="19">
        <f t="shared" si="503"/>
        <v>0.13308751229105212</v>
      </c>
      <c r="AS291" s="19">
        <f t="shared" ref="AS291" si="516">AS282/AS274</f>
        <v>0.1549604638903532</v>
      </c>
      <c r="AT291" s="19"/>
      <c r="AU291" s="19"/>
      <c r="AV291" s="887">
        <f t="shared" ref="AV291:AX295" si="517">(AP291-AO291)*10000</f>
        <v>53.945723744276144</v>
      </c>
      <c r="AW291" s="887">
        <f t="shared" si="517"/>
        <v>-64.833032750262475</v>
      </c>
      <c r="AX291" s="887">
        <f t="shared" si="517"/>
        <v>-724.90130704972148</v>
      </c>
    </row>
    <row r="292" spans="1:50">
      <c r="A292" s="87" t="s">
        <v>686</v>
      </c>
      <c r="B292" s="12"/>
      <c r="C292" s="329" t="e">
        <f t="shared" ref="C292:O292" si="518">C283/C275*100</f>
        <v>#DIV/0!</v>
      </c>
      <c r="D292" s="329" t="e">
        <f t="shared" si="518"/>
        <v>#DIV/0!</v>
      </c>
      <c r="E292" s="329" t="e">
        <f t="shared" si="518"/>
        <v>#DIV/0!</v>
      </c>
      <c r="F292" s="329" t="e">
        <f t="shared" si="518"/>
        <v>#DIV/0!</v>
      </c>
      <c r="G292" s="329" t="e">
        <f t="shared" si="518"/>
        <v>#DIV/0!</v>
      </c>
      <c r="H292" s="329" t="e">
        <f t="shared" si="518"/>
        <v>#DIV/0!</v>
      </c>
      <c r="I292" s="329" t="e">
        <f t="shared" si="518"/>
        <v>#DIV/0!</v>
      </c>
      <c r="J292" s="329" t="e">
        <f t="shared" si="518"/>
        <v>#DIV/0!</v>
      </c>
      <c r="K292" s="329" t="e">
        <f t="shared" si="518"/>
        <v>#DIV/0!</v>
      </c>
      <c r="L292" s="329">
        <f t="shared" si="518"/>
        <v>11.111111111111111</v>
      </c>
      <c r="M292" s="329" t="e">
        <f t="shared" si="518"/>
        <v>#DIV/0!</v>
      </c>
      <c r="N292" s="329" t="e">
        <f t="shared" si="518"/>
        <v>#DIV/0!</v>
      </c>
      <c r="O292" s="329">
        <f t="shared" si="518"/>
        <v>13.015873015873018</v>
      </c>
      <c r="P292" s="329">
        <f t="shared" si="492"/>
        <v>10.103244837758112</v>
      </c>
      <c r="Q292" s="329">
        <f t="shared" si="492"/>
        <v>9.9264705882352935</v>
      </c>
      <c r="R292" s="329">
        <f t="shared" ref="R292:S292" si="519">R283/R275*100</f>
        <v>9.1937765205091928</v>
      </c>
      <c r="S292" s="329">
        <f t="shared" si="519"/>
        <v>12.013651877133105</v>
      </c>
      <c r="T292" s="329">
        <f t="shared" ref="T292:U292" si="520">T283/T275*100</f>
        <v>15.56338028169014</v>
      </c>
      <c r="U292" s="329">
        <f t="shared" si="520"/>
        <v>14.624505928853754</v>
      </c>
      <c r="V292" s="329">
        <f t="shared" ref="V292:W292" si="521">V283/V275*100</f>
        <v>8.9571337172104926</v>
      </c>
      <c r="W292" s="329">
        <f t="shared" si="521"/>
        <v>7.1339950372208429</v>
      </c>
      <c r="X292" s="329">
        <f t="shared" ref="X292:Z292" si="522">X283/X275*100</f>
        <v>7.4626865671641784</v>
      </c>
      <c r="Y292" s="329">
        <f t="shared" si="522"/>
        <v>6.7216233354470507</v>
      </c>
      <c r="Z292" s="329">
        <f t="shared" si="522"/>
        <v>1.2008733624454149</v>
      </c>
      <c r="AA292" s="329">
        <f t="shared" ref="AA292:AB292" si="523">AA283/AA275*100</f>
        <v>7.1092077087794427</v>
      </c>
      <c r="AB292" s="329">
        <f t="shared" si="523"/>
        <v>4.508393285371703</v>
      </c>
      <c r="AC292" s="329" t="e">
        <f t="shared" ref="AC292:AD292" si="524">AC283/AC275*100</f>
        <v>#DIV/0!</v>
      </c>
      <c r="AD292" s="329">
        <f t="shared" si="524"/>
        <v>26.394052044609666</v>
      </c>
      <c r="AE292" s="329">
        <f t="shared" ref="AE292:AF292" si="525">AE283/AE275*100</f>
        <v>25.073056691992985</v>
      </c>
      <c r="AF292" s="329" t="e">
        <f t="shared" si="525"/>
        <v>#DIV/0!</v>
      </c>
      <c r="AG292" s="329" t="e">
        <f t="shared" ref="AG292" si="526">AG283/AG275*100</f>
        <v>#DIV/0!</v>
      </c>
      <c r="AH292" s="329"/>
      <c r="AI292" s="329"/>
      <c r="AJ292" s="329"/>
      <c r="AK292" s="12"/>
      <c r="AL292" s="12"/>
      <c r="AM292" s="12"/>
      <c r="AN292" s="19">
        <f t="shared" ref="AN292" si="527">AN283/AN275</f>
        <v>0.10109018830525272</v>
      </c>
      <c r="AO292" s="19">
        <f t="shared" ref="AO292:AP292" si="528">AO283/AO275</f>
        <v>0.10847582276153704</v>
      </c>
      <c r="AP292" s="19">
        <f t="shared" si="528"/>
        <v>0.12876052948255115</v>
      </c>
      <c r="AQ292" s="19">
        <f t="shared" si="503"/>
        <v>7.562893081761006E-2</v>
      </c>
      <c r="AR292" s="19" t="e">
        <f t="shared" si="503"/>
        <v>#DIV/0!</v>
      </c>
      <c r="AS292" s="19" t="e">
        <f t="shared" ref="AS292" si="529">AS283/AS275</f>
        <v>#DIV/0!</v>
      </c>
      <c r="AT292" s="19"/>
      <c r="AU292" s="19"/>
      <c r="AV292" s="887">
        <f t="shared" si="517"/>
        <v>202.84706721014109</v>
      </c>
      <c r="AW292" s="887">
        <f t="shared" si="517"/>
        <v>-531.31598664941089</v>
      </c>
      <c r="AX292" s="887" t="e">
        <f t="shared" si="517"/>
        <v>#DIV/0!</v>
      </c>
    </row>
    <row r="293" spans="1:50">
      <c r="A293" s="87" t="s">
        <v>619</v>
      </c>
      <c r="B293" s="12"/>
      <c r="C293" s="329" t="e">
        <f t="shared" ref="C293:O293" si="530">C284/C276*100</f>
        <v>#DIV/0!</v>
      </c>
      <c r="D293" s="329" t="e">
        <f t="shared" si="530"/>
        <v>#DIV/0!</v>
      </c>
      <c r="E293" s="329" t="e">
        <f t="shared" si="530"/>
        <v>#DIV/0!</v>
      </c>
      <c r="F293" s="329" t="e">
        <f t="shared" si="530"/>
        <v>#DIV/0!</v>
      </c>
      <c r="G293" s="329" t="e">
        <f t="shared" si="530"/>
        <v>#DIV/0!</v>
      </c>
      <c r="H293" s="329" t="e">
        <f t="shared" si="530"/>
        <v>#DIV/0!</v>
      </c>
      <c r="I293" s="329" t="e">
        <f t="shared" si="530"/>
        <v>#DIV/0!</v>
      </c>
      <c r="J293" s="329" t="e">
        <f t="shared" si="530"/>
        <v>#DIV/0!</v>
      </c>
      <c r="K293" s="329" t="e">
        <f t="shared" si="530"/>
        <v>#DIV/0!</v>
      </c>
      <c r="L293" s="329">
        <f t="shared" si="530"/>
        <v>-14.225941422594143</v>
      </c>
      <c r="M293" s="329" t="e">
        <f t="shared" si="530"/>
        <v>#DIV/0!</v>
      </c>
      <c r="N293" s="329" t="e">
        <f t="shared" si="530"/>
        <v>#DIV/0!</v>
      </c>
      <c r="O293" s="329">
        <f t="shared" si="530"/>
        <v>-2.7710843373493974</v>
      </c>
      <c r="P293" s="329">
        <f t="shared" si="492"/>
        <v>-8.6574654956085322</v>
      </c>
      <c r="Q293" s="329">
        <f t="shared" si="492"/>
        <v>-10.955710955710956</v>
      </c>
      <c r="R293" s="329">
        <f t="shared" ref="R293:S293" si="531">R284/R276*100</f>
        <v>-16.622691292875992</v>
      </c>
      <c r="S293" s="329">
        <f t="shared" si="531"/>
        <v>-19.439252336448597</v>
      </c>
      <c r="T293" s="329">
        <f t="shared" ref="T293:U293" si="532">T284/T276*100</f>
        <v>-14.67764060356653</v>
      </c>
      <c r="U293" s="329">
        <f t="shared" si="532"/>
        <v>4.5863309352517989</v>
      </c>
      <c r="V293" s="329">
        <f t="shared" ref="V293:W293" si="533">V284/V276*100</f>
        <v>-22.168905950095969</v>
      </c>
      <c r="W293" s="329">
        <f t="shared" si="533"/>
        <v>-16.682286785379567</v>
      </c>
      <c r="X293" s="329">
        <f t="shared" ref="X293:Z293" si="534">X284/X276*100</f>
        <v>-13.745019920318724</v>
      </c>
      <c r="Y293" s="329">
        <f t="shared" si="534"/>
        <v>-16.245210727969347</v>
      </c>
      <c r="Z293" s="329">
        <f t="shared" si="534"/>
        <v>-8.3424807903402858</v>
      </c>
      <c r="AA293" s="329">
        <f t="shared" ref="AA293:AB293" si="535">AA284/AA276*100</f>
        <v>-10.570626753975679</v>
      </c>
      <c r="AB293" s="329">
        <f t="shared" si="535"/>
        <v>-11.428571428571429</v>
      </c>
      <c r="AC293" s="329" t="e">
        <f t="shared" ref="AC293:AD293" si="536">AC284/AC276*100</f>
        <v>#DIV/0!</v>
      </c>
      <c r="AD293" s="329">
        <f t="shared" si="536"/>
        <v>-5.706051873198847</v>
      </c>
      <c r="AE293" s="329">
        <f t="shared" ref="AE293:AF293" si="537">AE284/AE276*100</f>
        <v>-2.4834437086092715</v>
      </c>
      <c r="AF293" s="329" t="e">
        <f t="shared" si="537"/>
        <v>#DIV/0!</v>
      </c>
      <c r="AG293" s="329">
        <f>AG284/AG277*100</f>
        <v>0</v>
      </c>
      <c r="AH293" s="329"/>
      <c r="AI293" s="329"/>
      <c r="AJ293" s="329"/>
      <c r="AK293" s="12"/>
      <c r="AL293" s="12"/>
      <c r="AM293" s="12"/>
      <c r="AN293" s="19">
        <f t="shared" ref="AN293" si="538">AN284/AN276</f>
        <v>-4.0944881889763782E-3</v>
      </c>
      <c r="AO293" s="19">
        <f t="shared" ref="AO293:AP293" si="539">AO284/AO276</f>
        <v>-7.0163004961020556E-2</v>
      </c>
      <c r="AP293" s="19">
        <f t="shared" si="539"/>
        <v>-9.1257179323548182E-2</v>
      </c>
      <c r="AQ293" s="19">
        <f t="shared" si="503"/>
        <v>-0.16829268292682928</v>
      </c>
      <c r="AR293" s="19" t="e">
        <f t="shared" si="503"/>
        <v>#DIV/0!</v>
      </c>
      <c r="AS293" s="19" t="e">
        <f t="shared" ref="AS293" si="540">AS284/AS276</f>
        <v>#DIV/0!</v>
      </c>
      <c r="AT293" s="19"/>
      <c r="AU293" s="19"/>
      <c r="AV293" s="887">
        <f t="shared" si="517"/>
        <v>-210.94174362527627</v>
      </c>
      <c r="AW293" s="887">
        <f t="shared" si="517"/>
        <v>-770.35503603281097</v>
      </c>
      <c r="AX293" s="887" t="e">
        <f t="shared" si="517"/>
        <v>#DIV/0!</v>
      </c>
    </row>
    <row r="294" spans="1:50">
      <c r="A294" s="87" t="s">
        <v>687</v>
      </c>
      <c r="B294" s="12"/>
      <c r="C294" s="329"/>
      <c r="D294" s="329"/>
      <c r="E294" s="329"/>
      <c r="F294" s="329"/>
      <c r="G294" s="329"/>
      <c r="H294" s="329"/>
      <c r="I294" s="329"/>
      <c r="J294" s="329"/>
      <c r="K294" s="329"/>
      <c r="L294" s="329"/>
      <c r="M294" s="329"/>
      <c r="N294" s="329"/>
      <c r="O294" s="329"/>
      <c r="P294" s="329"/>
      <c r="Q294" s="329"/>
      <c r="R294" s="329"/>
      <c r="S294" s="329"/>
      <c r="T294" s="329"/>
      <c r="U294" s="329"/>
      <c r="V294" s="329"/>
      <c r="W294" s="329"/>
      <c r="X294" s="329"/>
      <c r="Y294" s="329"/>
      <c r="Z294" s="329"/>
      <c r="AA294" s="329"/>
      <c r="AB294" s="329"/>
      <c r="AC294" s="329">
        <f>AC285/AC277*100</f>
        <v>-2.7846395688300025</v>
      </c>
      <c r="AD294" s="329"/>
      <c r="AE294" s="329"/>
      <c r="AF294" s="329">
        <f>AF285/AF277*100</f>
        <v>-0.12509773260359655</v>
      </c>
      <c r="AG294" s="329">
        <f>AG285/AG277*100</f>
        <v>3.2958801498127341</v>
      </c>
      <c r="AH294" s="329"/>
      <c r="AI294" s="329"/>
      <c r="AJ294" s="329"/>
      <c r="AK294" s="12"/>
      <c r="AL294" s="12"/>
      <c r="AM294" s="12"/>
      <c r="AN294" s="19"/>
      <c r="AO294" s="19"/>
      <c r="AP294" s="19"/>
      <c r="AQ294" s="19"/>
      <c r="AR294" s="19"/>
      <c r="AS294" s="19"/>
      <c r="AT294" s="19"/>
      <c r="AU294" s="19"/>
      <c r="AV294" s="887"/>
      <c r="AW294" s="887"/>
      <c r="AX294" s="887"/>
    </row>
    <row r="295" spans="1:50">
      <c r="A295" s="6" t="s">
        <v>691</v>
      </c>
      <c r="B295" s="12"/>
      <c r="C295" s="329" t="e">
        <f t="shared" ref="C295:O295" si="541">C286/C278*100</f>
        <v>#DIV/0!</v>
      </c>
      <c r="D295" s="329" t="e">
        <f t="shared" si="541"/>
        <v>#DIV/0!</v>
      </c>
      <c r="E295" s="329" t="e">
        <f t="shared" si="541"/>
        <v>#DIV/0!</v>
      </c>
      <c r="F295" s="329" t="e">
        <f t="shared" si="541"/>
        <v>#DIV/0!</v>
      </c>
      <c r="G295" s="329" t="e">
        <f t="shared" si="541"/>
        <v>#DIV/0!</v>
      </c>
      <c r="H295" s="329" t="e">
        <f t="shared" si="541"/>
        <v>#DIV/0!</v>
      </c>
      <c r="I295" s="329" t="e">
        <f t="shared" si="541"/>
        <v>#DIV/0!</v>
      </c>
      <c r="J295" s="329" t="e">
        <f t="shared" si="541"/>
        <v>#DIV/0!</v>
      </c>
      <c r="K295" s="329" t="e">
        <f t="shared" si="541"/>
        <v>#DIV/0!</v>
      </c>
      <c r="L295" s="329">
        <f t="shared" si="541"/>
        <v>16.882244246598354</v>
      </c>
      <c r="M295" s="329" t="e">
        <f t="shared" si="541"/>
        <v>#DIV/0!</v>
      </c>
      <c r="N295" s="329" t="e">
        <f t="shared" si="541"/>
        <v>#DIV/0!</v>
      </c>
      <c r="O295" s="329">
        <f t="shared" si="541"/>
        <v>17.439785905441571</v>
      </c>
      <c r="P295" s="329">
        <f t="shared" ref="P295:Q295" si="542">P286/P278*100</f>
        <v>18.21361799650202</v>
      </c>
      <c r="Q295" s="329">
        <f t="shared" si="542"/>
        <v>18.893797693499341</v>
      </c>
      <c r="R295" s="329">
        <f t="shared" ref="R295:S295" si="543">R286/R278*100</f>
        <v>15.950584891221165</v>
      </c>
      <c r="S295" s="329">
        <f t="shared" si="543"/>
        <v>17.576809227314484</v>
      </c>
      <c r="T295" s="329">
        <f t="shared" ref="T295:U295" si="544">T286/T278*100</f>
        <v>17.584395369199338</v>
      </c>
      <c r="U295" s="329">
        <f t="shared" si="544"/>
        <v>15.082949308755762</v>
      </c>
      <c r="V295" s="329">
        <f t="shared" ref="V295:W295" si="545">V286/V278*100</f>
        <v>14.187303016659161</v>
      </c>
      <c r="W295" s="329">
        <f t="shared" si="545"/>
        <v>15.262279237325366</v>
      </c>
      <c r="X295" s="329">
        <f t="shared" ref="X295:Z295" si="546">X286/X278*100</f>
        <v>17.268540438169843</v>
      </c>
      <c r="Y295" s="329">
        <f t="shared" si="546"/>
        <v>17.121051515793937</v>
      </c>
      <c r="Z295" s="329">
        <f t="shared" si="546"/>
        <v>13.053982005998</v>
      </c>
      <c r="AA295" s="329">
        <f t="shared" ref="AA295:AB295" si="547">AA286/AA278*100</f>
        <v>14.861378702282598</v>
      </c>
      <c r="AB295" s="329">
        <f t="shared" si="547"/>
        <v>15.024093796998251</v>
      </c>
      <c r="AC295" s="329">
        <f t="shared" ref="AC295:AD295" si="548">AC286/AC278*100</f>
        <v>12.258196481795336</v>
      </c>
      <c r="AD295" s="329">
        <f t="shared" si="548"/>
        <v>16.648592962099443</v>
      </c>
      <c r="AE295" s="329">
        <f t="shared" ref="AE295:AF295" si="549">AE286/AE278*100</f>
        <v>18.493614672454022</v>
      </c>
      <c r="AF295" s="329">
        <f t="shared" si="549"/>
        <v>14.24553940682973</v>
      </c>
      <c r="AG295" s="329">
        <f t="shared" ref="AG295" si="550">AG286/AG278*100</f>
        <v>16.555815207621787</v>
      </c>
      <c r="AH295" s="329"/>
      <c r="AI295" s="329"/>
      <c r="AJ295" s="329"/>
      <c r="AK295" s="12"/>
      <c r="AL295" s="12"/>
      <c r="AM295" s="12"/>
      <c r="AN295" s="19">
        <f t="shared" ref="AN295" si="551">AN286/AN278</f>
        <v>0.16867547396414173</v>
      </c>
      <c r="AO295" s="19">
        <f t="shared" ref="AO295:AP295" si="552">AO286/AO278</f>
        <v>0.17341417910447762</v>
      </c>
      <c r="AP295" s="19">
        <f t="shared" si="552"/>
        <v>0.16532328500486612</v>
      </c>
      <c r="AQ295" s="19">
        <f>AQ286/AQ278</f>
        <v>0.16452619076690828</v>
      </c>
      <c r="AR295" s="19">
        <f>AR286/AR278</f>
        <v>0.10719521588960765</v>
      </c>
      <c r="AS295" s="19">
        <f>AS286/AS278</f>
        <v>0.14415309674626739</v>
      </c>
      <c r="AT295" s="19"/>
      <c r="AU295" s="19"/>
      <c r="AV295" s="887">
        <f t="shared" si="517"/>
        <v>-80.908940996115007</v>
      </c>
      <c r="AW295" s="887">
        <f t="shared" si="517"/>
        <v>-7.9709423795784602</v>
      </c>
      <c r="AX295" s="887">
        <f t="shared" si="517"/>
        <v>-573.30974877300628</v>
      </c>
    </row>
    <row r="296" spans="1:50">
      <c r="A296" s="4"/>
      <c r="B296" s="12"/>
      <c r="C296" s="12"/>
      <c r="D296" s="12"/>
      <c r="E296" s="12"/>
      <c r="F296" s="12"/>
      <c r="G296" s="12"/>
      <c r="H296" s="12"/>
      <c r="I296" s="12"/>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12"/>
      <c r="AL296" s="12"/>
      <c r="AM296" s="12"/>
      <c r="AN296" s="12"/>
      <c r="AO296" s="12"/>
      <c r="AP296" s="12"/>
      <c r="AQ296" s="12"/>
      <c r="AR296" s="12"/>
      <c r="AS296" s="12"/>
      <c r="AT296" s="12"/>
      <c r="AU296" s="12"/>
      <c r="AV296" s="12"/>
      <c r="AW296" s="12"/>
      <c r="AX296" s="12"/>
    </row>
    <row r="297" spans="1:50" s="264" customFormat="1">
      <c r="A297" s="6" t="s">
        <v>693</v>
      </c>
      <c r="B297" s="280"/>
      <c r="C297" s="280" t="e">
        <f t="shared" ref="C297:P297" si="553">C286/C278*100</f>
        <v>#DIV/0!</v>
      </c>
      <c r="D297" s="280" t="e">
        <f t="shared" si="553"/>
        <v>#DIV/0!</v>
      </c>
      <c r="E297" s="280" t="e">
        <f t="shared" si="553"/>
        <v>#DIV/0!</v>
      </c>
      <c r="F297" s="280" t="e">
        <f t="shared" si="553"/>
        <v>#DIV/0!</v>
      </c>
      <c r="G297" s="280" t="e">
        <f t="shared" si="553"/>
        <v>#DIV/0!</v>
      </c>
      <c r="H297" s="280" t="e">
        <f t="shared" si="553"/>
        <v>#DIV/0!</v>
      </c>
      <c r="I297" s="280" t="e">
        <f t="shared" si="553"/>
        <v>#DIV/0!</v>
      </c>
      <c r="J297" s="280" t="e">
        <f t="shared" si="553"/>
        <v>#DIV/0!</v>
      </c>
      <c r="K297" s="280" t="e">
        <f t="shared" si="553"/>
        <v>#DIV/0!</v>
      </c>
      <c r="L297" s="280">
        <f t="shared" si="553"/>
        <v>16.882244246598354</v>
      </c>
      <c r="M297" s="280" t="e">
        <f t="shared" si="553"/>
        <v>#DIV/0!</v>
      </c>
      <c r="N297" s="280" t="e">
        <f t="shared" si="553"/>
        <v>#DIV/0!</v>
      </c>
      <c r="O297" s="280">
        <f t="shared" si="553"/>
        <v>17.439785905441571</v>
      </c>
      <c r="P297" s="280">
        <f t="shared" si="553"/>
        <v>18.21361799650202</v>
      </c>
      <c r="Q297" s="280">
        <f t="shared" ref="Q297:R297" si="554">Q286/Q278*100</f>
        <v>18.893797693499341</v>
      </c>
      <c r="R297" s="280">
        <f t="shared" si="554"/>
        <v>15.950584891221165</v>
      </c>
      <c r="S297" s="280">
        <f t="shared" ref="S297:T297" si="555">S286/S278*100</f>
        <v>17.576809227314484</v>
      </c>
      <c r="T297" s="280">
        <f t="shared" si="555"/>
        <v>17.584395369199338</v>
      </c>
      <c r="U297" s="280">
        <f t="shared" ref="U297:V297" si="556">U286/U278*100</f>
        <v>15.082949308755762</v>
      </c>
      <c r="V297" s="280">
        <f t="shared" si="556"/>
        <v>14.187303016659161</v>
      </c>
      <c r="W297" s="280">
        <f t="shared" ref="W297:X297" si="557">W286/W278*100</f>
        <v>15.262279237325366</v>
      </c>
      <c r="X297" s="280">
        <f t="shared" si="557"/>
        <v>17.268540438169843</v>
      </c>
      <c r="Y297" s="280">
        <f t="shared" ref="Y297:Z297" si="558">Y286/Y278*100</f>
        <v>17.121051515793937</v>
      </c>
      <c r="Z297" s="280">
        <f t="shared" si="558"/>
        <v>13.053982005998</v>
      </c>
      <c r="AA297" s="280">
        <f t="shared" ref="AA297:AB297" si="559">AA286/AA278*100</f>
        <v>14.861378702282598</v>
      </c>
      <c r="AB297" s="280">
        <f t="shared" si="559"/>
        <v>15.024093796998251</v>
      </c>
      <c r="AC297" s="280">
        <f t="shared" ref="AC297:AD297" si="560">AC286/AC278*100</f>
        <v>12.258196481795336</v>
      </c>
      <c r="AD297" s="280">
        <f t="shared" si="560"/>
        <v>16.648592962099443</v>
      </c>
      <c r="AE297" s="280">
        <f t="shared" ref="AE297:AF297" si="561">AE286/AE278*100</f>
        <v>18.493614672454022</v>
      </c>
      <c r="AF297" s="280">
        <f t="shared" si="561"/>
        <v>14.24553940682973</v>
      </c>
      <c r="AG297" s="280">
        <f>AG286/AG278*100</f>
        <v>16.555815207621787</v>
      </c>
      <c r="AH297" s="280"/>
      <c r="AI297" s="280"/>
      <c r="AJ297" s="280"/>
      <c r="AK297" s="280"/>
      <c r="AL297" s="280"/>
      <c r="AM297" s="280"/>
      <c r="AN297" s="280"/>
      <c r="AO297" s="280"/>
      <c r="AP297" s="280"/>
      <c r="AQ297" s="280"/>
      <c r="AR297" s="280"/>
      <c r="AS297" s="280"/>
      <c r="AT297" s="280"/>
      <c r="AU297" s="280"/>
      <c r="AV297" s="280"/>
      <c r="AW297" s="280"/>
      <c r="AX297" s="280"/>
    </row>
    <row r="298" spans="1:50" s="264" customFormat="1">
      <c r="A298" s="6"/>
      <c r="B298" s="280"/>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row>
    <row r="299" spans="1:50">
      <c r="A299" s="251" t="s">
        <v>694</v>
      </c>
      <c r="B299" s="252"/>
      <c r="C299" s="252"/>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c r="AA299" s="252"/>
      <c r="AB299" s="252"/>
      <c r="AC299" s="252"/>
      <c r="AD299" s="252"/>
      <c r="AE299" s="252"/>
      <c r="AF299" s="252"/>
      <c r="AG299" s="252"/>
      <c r="AH299" s="252"/>
      <c r="AI299" s="252"/>
      <c r="AJ299" s="252"/>
      <c r="AK299" s="7"/>
      <c r="AL299" s="4"/>
      <c r="AM299" s="4"/>
      <c r="AN299" s="4"/>
      <c r="AO299" s="4"/>
      <c r="AP299" s="4"/>
      <c r="AQ299" s="4"/>
      <c r="AR299" s="4"/>
      <c r="AS299" s="4"/>
      <c r="AT299" s="4"/>
      <c r="AU299" s="4"/>
      <c r="AV299" s="4"/>
      <c r="AW299" s="4"/>
      <c r="AX299" s="4"/>
    </row>
    <row r="300" spans="1:50">
      <c r="A300" s="4" t="s">
        <v>694</v>
      </c>
      <c r="B300" s="23">
        <v>49432.413386136992</v>
      </c>
      <c r="C300" s="23">
        <f t="shared" ref="C300:AG300" si="562">(C4*10^6*4)/AVERAGE(C233,B233)</f>
        <v>50012.814601219143</v>
      </c>
      <c r="D300" s="23">
        <f t="shared" si="562"/>
        <v>51194.534290187905</v>
      </c>
      <c r="E300" s="23">
        <f t="shared" si="562"/>
        <v>52731.758597076063</v>
      </c>
      <c r="F300" s="23">
        <f t="shared" si="562"/>
        <v>54514.470731915135</v>
      </c>
      <c r="G300" s="23">
        <f t="shared" si="562"/>
        <v>55731.682190793385</v>
      </c>
      <c r="H300" s="23">
        <f t="shared" si="562"/>
        <v>55890.620639138586</v>
      </c>
      <c r="I300" s="23">
        <f t="shared" si="562"/>
        <v>56278.280955480201</v>
      </c>
      <c r="J300" s="23">
        <f t="shared" si="562"/>
        <v>51448.009561459963</v>
      </c>
      <c r="K300" s="23">
        <f t="shared" si="562"/>
        <v>56948.529411764706</v>
      </c>
      <c r="L300" s="23">
        <f t="shared" si="562"/>
        <v>56955.636234835736</v>
      </c>
      <c r="M300" s="23">
        <f t="shared" si="562"/>
        <v>57812.303170270839</v>
      </c>
      <c r="N300" s="23">
        <f t="shared" si="562"/>
        <v>48585.852442065567</v>
      </c>
      <c r="O300" s="23">
        <f t="shared" si="562"/>
        <v>41243.307410906804</v>
      </c>
      <c r="P300" s="23">
        <f t="shared" si="562"/>
        <v>41308.602852083139</v>
      </c>
      <c r="Q300" s="23">
        <f t="shared" si="562"/>
        <v>41658.077526327579</v>
      </c>
      <c r="R300" s="23">
        <f t="shared" si="562"/>
        <v>42208.567260510143</v>
      </c>
      <c r="S300" s="23">
        <f t="shared" si="562"/>
        <v>43189.819167778194</v>
      </c>
      <c r="T300" s="23">
        <f t="shared" si="562"/>
        <v>44258.835941621241</v>
      </c>
      <c r="U300" s="23">
        <f t="shared" si="562"/>
        <v>46255.111635942179</v>
      </c>
      <c r="V300" s="23">
        <f t="shared" si="562"/>
        <v>45827.010622154783</v>
      </c>
      <c r="W300" s="23">
        <f t="shared" si="562"/>
        <v>45532.31550079817</v>
      </c>
      <c r="X300" s="23">
        <f t="shared" si="562"/>
        <v>45811.757538836428</v>
      </c>
      <c r="Y300" s="23">
        <f t="shared" si="562"/>
        <v>45551.659132831977</v>
      </c>
      <c r="Z300" s="23">
        <f t="shared" si="562"/>
        <v>45069.535967897398</v>
      </c>
      <c r="AA300" s="23">
        <f t="shared" si="562"/>
        <v>50270.21445044921</v>
      </c>
      <c r="AB300" s="23">
        <f t="shared" si="562"/>
        <v>48354.641983716683</v>
      </c>
      <c r="AC300" s="23">
        <f t="shared" si="562"/>
        <v>49178.829336664734</v>
      </c>
      <c r="AD300" s="23">
        <f t="shared" si="562"/>
        <v>52658.830531170956</v>
      </c>
      <c r="AE300" s="23">
        <f t="shared" si="562"/>
        <v>53512.441555809681</v>
      </c>
      <c r="AF300" s="23">
        <f t="shared" si="562"/>
        <v>54774.549026866182</v>
      </c>
      <c r="AG300" s="23">
        <f t="shared" si="562"/>
        <v>55018.420090553729</v>
      </c>
      <c r="AH300" s="23"/>
      <c r="AI300" s="23"/>
      <c r="AJ300" s="23"/>
      <c r="AK300" s="4"/>
      <c r="AL300" s="4"/>
      <c r="AM300" s="23"/>
      <c r="AN300" s="23"/>
      <c r="AO300" s="23"/>
      <c r="AP300" s="23"/>
      <c r="AQ300" s="23"/>
      <c r="AR300" s="23"/>
      <c r="AS300" s="23"/>
      <c r="AT300" s="23"/>
      <c r="AU300" s="23"/>
      <c r="AV300" s="23"/>
      <c r="AW300" s="23"/>
      <c r="AX300" s="23"/>
    </row>
    <row r="301" spans="1:50">
      <c r="A301" s="4" t="s">
        <v>695</v>
      </c>
      <c r="B301" s="23">
        <v>32734.693736403777</v>
      </c>
      <c r="C301" s="23">
        <f>(('P&amp;L consol'!K15/'P&amp;L consol'!K4)*10^6*4)/AVERAGE(C233,B233)</f>
        <v>32795.288263094524</v>
      </c>
      <c r="D301" s="23">
        <f>(('P&amp;L consol'!L15/'P&amp;L consol'!L4)*10^6*4)/AVERAGE(D233,C233)</f>
        <v>33387.980412846089</v>
      </c>
      <c r="E301" s="23">
        <f>(('P&amp;L consol'!M15/'P&amp;L consol'!M4)*10^6*4)/AVERAGE(E233,D233)</f>
        <v>34573.564226648217</v>
      </c>
      <c r="F301" s="23">
        <f>(('P&amp;L consol'!N15/'P&amp;L consol'!N4)*10^6*4)/AVERAGE(F233,E233)</f>
        <v>36058.962197165492</v>
      </c>
      <c r="G301" s="23">
        <f>(('P&amp;L consol'!O15/'P&amp;L consol'!O4)*10^6*4)/AVERAGE(G233,F233)</f>
        <v>36471.113352781103</v>
      </c>
      <c r="H301" s="23">
        <f>(('P&amp;L consol'!P15/'P&amp;L consol'!P4)*10^6*4)/AVERAGE(H233,G233)</f>
        <v>36807.415436749638</v>
      </c>
      <c r="I301" s="23">
        <f>(('P&amp;L consol'!Q15/'P&amp;L consol'!Q4)*10^6*4)/AVERAGE(I233,H233)</f>
        <v>36979.391497745899</v>
      </c>
      <c r="J301" s="23">
        <f>(('P&amp;L consol'!R15/'P&amp;L consol'!R4)*10^6*4)/AVERAGE(J233,I233)</f>
        <v>35244.563598347355</v>
      </c>
      <c r="K301" s="23">
        <f>(('P&amp;L consol'!S15/'P&amp;L consol'!S4)*10^6*4)/AVERAGE(K233,J233)</f>
        <v>38383.614865726129</v>
      </c>
      <c r="L301" s="23">
        <f>(('P&amp;L consol'!T15/'P&amp;L consol'!T4)*10^6*4)/AVERAGE(L233,K233)</f>
        <v>38729.449937613819</v>
      </c>
      <c r="M301" s="23">
        <f>(('P&amp;L consol'!U15/'P&amp;L consol'!U4)*10^6*4)/AVERAGE(M233,L233)</f>
        <v>39320.615235903584</v>
      </c>
      <c r="N301" s="23">
        <f>(('P&amp;L consol'!V15/'P&amp;L consol'!V4)*10^6*4)/AVERAGE(N233,M233)</f>
        <v>34072.590827255888</v>
      </c>
      <c r="O301" s="23">
        <f>(('P&amp;L consol'!W15/'P&amp;L consol'!W4)*10^6*4)/AVERAGE(O233,N233)</f>
        <v>28003.611811560011</v>
      </c>
      <c r="P301" s="23">
        <f>(('P&amp;L consol'!X15/'P&amp;L consol'!X4)*10^6*4)/AVERAGE(P233,O233)</f>
        <v>27927.714732033768</v>
      </c>
      <c r="Q301" s="23">
        <f>(('P&amp;L consol'!Y15/'P&amp;L consol'!Y4)*10^6*4)/AVERAGE(Q233,P233)</f>
        <v>27661.406059978475</v>
      </c>
      <c r="R301" s="23">
        <f>(('P&amp;L consol'!Z15/'P&amp;L consol'!Z4)*10^6*4)/AVERAGE(R233,Q233)</f>
        <v>29391.873747219786</v>
      </c>
      <c r="S301" s="23">
        <f>(('P&amp;L consol'!AA15/'P&amp;L consol'!AA4)*10^6*4)/AVERAGE(S233,R233)</f>
        <v>29351.619477295822</v>
      </c>
      <c r="T301" s="23">
        <f>(('P&amp;L consol'!AB15/'P&amp;L consol'!AB4)*10^6*4)/AVERAGE(T233,S233)</f>
        <v>29490.102866442641</v>
      </c>
      <c r="U301" s="23">
        <f>(('P&amp;L consol'!AC15/'P&amp;L consol'!AC4)*10^6*4)/AVERAGE(U233,T233)</f>
        <v>30494.2685282852</v>
      </c>
      <c r="V301" s="23">
        <f>(('P&amp;L consol'!AD15/'P&amp;L consol'!AD4)*10^6*4)/AVERAGE(V233,U233)</f>
        <v>31777.65828869004</v>
      </c>
      <c r="W301" s="23">
        <f>(('P&amp;L consol'!AE15/'P&amp;L consol'!AE4)*10^6*4)/AVERAGE(W233,V233)</f>
        <v>30753.616488413631</v>
      </c>
      <c r="X301" s="23">
        <f>(('P&amp;L consol'!AF15/'P&amp;L consol'!AF4)*10^6*4)/AVERAGE(X233,W233)</f>
        <v>30671.97040918524</v>
      </c>
      <c r="Y301" s="23">
        <f>(('P&amp;L consol'!AG15/'P&amp;L consol'!AG4)*10^6*4)/AVERAGE(Y233,X233)</f>
        <v>29745.233413739275</v>
      </c>
      <c r="Z301" s="23">
        <f>(('P&amp;L consol'!AH15/'P&amp;L consol'!AH4)*10^6*4)/AVERAGE(Z233,Y233)</f>
        <v>30545.409065680746</v>
      </c>
      <c r="AA301" s="23">
        <f>(('P&amp;L consol'!AI15/'P&amp;L consol'!AI4)*10^6*4)/AVERAGE(AA233,Z233)</f>
        <v>34603.971323357546</v>
      </c>
      <c r="AB301" s="23">
        <f>(('P&amp;L consol'!AJ15/'P&amp;L consol'!AJ4)*10^6*4)/AVERAGE(AB233,AA233)</f>
        <v>32204.191561155323</v>
      </c>
      <c r="AC301" s="23">
        <f>(('P&amp;L consol'!AK15/'P&amp;L consol'!AK4)*10^6*4)/AVERAGE(AC233,AB233)</f>
        <v>32309.263630887537</v>
      </c>
      <c r="AD301" s="23">
        <f>(('P&amp;L consol'!AL15/'P&amp;L consol'!AL4)*10^6*4)/AVERAGE(AD233,AC233)</f>
        <v>34912.20790109488</v>
      </c>
      <c r="AE301" s="23">
        <f>(('P&amp;L consol'!AM15/'P&amp;L consol'!AM4)*10^6*4)/AVERAGE(AE233,AD233)</f>
        <v>35309.323342856682</v>
      </c>
      <c r="AF301" s="23">
        <f>(('P&amp;L consol'!AN15/'P&amp;L consol'!AN4)*10^6*4)/AVERAGE(AF233,AE233)</f>
        <v>36389.510155813819</v>
      </c>
      <c r="AG301" s="23">
        <f>(('P&amp;L consol'!AO15/'P&amp;L consol'!AO4)*10^6*4)/AVERAGE(AG233,AF233)</f>
        <v>36103.674733159518</v>
      </c>
      <c r="AH301" s="23"/>
      <c r="AI301" s="23"/>
      <c r="AJ301" s="23"/>
      <c r="AK301" s="4"/>
      <c r="AL301" s="4"/>
      <c r="AM301" s="23"/>
      <c r="AN301" s="23"/>
      <c r="AO301" s="23"/>
      <c r="AP301" s="23"/>
      <c r="AQ301" s="23"/>
      <c r="AR301" s="23"/>
      <c r="AS301" s="23"/>
      <c r="AT301" s="23"/>
      <c r="AU301" s="23"/>
      <c r="AV301" s="23"/>
      <c r="AW301" s="23"/>
      <c r="AX301" s="23"/>
    </row>
    <row r="302" spans="1:50">
      <c r="A302" s="4"/>
      <c r="B302" s="17"/>
      <c r="C302" s="4"/>
      <c r="D302" s="4"/>
      <c r="E302" s="4"/>
      <c r="F302" s="4"/>
      <c r="G302" s="4"/>
      <c r="H302" s="4"/>
      <c r="I302" s="4"/>
      <c r="J302" s="4"/>
      <c r="K302" s="4"/>
      <c r="L302" s="4"/>
      <c r="M302" s="4"/>
      <c r="N302" s="4"/>
      <c r="O302" s="4"/>
      <c r="P302" s="4"/>
      <c r="Q302" s="4"/>
      <c r="R302" s="4"/>
      <c r="S302" s="4"/>
      <c r="T302" s="4"/>
      <c r="U302" s="4">
        <f>U304*1.3</f>
        <v>1129.7</v>
      </c>
      <c r="V302" s="5">
        <f>U302/AP4-1</f>
        <v>0.12778276929220334</v>
      </c>
      <c r="W302" s="4"/>
      <c r="X302" s="4"/>
      <c r="Y302" s="4"/>
      <c r="Z302" s="5">
        <f t="shared" ref="Z302:AG302" si="563">Y302/AT4-1</f>
        <v>-1</v>
      </c>
      <c r="AA302" s="5">
        <f t="shared" si="563"/>
        <v>18.455368899372829</v>
      </c>
      <c r="AB302" s="5" t="e">
        <f t="shared" si="563"/>
        <v>#DIV/0!</v>
      </c>
      <c r="AC302" s="5" t="e">
        <f t="shared" si="563"/>
        <v>#DIV/0!</v>
      </c>
      <c r="AD302" s="5" t="e">
        <f t="shared" si="563"/>
        <v>#DIV/0!</v>
      </c>
      <c r="AE302" s="5" t="e">
        <f t="shared" si="563"/>
        <v>#DIV/0!</v>
      </c>
      <c r="AF302" s="5" t="e">
        <f t="shared" si="563"/>
        <v>#DIV/0!</v>
      </c>
      <c r="AG302" s="5" t="e">
        <f t="shared" si="563"/>
        <v>#DIV/0!</v>
      </c>
      <c r="AH302" s="5"/>
      <c r="AI302" s="5"/>
      <c r="AJ302" s="5"/>
      <c r="AK302" s="4"/>
      <c r="AL302" s="4"/>
      <c r="AM302" s="4"/>
      <c r="AN302" s="4"/>
      <c r="AO302" s="4"/>
      <c r="AP302" s="4"/>
      <c r="AQ302" s="4"/>
      <c r="AR302" s="4"/>
      <c r="AS302" s="4"/>
      <c r="AT302" s="4"/>
      <c r="AU302" s="4"/>
      <c r="AV302" s="4"/>
      <c r="AW302" s="4"/>
      <c r="AX302" s="4"/>
    </row>
    <row r="303" spans="1:50">
      <c r="A303" s="251" t="s">
        <v>696</v>
      </c>
      <c r="B303" s="252"/>
      <c r="C303" s="252"/>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c r="AA303" s="252"/>
      <c r="AB303" s="252"/>
      <c r="AC303" s="252"/>
      <c r="AD303" s="252"/>
      <c r="AE303" s="252"/>
      <c r="AF303" s="252"/>
      <c r="AG303" s="252"/>
      <c r="AH303" s="252"/>
      <c r="AI303" s="252"/>
      <c r="AJ303" s="252"/>
      <c r="AK303" s="252"/>
      <c r="AL303" s="252"/>
      <c r="AM303" s="252"/>
      <c r="AN303" s="252"/>
      <c r="AO303" s="252"/>
      <c r="AP303" s="252"/>
      <c r="AQ303" s="252"/>
      <c r="AR303" s="252"/>
      <c r="AS303" s="252"/>
      <c r="AT303" s="252"/>
      <c r="AU303" s="252"/>
      <c r="AV303" s="252"/>
      <c r="AW303" s="252"/>
      <c r="AX303" s="252"/>
    </row>
    <row r="304" spans="1:50">
      <c r="A304" s="314" t="s">
        <v>697</v>
      </c>
      <c r="B304" s="21"/>
      <c r="C304" s="4"/>
      <c r="D304" s="4"/>
      <c r="E304" s="4"/>
      <c r="F304" s="21">
        <v>395</v>
      </c>
      <c r="G304" s="21">
        <v>405</v>
      </c>
      <c r="H304" s="21">
        <v>424</v>
      </c>
      <c r="I304" s="21">
        <v>468</v>
      </c>
      <c r="J304" s="21">
        <v>465</v>
      </c>
      <c r="K304" s="21">
        <v>489</v>
      </c>
      <c r="L304" s="21">
        <v>501</v>
      </c>
      <c r="M304" s="21">
        <v>520</v>
      </c>
      <c r="N304" s="21">
        <v>645</v>
      </c>
      <c r="O304" s="21">
        <v>688</v>
      </c>
      <c r="P304" s="21">
        <v>701</v>
      </c>
      <c r="Q304" s="21">
        <v>720</v>
      </c>
      <c r="R304" s="21">
        <v>745</v>
      </c>
      <c r="S304" s="21">
        <v>802</v>
      </c>
      <c r="T304" s="21">
        <v>841</v>
      </c>
      <c r="U304" s="21">
        <v>869</v>
      </c>
      <c r="V304" s="21">
        <v>897</v>
      </c>
      <c r="W304" s="21">
        <v>935</v>
      </c>
      <c r="X304" s="21">
        <v>974</v>
      </c>
      <c r="Y304" s="21">
        <v>1019</v>
      </c>
      <c r="Z304" s="21">
        <v>1070</v>
      </c>
      <c r="AA304" s="21">
        <v>1305</v>
      </c>
      <c r="AB304" s="21">
        <v>1365</v>
      </c>
      <c r="AC304" s="21">
        <v>1505</v>
      </c>
      <c r="AD304" s="21">
        <v>1545</v>
      </c>
      <c r="AE304" s="21">
        <v>1635</v>
      </c>
      <c r="AF304" s="21">
        <v>1717</v>
      </c>
      <c r="AG304" s="21">
        <v>1752</v>
      </c>
      <c r="AH304" s="21">
        <f>AG304*1.2</f>
        <v>2102.4</v>
      </c>
      <c r="AI304" s="21"/>
      <c r="AJ304" s="21"/>
      <c r="AK304" s="21">
        <v>339</v>
      </c>
      <c r="AL304" s="21">
        <v>390</v>
      </c>
      <c r="AM304" s="21">
        <v>468</v>
      </c>
      <c r="AN304" s="21">
        <v>520</v>
      </c>
      <c r="AO304" s="263">
        <v>720</v>
      </c>
      <c r="AP304" s="263">
        <v>869</v>
      </c>
      <c r="AQ304" s="263">
        <v>1019</v>
      </c>
      <c r="AR304" s="263">
        <v>1505</v>
      </c>
      <c r="AS304" s="263">
        <v>1752</v>
      </c>
      <c r="AT304" s="21"/>
      <c r="AU304" s="263"/>
      <c r="AV304" s="263"/>
      <c r="AW304" s="263"/>
      <c r="AX304" s="263"/>
    </row>
    <row r="305" spans="1:50">
      <c r="A305" s="247" t="s">
        <v>698</v>
      </c>
      <c r="B305" s="21"/>
      <c r="C305" s="248" t="e">
        <f t="shared" ref="C305:AG305" si="564">(C304/B304-1)*100</f>
        <v>#DIV/0!</v>
      </c>
      <c r="D305" s="248" t="e">
        <f t="shared" si="564"/>
        <v>#DIV/0!</v>
      </c>
      <c r="E305" s="248" t="e">
        <f t="shared" si="564"/>
        <v>#DIV/0!</v>
      </c>
      <c r="F305" s="248" t="e">
        <f t="shared" si="564"/>
        <v>#DIV/0!</v>
      </c>
      <c r="G305" s="248">
        <f t="shared" si="564"/>
        <v>2.5316455696202445</v>
      </c>
      <c r="H305" s="248">
        <f t="shared" si="564"/>
        <v>4.6913580246913611</v>
      </c>
      <c r="I305" s="248">
        <f t="shared" si="564"/>
        <v>10.377358490566046</v>
      </c>
      <c r="J305" s="248">
        <f t="shared" si="564"/>
        <v>-0.64102564102563875</v>
      </c>
      <c r="K305" s="248">
        <f t="shared" si="564"/>
        <v>5.1612903225806361</v>
      </c>
      <c r="L305" s="248">
        <f t="shared" si="564"/>
        <v>2.4539877300613577</v>
      </c>
      <c r="M305" s="248">
        <f t="shared" si="564"/>
        <v>3.7924151696606678</v>
      </c>
      <c r="N305" s="248">
        <f t="shared" si="564"/>
        <v>24.03846153846154</v>
      </c>
      <c r="O305" s="248">
        <f t="shared" si="564"/>
        <v>6.6666666666666652</v>
      </c>
      <c r="P305" s="248">
        <f t="shared" si="564"/>
        <v>1.8895348837209225</v>
      </c>
      <c r="Q305" s="248">
        <f t="shared" si="564"/>
        <v>2.7104136947218249</v>
      </c>
      <c r="R305" s="248">
        <f t="shared" si="564"/>
        <v>3.4722222222222321</v>
      </c>
      <c r="S305" s="248">
        <f t="shared" si="564"/>
        <v>7.6510067114093916</v>
      </c>
      <c r="T305" s="248">
        <f t="shared" si="564"/>
        <v>4.8628428927680822</v>
      </c>
      <c r="U305" s="248">
        <f t="shared" si="564"/>
        <v>3.3293697978596937</v>
      </c>
      <c r="V305" s="248">
        <f t="shared" si="564"/>
        <v>3.2220943613348707</v>
      </c>
      <c r="W305" s="248">
        <f t="shared" si="564"/>
        <v>4.2363433667781392</v>
      </c>
      <c r="X305" s="248">
        <f t="shared" si="564"/>
        <v>4.1711229946524098</v>
      </c>
      <c r="Y305" s="248">
        <f t="shared" si="564"/>
        <v>4.62012320328542</v>
      </c>
      <c r="Z305" s="248">
        <f t="shared" si="564"/>
        <v>5.0049067713444639</v>
      </c>
      <c r="AA305" s="248">
        <f t="shared" si="564"/>
        <v>21.962616822429904</v>
      </c>
      <c r="AB305" s="248">
        <f t="shared" si="564"/>
        <v>4.5977011494252817</v>
      </c>
      <c r="AC305" s="248">
        <f t="shared" si="564"/>
        <v>10.256410256410264</v>
      </c>
      <c r="AD305" s="248">
        <f t="shared" si="564"/>
        <v>2.6578073089700949</v>
      </c>
      <c r="AE305" s="248">
        <f t="shared" si="564"/>
        <v>5.8252427184465994</v>
      </c>
      <c r="AF305" s="248">
        <f t="shared" si="564"/>
        <v>5.0152905198776798</v>
      </c>
      <c r="AG305" s="248">
        <f t="shared" si="564"/>
        <v>2.0384391380314559</v>
      </c>
      <c r="AH305" s="57">
        <f>AH304/AS4-1</f>
        <v>-0.14882591093117403</v>
      </c>
      <c r="AI305" s="248"/>
      <c r="AJ305" s="248"/>
      <c r="AK305" s="248" t="e">
        <f>(AK304/#REF!-1)*100</f>
        <v>#REF!</v>
      </c>
      <c r="AL305" s="248">
        <f t="shared" ref="AL305:AR305" si="565">(AL304/AK304-1)*100</f>
        <v>15.044247787610621</v>
      </c>
      <c r="AM305" s="248">
        <f t="shared" si="565"/>
        <v>19.999999999999996</v>
      </c>
      <c r="AN305" s="248">
        <f t="shared" si="565"/>
        <v>11.111111111111116</v>
      </c>
      <c r="AO305" s="248">
        <f t="shared" si="565"/>
        <v>38.46153846153846</v>
      </c>
      <c r="AP305" s="248">
        <f t="shared" si="565"/>
        <v>20.694444444444436</v>
      </c>
      <c r="AQ305" s="248">
        <f t="shared" si="565"/>
        <v>17.261219792865369</v>
      </c>
      <c r="AR305" s="248">
        <f t="shared" si="565"/>
        <v>47.693817468105991</v>
      </c>
      <c r="AS305" s="248">
        <f>(AS304/AR304-1)*100</f>
        <v>16.411960132890368</v>
      </c>
      <c r="AT305" s="248"/>
      <c r="AU305" s="248"/>
      <c r="AV305" s="248"/>
      <c r="AW305" s="248"/>
      <c r="AX305" s="248"/>
    </row>
    <row r="306" spans="1:50">
      <c r="A306" s="247" t="s">
        <v>699</v>
      </c>
      <c r="B306" s="21"/>
      <c r="C306" s="248" t="e">
        <f>(C304/#REF!-1)*100</f>
        <v>#REF!</v>
      </c>
      <c r="D306" s="248" t="e">
        <f>(D304/#REF!-1)*100</f>
        <v>#REF!</v>
      </c>
      <c r="E306" s="248" t="e">
        <f>(E304/#REF!-1)*100</f>
        <v>#REF!</v>
      </c>
      <c r="F306" s="248" t="e">
        <f t="shared" ref="F306:O306" si="566">(F304/B304-1)*100</f>
        <v>#DIV/0!</v>
      </c>
      <c r="G306" s="248" t="e">
        <f t="shared" si="566"/>
        <v>#DIV/0!</v>
      </c>
      <c r="H306" s="248" t="e">
        <f t="shared" si="566"/>
        <v>#DIV/0!</v>
      </c>
      <c r="I306" s="248" t="e">
        <f t="shared" si="566"/>
        <v>#DIV/0!</v>
      </c>
      <c r="J306" s="248">
        <f t="shared" si="566"/>
        <v>17.721518987341778</v>
      </c>
      <c r="K306" s="248">
        <f t="shared" si="566"/>
        <v>20.740740740740748</v>
      </c>
      <c r="L306" s="248">
        <f t="shared" si="566"/>
        <v>18.160377358490564</v>
      </c>
      <c r="M306" s="248">
        <f t="shared" si="566"/>
        <v>11.111111111111116</v>
      </c>
      <c r="N306" s="248">
        <f t="shared" si="566"/>
        <v>38.709677419354847</v>
      </c>
      <c r="O306" s="248">
        <f t="shared" si="566"/>
        <v>40.695296523517378</v>
      </c>
      <c r="P306" s="248">
        <f t="shared" ref="P306:AG306" si="567">(P304/L304-1)*100</f>
        <v>39.920159680638712</v>
      </c>
      <c r="Q306" s="248">
        <f t="shared" si="567"/>
        <v>38.46153846153846</v>
      </c>
      <c r="R306" s="248">
        <f t="shared" si="567"/>
        <v>15.503875968992254</v>
      </c>
      <c r="S306" s="248">
        <f t="shared" si="567"/>
        <v>16.569767441860471</v>
      </c>
      <c r="T306" s="248">
        <f t="shared" si="567"/>
        <v>19.971469329529246</v>
      </c>
      <c r="U306" s="248">
        <f t="shared" si="567"/>
        <v>20.694444444444436</v>
      </c>
      <c r="V306" s="248">
        <f t="shared" si="567"/>
        <v>20.402684563758399</v>
      </c>
      <c r="W306" s="248">
        <f t="shared" si="567"/>
        <v>16.583541147132163</v>
      </c>
      <c r="X306" s="248">
        <f t="shared" si="567"/>
        <v>15.814506539833539</v>
      </c>
      <c r="Y306" s="248">
        <f t="shared" si="567"/>
        <v>17.261219792865369</v>
      </c>
      <c r="Z306" s="248">
        <f t="shared" si="567"/>
        <v>19.28651059085842</v>
      </c>
      <c r="AA306" s="248">
        <f t="shared" si="567"/>
        <v>39.572192513368989</v>
      </c>
      <c r="AB306" s="248">
        <f t="shared" si="567"/>
        <v>40.143737166324442</v>
      </c>
      <c r="AC306" s="248">
        <f t="shared" si="567"/>
        <v>47.693817468105991</v>
      </c>
      <c r="AD306" s="248">
        <f t="shared" si="567"/>
        <v>44.392523364485982</v>
      </c>
      <c r="AE306" s="248">
        <f t="shared" si="567"/>
        <v>25.28735632183907</v>
      </c>
      <c r="AF306" s="248">
        <f t="shared" si="567"/>
        <v>25.787545787545785</v>
      </c>
      <c r="AG306" s="248">
        <f t="shared" si="567"/>
        <v>16.411960132890368</v>
      </c>
      <c r="AH306" s="248"/>
      <c r="AI306" s="248"/>
      <c r="AJ306" s="248"/>
      <c r="AK306" s="248"/>
      <c r="AL306" s="248"/>
      <c r="AM306" s="248"/>
      <c r="AN306" s="248"/>
      <c r="AO306" s="248"/>
      <c r="AP306" s="248"/>
      <c r="AQ306" s="248"/>
      <c r="AR306" s="248"/>
      <c r="AS306" s="248"/>
      <c r="AT306" s="248"/>
      <c r="AU306" s="248"/>
      <c r="AV306" s="248"/>
      <c r="AW306" s="248"/>
      <c r="AX306" s="248"/>
    </row>
    <row r="307" spans="1:50">
      <c r="A307" s="247"/>
      <c r="B307" s="21"/>
      <c r="C307" s="248"/>
      <c r="D307" s="248"/>
      <c r="E307" s="248"/>
      <c r="F307" s="248"/>
      <c r="G307" s="248"/>
      <c r="H307" s="248"/>
      <c r="I307" s="248"/>
      <c r="J307" s="248"/>
      <c r="K307" s="248"/>
      <c r="L307" s="248"/>
      <c r="M307" s="248"/>
      <c r="N307" s="248"/>
      <c r="O307" s="248"/>
      <c r="P307" s="248"/>
      <c r="Q307" s="248"/>
      <c r="R307" s="56"/>
      <c r="S307" s="56"/>
      <c r="T307" s="56"/>
      <c r="U307" s="56"/>
      <c r="V307" s="56"/>
      <c r="W307" s="56"/>
      <c r="X307" s="56"/>
      <c r="Y307" s="56"/>
      <c r="Z307" s="56"/>
      <c r="AA307" s="56"/>
      <c r="AB307" s="56"/>
      <c r="AC307" s="56"/>
      <c r="AD307" s="56"/>
      <c r="AE307" s="56"/>
      <c r="AF307" s="56"/>
      <c r="AG307" s="56"/>
      <c r="AH307" s="56"/>
      <c r="AI307" s="56"/>
      <c r="AJ307" s="56"/>
      <c r="AK307" s="248"/>
      <c r="AL307" s="248"/>
      <c r="AM307" s="248"/>
      <c r="AN307" s="248"/>
      <c r="AO307" s="248"/>
      <c r="AP307" s="248"/>
      <c r="AQ307" s="248"/>
      <c r="AR307" s="248"/>
      <c r="AS307" s="248"/>
      <c r="AT307" s="248"/>
      <c r="AU307" s="248"/>
      <c r="AV307" s="248"/>
      <c r="AW307" s="248"/>
      <c r="AX307" s="248"/>
    </row>
    <row r="308" spans="1:50">
      <c r="A308" s="247" t="s">
        <v>700</v>
      </c>
      <c r="B308" s="21"/>
      <c r="C308" s="248"/>
      <c r="D308" s="248"/>
      <c r="E308" s="248"/>
      <c r="F308" s="248">
        <f t="shared" ref="F308" si="568">(J4+I4+H4+G4)/F304</f>
        <v>1.5010604170320319</v>
      </c>
      <c r="G308" s="248">
        <f t="shared" ref="G308" si="569">(K4+J4+I4+H4)/G304</f>
        <v>1.4835739563710042</v>
      </c>
      <c r="H308" s="248">
        <f t="shared" ref="H308" si="570">(L4+K4+J4+I4)/H304</f>
        <v>1.4396236947008674</v>
      </c>
      <c r="I308" s="248">
        <f t="shared" ref="I308" si="571">(M4+L4+K4+J4)/I304</f>
        <v>1.3412393162393161</v>
      </c>
      <c r="J308" s="248">
        <f t="shared" ref="J308" si="572">(N4+M4+L4+K4)/J304</f>
        <v>1.4784946236559138</v>
      </c>
      <c r="K308" s="248">
        <f t="shared" ref="K308" si="573">(O4+N4+M4+L4)/K304</f>
        <v>1.5243353783231086</v>
      </c>
      <c r="L308" s="248">
        <f t="shared" ref="L308" si="574">(P4+O4+N4+M4)/L304</f>
        <v>1.6091816367265468</v>
      </c>
      <c r="M308" s="248">
        <f t="shared" ref="M308" si="575">(Q4+P4+O4+N4)/M304</f>
        <v>1.6663461538461539</v>
      </c>
      <c r="N308" s="248">
        <f t="shared" ref="N308" si="576">(R4+Q4+P4+O4)/N304</f>
        <v>1.403875968992248</v>
      </c>
      <c r="O308" s="248">
        <f t="shared" ref="O308" si="577">(S4+R4+Q4+P4)/O304</f>
        <v>1.3656976744186047</v>
      </c>
      <c r="P308" s="248">
        <f t="shared" ref="P308" si="578">(T4+S4+R4+Q4)/P304</f>
        <v>1.3833095577746075</v>
      </c>
      <c r="Q308" s="248">
        <f t="shared" ref="Q308" si="579">(U4+T4+S4+R4)/Q304</f>
        <v>1.3912499999999997</v>
      </c>
      <c r="R308" s="248">
        <f t="shared" ref="R308" si="580">(V4+U4+T4+S4)/R304</f>
        <v>1.3889932885906042</v>
      </c>
      <c r="S308" s="248">
        <f t="shared" ref="S308:Y308" si="581">(W4+V4+U4+T4)/S304</f>
        <v>1.3291770573566084</v>
      </c>
      <c r="T308" s="248">
        <f t="shared" si="581"/>
        <v>1.3035671819262784</v>
      </c>
      <c r="U308" s="248">
        <f t="shared" si="581"/>
        <v>1.2805523590333716</v>
      </c>
      <c r="V308" s="248">
        <f t="shared" si="581"/>
        <v>1.25685618729097</v>
      </c>
      <c r="W308" s="248">
        <f t="shared" si="581"/>
        <v>1.2988235294117647</v>
      </c>
      <c r="X308" s="248">
        <f t="shared" si="581"/>
        <v>1.3582135523613963</v>
      </c>
      <c r="Y308" s="248">
        <f t="shared" si="581"/>
        <v>1.4185475956820413</v>
      </c>
      <c r="Z308" s="248">
        <f>(AD4+AC4+AB4+AA4)/Z304</f>
        <v>1.4967289719626169</v>
      </c>
      <c r="AA308" s="248">
        <f>(AE4+AD4+AC4+AB4)/AA304</f>
        <v>1.3015325670498084</v>
      </c>
      <c r="AB308" s="248">
        <f>(AF4+AE4+AD4+AC4)/AB304</f>
        <v>1.3105494505494506</v>
      </c>
      <c r="AC308" s="248">
        <f>(AG4+AF4+AE4+AD4)/AC304</f>
        <v>1.2455149501661129</v>
      </c>
      <c r="AD308" s="248"/>
      <c r="AE308" s="248"/>
      <c r="AF308" s="248"/>
      <c r="AG308" s="248"/>
      <c r="AH308" s="248"/>
      <c r="AI308" s="248"/>
      <c r="AJ308" s="248"/>
      <c r="AK308" s="248">
        <f>'P&amp;L consol'!BF5/'Operating Metrics'!AK304</f>
        <v>1.5545722713864307</v>
      </c>
      <c r="AL308" s="248">
        <f>'P&amp;L consol'!BG5/'Operating Metrics'!AL304</f>
        <v>1.5183841315916788</v>
      </c>
      <c r="AM308" s="248">
        <f>'P&amp;L consol'!BH5/'Operating Metrics'!AM304</f>
        <v>1.3412393162393164</v>
      </c>
      <c r="AN308" s="248">
        <f>'P&amp;L consol'!BI5/'Operating Metrics'!AN304</f>
        <v>1.6663461538461539</v>
      </c>
      <c r="AO308" s="248">
        <f>'P&amp;L consol'!BJ5/'Operating Metrics'!AO304</f>
        <v>1.3912499999999999</v>
      </c>
      <c r="AP308" s="248">
        <f>'P&amp;L consol'!BK5/'Operating Metrics'!AP304</f>
        <v>1.2650172612197927</v>
      </c>
      <c r="AQ308" s="248">
        <f>'P&amp;L consol'!BL5/'Operating Metrics'!AQ304</f>
        <v>1.421000981354269</v>
      </c>
      <c r="AR308" s="248">
        <f>'P&amp;L consol'!BM5/'Operating Metrics'!AR304</f>
        <v>1.6411960132890366</v>
      </c>
      <c r="AS308" s="248">
        <f>'P&amp;L consol'!BN5/'Operating Metrics'!AS304</f>
        <v>1.5133803351324993</v>
      </c>
      <c r="AT308" s="248"/>
      <c r="AU308" s="248"/>
      <c r="AV308" s="248"/>
      <c r="AW308" s="248"/>
      <c r="AX308" s="248"/>
    </row>
    <row r="309" spans="1:50">
      <c r="A309" s="247" t="s">
        <v>701</v>
      </c>
      <c r="B309" s="21"/>
      <c r="C309" s="248"/>
      <c r="D309" s="248"/>
      <c r="E309" s="248"/>
      <c r="F309" s="373">
        <f t="shared" ref="F309:X309" si="582">F314/F4</f>
        <v>1.2490882567468999</v>
      </c>
      <c r="G309" s="373">
        <f t="shared" si="582"/>
        <v>1.1975117958594126</v>
      </c>
      <c r="H309" s="373">
        <f t="shared" si="582"/>
        <v>1.4413508477734303</v>
      </c>
      <c r="I309" s="373">
        <f t="shared" si="582"/>
        <v>1.1627873433696925</v>
      </c>
      <c r="J309" s="373">
        <f t="shared" si="582"/>
        <v>1.3295210864903502</v>
      </c>
      <c r="K309" s="373">
        <f t="shared" si="582"/>
        <v>1.2976113621691414</v>
      </c>
      <c r="L309" s="373">
        <f t="shared" si="582"/>
        <v>1.1940298507462686</v>
      </c>
      <c r="M309" s="373">
        <f t="shared" si="582"/>
        <v>1.167925624636839</v>
      </c>
      <c r="N309" s="373">
        <f t="shared" si="582"/>
        <v>1.5923885828743116</v>
      </c>
      <c r="O309" s="373">
        <f t="shared" si="582"/>
        <v>1.3392857142857142</v>
      </c>
      <c r="P309" s="373">
        <f t="shared" si="582"/>
        <v>1.1146209386281589</v>
      </c>
      <c r="Q309" s="373">
        <f t="shared" si="582"/>
        <v>1.2951807228915662</v>
      </c>
      <c r="R309" s="373">
        <f t="shared" si="582"/>
        <v>1.3196480938416424</v>
      </c>
      <c r="S309" s="373">
        <f t="shared" si="582"/>
        <v>1.2312677197245849</v>
      </c>
      <c r="T309" s="373">
        <f t="shared" si="582"/>
        <v>1.3706793802145412</v>
      </c>
      <c r="U309" s="373">
        <f t="shared" si="582"/>
        <v>1.1384266263237519</v>
      </c>
      <c r="V309" s="373">
        <f t="shared" si="582"/>
        <v>1.9536423841059603</v>
      </c>
      <c r="W309" s="373">
        <f t="shared" si="582"/>
        <v>1.1254944264653002</v>
      </c>
      <c r="X309" s="373">
        <f t="shared" si="582"/>
        <v>1.2553191489361701</v>
      </c>
      <c r="Y309" s="373">
        <f t="shared" ref="Y309:AD309" si="583">Y314/Y4</f>
        <v>2.7554289782840873</v>
      </c>
      <c r="Z309" s="373">
        <f t="shared" si="583"/>
        <v>1.0963687150837991</v>
      </c>
      <c r="AA309" s="373">
        <f t="shared" si="583"/>
        <v>1.4133114215283482</v>
      </c>
      <c r="AB309" s="373">
        <f t="shared" si="583"/>
        <v>1.2829705505761844</v>
      </c>
      <c r="AC309" s="373" t="s">
        <v>702</v>
      </c>
      <c r="AD309" s="373">
        <f t="shared" si="583"/>
        <v>1.1460216998191681</v>
      </c>
      <c r="AE309" s="373">
        <f t="shared" ref="AE309:AF309" si="584">AE314/AE4</f>
        <v>1.1123133520882926</v>
      </c>
      <c r="AF309" s="373">
        <f t="shared" si="584"/>
        <v>1.2331045955500104</v>
      </c>
      <c r="AG309" s="373">
        <f t="shared" ref="AG309" si="585">AG314/AG4</f>
        <v>1.3248824371294212</v>
      </c>
      <c r="AH309" s="373"/>
      <c r="AI309" s="373"/>
      <c r="AJ309" s="373"/>
      <c r="AK309" s="373">
        <f t="shared" ref="AK309:AQ309" si="586">AK314/AK4</f>
        <v>1.1142857142857143</v>
      </c>
      <c r="AL309" s="373">
        <f t="shared" si="586"/>
        <v>1.2258064516129032</v>
      </c>
      <c r="AM309" s="373">
        <f t="shared" si="586"/>
        <v>1.2631511868727097</v>
      </c>
      <c r="AN309" s="373">
        <f t="shared" si="586"/>
        <v>1.2442249482236736</v>
      </c>
      <c r="AO309" s="373">
        <f t="shared" si="586"/>
        <v>1.3283323716099249</v>
      </c>
      <c r="AP309" s="373">
        <f t="shared" si="586"/>
        <v>1.2628531496456026</v>
      </c>
      <c r="AQ309" s="373">
        <f t="shared" si="586"/>
        <v>1.7947784954061676</v>
      </c>
      <c r="AR309" s="373">
        <f t="shared" ref="AR309" si="587">AR314/AR4</f>
        <v>2.3867403314917128</v>
      </c>
      <c r="AS309" s="373">
        <f>AS314/AS4</f>
        <v>0.91578947368421049</v>
      </c>
      <c r="AT309" s="373"/>
      <c r="AU309" s="373"/>
      <c r="AV309" s="373"/>
      <c r="AW309" s="373"/>
      <c r="AX309" s="373"/>
    </row>
    <row r="310" spans="1:50">
      <c r="A310" s="247"/>
      <c r="B310" s="21"/>
      <c r="C310" s="248"/>
      <c r="D310" s="248"/>
      <c r="E310" s="248"/>
      <c r="F310" s="248"/>
      <c r="G310" s="248"/>
      <c r="H310" s="248"/>
      <c r="I310" s="248"/>
      <c r="J310" s="248"/>
      <c r="K310" s="248"/>
      <c r="L310" s="248"/>
      <c r="M310" s="248"/>
      <c r="N310" s="248"/>
      <c r="O310" s="248"/>
      <c r="P310" s="248"/>
      <c r="Q310" s="248"/>
      <c r="R310" s="248">
        <f t="shared" ref="R310:Z310" si="588">R327/(R4*4)</f>
        <v>1.2023460410557185</v>
      </c>
      <c r="S310" s="248">
        <f t="shared" si="588"/>
        <v>1.1816524908869988</v>
      </c>
      <c r="T310" s="248">
        <f t="shared" si="588"/>
        <v>1.2564560985299962</v>
      </c>
      <c r="U310" s="248">
        <f t="shared" si="588"/>
        <v>1.1961043872919819</v>
      </c>
      <c r="V310" s="248">
        <f t="shared" si="588"/>
        <v>1.362214863870493</v>
      </c>
      <c r="W310" s="248">
        <f t="shared" si="588"/>
        <v>1.3394462423588636</v>
      </c>
      <c r="X310" s="248">
        <f t="shared" si="588"/>
        <v>1.3289007092198581</v>
      </c>
      <c r="Y310" s="248">
        <f t="shared" si="588"/>
        <v>1.7550729797080813</v>
      </c>
      <c r="Z310" s="248">
        <f t="shared" si="588"/>
        <v>1.5319483240223466</v>
      </c>
      <c r="AA310" s="248">
        <f t="shared" ref="AA310:AB310" si="589">AA327/(AA4*4)</f>
        <v>1.340728567515749</v>
      </c>
      <c r="AB310" s="248">
        <f t="shared" si="589"/>
        <v>1.3476312419974392</v>
      </c>
      <c r="AC310" s="248">
        <f t="shared" ref="AC310:AD310" si="590">AC327/(AC4*4)</f>
        <v>2.1418835192069392</v>
      </c>
      <c r="AD310" s="248">
        <f t="shared" si="590"/>
        <v>2.0626130198915011</v>
      </c>
      <c r="AE310" s="248">
        <f t="shared" ref="AE310:AF310" si="591">AE327/(AE4*4)</f>
        <v>1.9735987881410948</v>
      </c>
      <c r="AF310" s="248">
        <f t="shared" si="591"/>
        <v>1.9442711582449574</v>
      </c>
      <c r="AG310" s="248">
        <f t="shared" ref="AG310" si="592">AG327/(AG4*4)</f>
        <v>1.1562052749948886</v>
      </c>
      <c r="AH310" s="248"/>
      <c r="AI310" s="248"/>
      <c r="AJ310" s="248"/>
      <c r="AK310" s="248"/>
      <c r="AL310" s="248"/>
      <c r="AM310" s="248"/>
      <c r="AN310" s="248"/>
      <c r="AO310" s="248"/>
      <c r="AP310" s="248"/>
      <c r="AQ310" s="248"/>
      <c r="AR310" s="248"/>
      <c r="AS310" s="248"/>
      <c r="AT310" s="248"/>
      <c r="AU310" s="248"/>
      <c r="AV310" s="248"/>
      <c r="AW310" s="248"/>
      <c r="AX310" s="248"/>
    </row>
    <row r="311" spans="1:50">
      <c r="A311" s="4" t="s">
        <v>1</v>
      </c>
      <c r="B311" s="325"/>
      <c r="C311" s="325"/>
      <c r="D311" s="325"/>
      <c r="E311" s="325"/>
      <c r="F311" s="325"/>
      <c r="G311" s="325"/>
      <c r="H311" s="325"/>
      <c r="I311" s="325"/>
      <c r="J311" s="325">
        <v>465</v>
      </c>
      <c r="K311" s="325">
        <v>489</v>
      </c>
      <c r="L311" s="325">
        <v>501</v>
      </c>
      <c r="M311" s="325">
        <v>520</v>
      </c>
      <c r="N311" s="325">
        <v>560</v>
      </c>
      <c r="O311" s="325">
        <v>603</v>
      </c>
      <c r="P311" s="325">
        <v>616</v>
      </c>
      <c r="Q311" s="325"/>
      <c r="R311" s="325"/>
      <c r="S311" s="325"/>
      <c r="T311" s="325"/>
      <c r="U311" s="325"/>
      <c r="V311" s="325"/>
      <c r="W311" s="325"/>
      <c r="X311" s="325"/>
      <c r="Y311" s="325"/>
      <c r="Z311" s="325"/>
      <c r="AA311" s="325"/>
      <c r="AB311" s="325"/>
      <c r="AC311" s="325"/>
      <c r="AD311" s="325"/>
      <c r="AE311" s="325"/>
      <c r="AF311" s="325"/>
      <c r="AG311" s="325"/>
      <c r="AH311" s="325"/>
      <c r="AI311" s="325"/>
      <c r="AJ311" s="325"/>
      <c r="AK311" s="325"/>
      <c r="AL311" s="325"/>
      <c r="AM311" s="325"/>
      <c r="AN311" s="325"/>
      <c r="AO311" s="325"/>
      <c r="AP311" s="325"/>
      <c r="AQ311" s="325"/>
      <c r="AR311" s="325"/>
      <c r="AS311" s="325"/>
      <c r="AT311" s="325"/>
      <c r="AU311" s="325"/>
      <c r="AV311" s="325"/>
      <c r="AW311" s="325"/>
      <c r="AX311" s="325"/>
    </row>
    <row r="312" spans="1:50">
      <c r="A312" s="4" t="s">
        <v>703</v>
      </c>
      <c r="B312" s="325"/>
      <c r="C312" s="325"/>
      <c r="D312" s="325"/>
      <c r="E312" s="325"/>
      <c r="F312" s="325"/>
      <c r="G312" s="325"/>
      <c r="H312" s="325"/>
      <c r="I312" s="325"/>
      <c r="J312" s="325"/>
      <c r="K312" s="325"/>
      <c r="L312" s="325"/>
      <c r="M312" s="325"/>
      <c r="N312" s="325">
        <v>85</v>
      </c>
      <c r="O312" s="325">
        <v>85</v>
      </c>
      <c r="P312" s="325">
        <v>85</v>
      </c>
      <c r="Q312" s="325"/>
      <c r="R312" s="325"/>
      <c r="S312" s="325"/>
      <c r="T312" s="325"/>
      <c r="U312" s="325"/>
      <c r="V312" s="325"/>
      <c r="W312" s="325"/>
      <c r="X312" s="325"/>
      <c r="Y312" s="325"/>
      <c r="Z312" s="325"/>
      <c r="AA312" s="325"/>
      <c r="AB312" s="325"/>
      <c r="AC312" s="325"/>
      <c r="AD312" s="325"/>
      <c r="AE312" s="325"/>
      <c r="AF312" s="325"/>
      <c r="AG312" s="325"/>
      <c r="AH312" s="325"/>
      <c r="AI312" s="325"/>
      <c r="AJ312" s="325"/>
      <c r="AK312" s="325"/>
      <c r="AL312" s="325"/>
      <c r="AM312" s="325"/>
      <c r="AN312" s="325"/>
      <c r="AO312" s="325"/>
      <c r="AP312" s="325"/>
      <c r="AQ312" s="325"/>
      <c r="AR312" s="325"/>
      <c r="AS312" s="325"/>
      <c r="AT312" s="325"/>
      <c r="AU312" s="325"/>
      <c r="AV312" s="325"/>
      <c r="AW312" s="325"/>
      <c r="AX312" s="325"/>
    </row>
    <row r="313" spans="1:50">
      <c r="A313" s="4"/>
      <c r="B313" s="21"/>
      <c r="C313" s="4"/>
      <c r="D313" s="4"/>
      <c r="E313" s="4"/>
      <c r="F313" s="21"/>
      <c r="G313" s="21"/>
      <c r="H313" s="21"/>
      <c r="I313" s="21"/>
      <c r="J313" s="21"/>
      <c r="K313" s="21"/>
      <c r="L313" s="21"/>
      <c r="M313" s="21"/>
      <c r="N313" s="21"/>
      <c r="O313" s="21"/>
      <c r="P313" s="248"/>
      <c r="Q313" s="248"/>
      <c r="R313" s="248"/>
      <c r="S313" s="248"/>
      <c r="T313" s="248"/>
      <c r="U313" s="248"/>
      <c r="V313" s="248"/>
      <c r="W313" s="248"/>
      <c r="X313" s="248"/>
      <c r="Y313" s="248"/>
      <c r="Z313" s="248"/>
      <c r="AA313" s="248"/>
      <c r="AB313" s="248"/>
      <c r="AC313" s="248"/>
      <c r="AD313" s="248"/>
      <c r="AE313" s="248"/>
      <c r="AF313" s="248"/>
      <c r="AG313" s="248"/>
      <c r="AH313" s="248"/>
      <c r="AI313" s="248"/>
      <c r="AJ313" s="248"/>
      <c r="AK313" s="21"/>
      <c r="AL313" s="21"/>
      <c r="AM313" s="21"/>
      <c r="AN313" s="21"/>
      <c r="AO313" s="21"/>
      <c r="AP313" s="21"/>
      <c r="AQ313" s="21"/>
      <c r="AR313" s="21"/>
      <c r="AS313" s="21"/>
      <c r="AT313" s="21"/>
      <c r="AU313" s="21"/>
      <c r="AV313" s="21"/>
      <c r="AW313" s="21"/>
      <c r="AX313" s="21"/>
    </row>
    <row r="314" spans="1:50">
      <c r="A314" s="4" t="s">
        <v>704</v>
      </c>
      <c r="B314" s="325"/>
      <c r="C314" s="325"/>
      <c r="D314" s="325"/>
      <c r="E314" s="325"/>
      <c r="F314" s="325">
        <v>175</v>
      </c>
      <c r="G314" s="325">
        <v>176</v>
      </c>
      <c r="H314" s="325">
        <v>218</v>
      </c>
      <c r="I314" s="325">
        <v>180</v>
      </c>
      <c r="J314" s="325">
        <v>186</v>
      </c>
      <c r="K314" s="325">
        <v>201</v>
      </c>
      <c r="L314" s="325">
        <v>192</v>
      </c>
      <c r="M314" s="325">
        <v>201</v>
      </c>
      <c r="N314" s="325">
        <v>318</v>
      </c>
      <c r="O314" s="325">
        <v>285</v>
      </c>
      <c r="P314" s="325">
        <v>247</v>
      </c>
      <c r="Q314" s="325">
        <v>301</v>
      </c>
      <c r="R314" s="325">
        <v>315</v>
      </c>
      <c r="S314" s="325">
        <v>304</v>
      </c>
      <c r="T314" s="325">
        <v>345</v>
      </c>
      <c r="U314" s="325">
        <v>301</v>
      </c>
      <c r="V314" s="325">
        <v>531</v>
      </c>
      <c r="W314" s="325">
        <v>313</v>
      </c>
      <c r="X314" s="325">
        <v>354</v>
      </c>
      <c r="Y314" s="325">
        <v>774</v>
      </c>
      <c r="Z314" s="325">
        <v>314</v>
      </c>
      <c r="AA314" s="325">
        <v>516</v>
      </c>
      <c r="AB314" s="646">
        <v>501</v>
      </c>
      <c r="AC314" s="646">
        <v>2126</v>
      </c>
      <c r="AD314" s="646">
        <v>507</v>
      </c>
      <c r="AE314" s="646">
        <v>514</v>
      </c>
      <c r="AF314" s="646">
        <v>593</v>
      </c>
      <c r="AG314" s="646">
        <v>648</v>
      </c>
      <c r="AH314" s="646"/>
      <c r="AI314" s="646"/>
      <c r="AJ314" s="646"/>
      <c r="AK314" s="325">
        <v>507</v>
      </c>
      <c r="AL314" s="325">
        <v>646</v>
      </c>
      <c r="AM314" s="325">
        <v>748</v>
      </c>
      <c r="AN314" s="325">
        <v>781</v>
      </c>
      <c r="AO314" s="325">
        <v>1151</v>
      </c>
      <c r="AP314" s="325">
        <v>1265</v>
      </c>
      <c r="AQ314" s="325">
        <v>1973</v>
      </c>
      <c r="AR314" s="325">
        <v>3456</v>
      </c>
      <c r="AS314" s="325">
        <v>2262</v>
      </c>
      <c r="AT314" s="325">
        <f>AS314/AR314-1</f>
        <v>-0.34548611111111116</v>
      </c>
      <c r="AU314" s="325"/>
      <c r="AV314" s="325"/>
      <c r="AW314" s="325"/>
      <c r="AX314" s="325"/>
    </row>
    <row r="315" spans="1:50">
      <c r="A315" s="247" t="s">
        <v>698</v>
      </c>
      <c r="B315" s="315"/>
      <c r="C315" s="315"/>
      <c r="D315" s="315"/>
      <c r="E315" s="315"/>
      <c r="F315" s="315"/>
      <c r="G315" s="315"/>
      <c r="H315" s="315"/>
      <c r="I315" s="315"/>
      <c r="J315" s="248">
        <f t="shared" ref="J315:AG315" si="593">(J314/I314-1)*100</f>
        <v>3.3333333333333437</v>
      </c>
      <c r="K315" s="248">
        <f t="shared" si="593"/>
        <v>8.0645161290322509</v>
      </c>
      <c r="L315" s="248">
        <f t="shared" si="593"/>
        <v>-4.4776119402985088</v>
      </c>
      <c r="M315" s="248">
        <f t="shared" si="593"/>
        <v>4.6875</v>
      </c>
      <c r="N315" s="248">
        <f t="shared" si="593"/>
        <v>58.208955223880587</v>
      </c>
      <c r="O315" s="248">
        <f t="shared" si="593"/>
        <v>-10.377358490566035</v>
      </c>
      <c r="P315" s="248">
        <f t="shared" si="593"/>
        <v>-13.33333333333333</v>
      </c>
      <c r="Q315" s="248">
        <f t="shared" si="593"/>
        <v>21.862348178137658</v>
      </c>
      <c r="R315" s="248">
        <f t="shared" si="593"/>
        <v>4.6511627906976827</v>
      </c>
      <c r="S315" s="248">
        <f t="shared" si="593"/>
        <v>-3.4920634920634908</v>
      </c>
      <c r="T315" s="248">
        <f t="shared" si="593"/>
        <v>13.486842105263165</v>
      </c>
      <c r="U315" s="248">
        <f t="shared" si="593"/>
        <v>-12.753623188405793</v>
      </c>
      <c r="V315" s="248">
        <f t="shared" si="593"/>
        <v>76.411960132890357</v>
      </c>
      <c r="W315" s="248">
        <f t="shared" si="593"/>
        <v>-41.054613935969861</v>
      </c>
      <c r="X315" s="248">
        <f t="shared" si="593"/>
        <v>13.09904153354633</v>
      </c>
      <c r="Y315" s="248">
        <f t="shared" si="593"/>
        <v>118.64406779661016</v>
      </c>
      <c r="Z315" s="248">
        <f t="shared" si="593"/>
        <v>-59.431524547803619</v>
      </c>
      <c r="AA315" s="248">
        <f t="shared" si="593"/>
        <v>64.331210191082818</v>
      </c>
      <c r="AB315" s="248">
        <f t="shared" si="593"/>
        <v>-2.9069767441860517</v>
      </c>
      <c r="AC315" s="248">
        <f t="shared" si="593"/>
        <v>324.3512974051896</v>
      </c>
      <c r="AD315" s="248">
        <f t="shared" si="593"/>
        <v>-76.152398871119473</v>
      </c>
      <c r="AE315" s="248">
        <f t="shared" si="593"/>
        <v>1.3806706114398493</v>
      </c>
      <c r="AF315" s="248">
        <f t="shared" si="593"/>
        <v>15.369649805447461</v>
      </c>
      <c r="AG315" s="248">
        <f t="shared" si="593"/>
        <v>9.274873524451932</v>
      </c>
      <c r="AH315" s="248"/>
      <c r="AI315" s="248"/>
      <c r="AJ315" s="248"/>
      <c r="AK315" s="248" t="e">
        <f>(AK314/#REF!-1)*100</f>
        <v>#REF!</v>
      </c>
      <c r="AL315" s="248">
        <f t="shared" ref="AL315:AO315" si="594">(AL314/AK314-1)*100</f>
        <v>27.41617357001973</v>
      </c>
      <c r="AM315" s="248">
        <f t="shared" si="594"/>
        <v>15.789473684210531</v>
      </c>
      <c r="AN315" s="248">
        <f t="shared" si="594"/>
        <v>4.4117647058823595</v>
      </c>
      <c r="AO315" s="248">
        <f t="shared" si="594"/>
        <v>47.375160051216383</v>
      </c>
      <c r="AP315" s="248">
        <f t="shared" ref="AP315" si="595">(AP314/AO314-1)*100</f>
        <v>9.9044309296264075</v>
      </c>
      <c r="AQ315" s="248">
        <f t="shared" ref="AQ315:AS315" si="596">(AQ314/AP314-1)*100</f>
        <v>55.968379446640327</v>
      </c>
      <c r="AR315" s="248">
        <f t="shared" si="596"/>
        <v>75.164723770907244</v>
      </c>
      <c r="AS315" s="248">
        <f t="shared" si="596"/>
        <v>-34.548611111111114</v>
      </c>
      <c r="AT315" s="248"/>
      <c r="AU315" s="248"/>
      <c r="AV315" s="248"/>
      <c r="AW315" s="248"/>
      <c r="AX315" s="248"/>
    </row>
    <row r="316" spans="1:50">
      <c r="A316" s="247" t="s">
        <v>699</v>
      </c>
      <c r="B316" s="315"/>
      <c r="C316" s="315"/>
      <c r="D316" s="315"/>
      <c r="E316" s="315"/>
      <c r="F316" s="315"/>
      <c r="G316" s="315"/>
      <c r="H316" s="315"/>
      <c r="I316" s="315"/>
      <c r="J316" s="248">
        <f t="shared" ref="J316:AG316" si="597">(J314/F314-1)*100</f>
        <v>6.2857142857142945</v>
      </c>
      <c r="K316" s="248">
        <f t="shared" si="597"/>
        <v>14.204545454545459</v>
      </c>
      <c r="L316" s="248">
        <f t="shared" si="597"/>
        <v>-11.926605504587151</v>
      </c>
      <c r="M316" s="248">
        <f t="shared" si="597"/>
        <v>11.66666666666667</v>
      </c>
      <c r="N316" s="248">
        <f t="shared" si="597"/>
        <v>70.967741935483872</v>
      </c>
      <c r="O316" s="248">
        <f t="shared" si="597"/>
        <v>41.791044776119413</v>
      </c>
      <c r="P316" s="248">
        <f t="shared" si="597"/>
        <v>28.645833333333325</v>
      </c>
      <c r="Q316" s="248">
        <f t="shared" si="597"/>
        <v>49.751243781094523</v>
      </c>
      <c r="R316" s="248">
        <f t="shared" si="597"/>
        <v>-0.94339622641509413</v>
      </c>
      <c r="S316" s="248">
        <f t="shared" si="597"/>
        <v>6.6666666666666652</v>
      </c>
      <c r="T316" s="248">
        <f t="shared" si="597"/>
        <v>39.676113360323882</v>
      </c>
      <c r="U316" s="248">
        <f t="shared" si="597"/>
        <v>0</v>
      </c>
      <c r="V316" s="248">
        <f t="shared" si="597"/>
        <v>68.571428571428569</v>
      </c>
      <c r="W316" s="248">
        <f t="shared" si="597"/>
        <v>2.960526315789469</v>
      </c>
      <c r="X316" s="248">
        <f t="shared" si="597"/>
        <v>2.6086956521739202</v>
      </c>
      <c r="Y316" s="248">
        <f t="shared" si="597"/>
        <v>157.14285714285717</v>
      </c>
      <c r="Z316" s="248">
        <f t="shared" si="597"/>
        <v>-40.866290018832395</v>
      </c>
      <c r="AA316" s="248">
        <f t="shared" si="597"/>
        <v>64.856230031948897</v>
      </c>
      <c r="AB316" s="248">
        <f t="shared" si="597"/>
        <v>41.525423728813557</v>
      </c>
      <c r="AC316" s="248">
        <f t="shared" si="597"/>
        <v>174.67700258397932</v>
      </c>
      <c r="AD316" s="248">
        <f t="shared" si="597"/>
        <v>61.464968152866241</v>
      </c>
      <c r="AE316" s="248">
        <f t="shared" si="597"/>
        <v>-0.38759689922480689</v>
      </c>
      <c r="AF316" s="248">
        <f t="shared" si="597"/>
        <v>18.363273453093811</v>
      </c>
      <c r="AG316" s="248">
        <f t="shared" si="597"/>
        <v>-69.520225776105363</v>
      </c>
      <c r="AH316" s="248"/>
      <c r="AI316" s="248"/>
      <c r="AJ316" s="248"/>
      <c r="AK316" s="248"/>
      <c r="AL316" s="248"/>
      <c r="AM316" s="248"/>
      <c r="AN316" s="248"/>
      <c r="AO316" s="248"/>
      <c r="AP316" s="248"/>
      <c r="AQ316" s="248"/>
      <c r="AR316" s="248"/>
      <c r="AS316" s="248"/>
      <c r="AT316" s="248"/>
      <c r="AU316" s="248"/>
      <c r="AV316" s="248"/>
      <c r="AW316" s="248"/>
      <c r="AX316" s="248"/>
    </row>
    <row r="317" spans="1:50">
      <c r="A317" s="4" t="s">
        <v>616</v>
      </c>
      <c r="B317" s="325"/>
      <c r="C317" s="325"/>
      <c r="D317" s="325"/>
      <c r="E317" s="325"/>
      <c r="F317" s="325">
        <v>100</v>
      </c>
      <c r="G317" s="325">
        <v>65</v>
      </c>
      <c r="H317" s="325">
        <v>90</v>
      </c>
      <c r="I317" s="325">
        <v>81</v>
      </c>
      <c r="J317" s="325">
        <v>85</v>
      </c>
      <c r="K317" s="325">
        <v>121</v>
      </c>
      <c r="L317" s="325">
        <v>116</v>
      </c>
      <c r="M317" s="325">
        <v>119</v>
      </c>
      <c r="N317" s="325">
        <v>46</v>
      </c>
      <c r="O317" s="325">
        <v>123</v>
      </c>
      <c r="P317" s="325">
        <v>91</v>
      </c>
      <c r="Q317" s="325">
        <v>158</v>
      </c>
      <c r="R317" s="325">
        <v>123</v>
      </c>
      <c r="S317" s="325">
        <v>141</v>
      </c>
      <c r="T317" s="325">
        <v>208</v>
      </c>
      <c r="U317" s="325">
        <v>130</v>
      </c>
      <c r="V317" s="325">
        <v>155</v>
      </c>
      <c r="W317" s="325">
        <v>118</v>
      </c>
      <c r="X317" s="325">
        <v>110</v>
      </c>
      <c r="Y317" s="325">
        <v>627</v>
      </c>
      <c r="Z317" s="325">
        <v>126</v>
      </c>
      <c r="AA317" s="325">
        <v>245</v>
      </c>
      <c r="AB317" s="325">
        <v>294</v>
      </c>
      <c r="AC317" s="325">
        <v>1828</v>
      </c>
      <c r="AD317" s="325">
        <v>272</v>
      </c>
      <c r="AE317" s="325">
        <v>281</v>
      </c>
      <c r="AF317" s="325">
        <v>304</v>
      </c>
      <c r="AG317" s="325">
        <v>437</v>
      </c>
      <c r="AH317" s="325"/>
      <c r="AI317" s="325"/>
      <c r="AJ317" s="325"/>
      <c r="AK317" s="325">
        <v>249</v>
      </c>
      <c r="AL317" s="325">
        <v>345</v>
      </c>
      <c r="AM317" s="325">
        <v>336</v>
      </c>
      <c r="AN317" s="325">
        <v>441</v>
      </c>
      <c r="AO317" s="325">
        <v>417</v>
      </c>
      <c r="AP317" s="325">
        <v>602</v>
      </c>
      <c r="AQ317" s="325">
        <v>1010</v>
      </c>
      <c r="AR317" s="325">
        <v>2492</v>
      </c>
      <c r="AS317" s="325">
        <v>1295</v>
      </c>
      <c r="AT317" s="325"/>
      <c r="AU317" s="325"/>
      <c r="AV317" s="325"/>
      <c r="AW317" s="325"/>
      <c r="AX317" s="325"/>
    </row>
    <row r="318" spans="1:50">
      <c r="A318" s="247" t="s">
        <v>698</v>
      </c>
      <c r="B318" s="315"/>
      <c r="C318" s="315"/>
      <c r="D318" s="315"/>
      <c r="E318" s="315"/>
      <c r="F318" s="315"/>
      <c r="G318" s="315"/>
      <c r="H318" s="315"/>
      <c r="I318" s="315"/>
      <c r="J318" s="248">
        <f t="shared" ref="J318:AG318" si="598">(J317/I317-1)*100</f>
        <v>4.9382716049382713</v>
      </c>
      <c r="K318" s="248">
        <f t="shared" si="598"/>
        <v>42.352941176470594</v>
      </c>
      <c r="L318" s="248">
        <f t="shared" si="598"/>
        <v>-4.1322314049586755</v>
      </c>
      <c r="M318" s="248">
        <f t="shared" si="598"/>
        <v>2.5862068965517349</v>
      </c>
      <c r="N318" s="248">
        <f t="shared" si="598"/>
        <v>-61.344537815126053</v>
      </c>
      <c r="O318" s="248">
        <f t="shared" si="598"/>
        <v>167.39130434782606</v>
      </c>
      <c r="P318" s="248">
        <f t="shared" si="598"/>
        <v>-26.016260162601622</v>
      </c>
      <c r="Q318" s="248">
        <f t="shared" si="598"/>
        <v>73.626373626373635</v>
      </c>
      <c r="R318" s="248">
        <f t="shared" si="598"/>
        <v>-22.151898734177212</v>
      </c>
      <c r="S318" s="248">
        <f t="shared" si="598"/>
        <v>14.634146341463406</v>
      </c>
      <c r="T318" s="248">
        <f t="shared" si="598"/>
        <v>47.517730496453893</v>
      </c>
      <c r="U318" s="248">
        <f t="shared" si="598"/>
        <v>-37.5</v>
      </c>
      <c r="V318" s="248">
        <f t="shared" si="598"/>
        <v>19.23076923076923</v>
      </c>
      <c r="W318" s="248">
        <f t="shared" si="598"/>
        <v>-23.870967741935488</v>
      </c>
      <c r="X318" s="248">
        <f t="shared" si="598"/>
        <v>-6.7796610169491567</v>
      </c>
      <c r="Y318" s="248">
        <f t="shared" si="598"/>
        <v>470</v>
      </c>
      <c r="Z318" s="248">
        <f t="shared" si="598"/>
        <v>-79.904306220095705</v>
      </c>
      <c r="AA318" s="248">
        <f t="shared" si="598"/>
        <v>94.444444444444443</v>
      </c>
      <c r="AB318" s="248">
        <f t="shared" si="598"/>
        <v>19.999999999999996</v>
      </c>
      <c r="AC318" s="248">
        <f t="shared" si="598"/>
        <v>521.76870748299325</v>
      </c>
      <c r="AD318" s="248">
        <f t="shared" si="598"/>
        <v>-85.120350109409188</v>
      </c>
      <c r="AE318" s="248">
        <f t="shared" si="598"/>
        <v>3.3088235294117752</v>
      </c>
      <c r="AF318" s="248">
        <f t="shared" si="598"/>
        <v>8.1850533807829251</v>
      </c>
      <c r="AG318" s="248">
        <f t="shared" si="598"/>
        <v>43.75</v>
      </c>
      <c r="AH318" s="248"/>
      <c r="AI318" s="248"/>
      <c r="AJ318" s="248"/>
      <c r="AK318" s="248" t="e">
        <f>(AK317/#REF!-1)*100</f>
        <v>#REF!</v>
      </c>
      <c r="AL318" s="248">
        <f t="shared" ref="AL318:AO318" si="599">(AL317/AK317-1)*100</f>
        <v>38.554216867469869</v>
      </c>
      <c r="AM318" s="248">
        <f t="shared" si="599"/>
        <v>-2.6086956521739091</v>
      </c>
      <c r="AN318" s="248">
        <f t="shared" si="599"/>
        <v>31.25</v>
      </c>
      <c r="AO318" s="248">
        <f t="shared" si="599"/>
        <v>-5.4421768707482947</v>
      </c>
      <c r="AP318" s="248">
        <f t="shared" ref="AP318" si="600">(AP317/AO317-1)*100</f>
        <v>44.364508393285362</v>
      </c>
      <c r="AQ318" s="248">
        <f t="shared" ref="AQ318:AS318" si="601">(AQ317/AP317-1)*100</f>
        <v>67.774086378737536</v>
      </c>
      <c r="AR318" s="248">
        <f t="shared" si="601"/>
        <v>146.73267326732673</v>
      </c>
      <c r="AS318" s="248">
        <f t="shared" si="601"/>
        <v>-48.033707865168537</v>
      </c>
      <c r="AT318" s="248"/>
      <c r="AU318" s="248"/>
      <c r="AV318" s="248"/>
      <c r="AW318" s="248"/>
      <c r="AX318" s="248"/>
    </row>
    <row r="319" spans="1:50">
      <c r="A319" s="247" t="s">
        <v>699</v>
      </c>
      <c r="B319" s="315"/>
      <c r="C319" s="315"/>
      <c r="D319" s="315"/>
      <c r="E319" s="315"/>
      <c r="F319" s="315"/>
      <c r="G319" s="315"/>
      <c r="H319" s="315"/>
      <c r="I319" s="315"/>
      <c r="J319" s="248">
        <f t="shared" ref="J319:AG319" si="602">(J317/F317-1)*100</f>
        <v>-15.000000000000002</v>
      </c>
      <c r="K319" s="248">
        <f t="shared" si="602"/>
        <v>86.15384615384616</v>
      </c>
      <c r="L319" s="248">
        <f t="shared" si="602"/>
        <v>28.888888888888896</v>
      </c>
      <c r="M319" s="248">
        <f t="shared" si="602"/>
        <v>46.91358024691359</v>
      </c>
      <c r="N319" s="248">
        <f t="shared" si="602"/>
        <v>-45.882352941176471</v>
      </c>
      <c r="O319" s="248">
        <f t="shared" si="602"/>
        <v>1.6528925619834656</v>
      </c>
      <c r="P319" s="248">
        <f t="shared" si="602"/>
        <v>-21.551724137931039</v>
      </c>
      <c r="Q319" s="248">
        <f t="shared" si="602"/>
        <v>32.773109243697476</v>
      </c>
      <c r="R319" s="248">
        <f t="shared" si="602"/>
        <v>167.39130434782606</v>
      </c>
      <c r="S319" s="248">
        <f t="shared" si="602"/>
        <v>14.634146341463406</v>
      </c>
      <c r="T319" s="248">
        <f t="shared" si="602"/>
        <v>128.57142857142856</v>
      </c>
      <c r="U319" s="248">
        <f t="shared" si="602"/>
        <v>-17.721518987341767</v>
      </c>
      <c r="V319" s="248">
        <f t="shared" si="602"/>
        <v>26.016260162601633</v>
      </c>
      <c r="W319" s="248">
        <f t="shared" si="602"/>
        <v>-16.312056737588655</v>
      </c>
      <c r="X319" s="248">
        <f t="shared" si="602"/>
        <v>-47.115384615384613</v>
      </c>
      <c r="Y319" s="248">
        <f t="shared" si="602"/>
        <v>382.30769230769226</v>
      </c>
      <c r="Z319" s="248">
        <f t="shared" si="602"/>
        <v>-18.709677419354843</v>
      </c>
      <c r="AA319" s="248">
        <f t="shared" si="602"/>
        <v>107.62711864406778</v>
      </c>
      <c r="AB319" s="248">
        <f t="shared" si="602"/>
        <v>167.27272727272728</v>
      </c>
      <c r="AC319" s="248">
        <f t="shared" si="602"/>
        <v>191.54704944178627</v>
      </c>
      <c r="AD319" s="248">
        <f t="shared" si="602"/>
        <v>115.87301587301586</v>
      </c>
      <c r="AE319" s="248">
        <f t="shared" si="602"/>
        <v>14.693877551020407</v>
      </c>
      <c r="AF319" s="248">
        <f t="shared" si="602"/>
        <v>3.4013605442176909</v>
      </c>
      <c r="AG319" s="248">
        <f t="shared" si="602"/>
        <v>-76.094091903719914</v>
      </c>
      <c r="AH319" s="248"/>
      <c r="AI319" s="248"/>
      <c r="AJ319" s="248"/>
      <c r="AK319" s="248"/>
      <c r="AL319" s="248"/>
      <c r="AM319" s="248"/>
      <c r="AN319" s="248"/>
      <c r="AO319" s="248"/>
      <c r="AP319" s="248"/>
      <c r="AQ319" s="248"/>
      <c r="AR319" s="248"/>
      <c r="AS319" s="248"/>
      <c r="AT319" s="248"/>
      <c r="AU319" s="248"/>
      <c r="AV319" s="248"/>
      <c r="AW319" s="248"/>
      <c r="AX319" s="248"/>
    </row>
    <row r="320" spans="1:50">
      <c r="A320" s="4" t="s">
        <v>617</v>
      </c>
      <c r="B320" s="325"/>
      <c r="C320" s="325"/>
      <c r="D320" s="325"/>
      <c r="E320" s="325"/>
      <c r="F320" s="325">
        <v>58</v>
      </c>
      <c r="G320" s="315">
        <v>40</v>
      </c>
      <c r="H320" s="325">
        <v>62</v>
      </c>
      <c r="I320" s="325"/>
      <c r="J320" s="325">
        <v>70</v>
      </c>
      <c r="K320" s="325">
        <v>58</v>
      </c>
      <c r="L320" s="325">
        <v>45</v>
      </c>
      <c r="M320" s="325">
        <v>65</v>
      </c>
      <c r="N320" s="325">
        <v>227</v>
      </c>
      <c r="O320" s="325">
        <v>114</v>
      </c>
      <c r="P320" s="325">
        <v>110</v>
      </c>
      <c r="Q320" s="325">
        <v>104</v>
      </c>
      <c r="R320" s="325">
        <v>151</v>
      </c>
      <c r="S320" s="325">
        <v>134</v>
      </c>
      <c r="T320" s="325">
        <v>113</v>
      </c>
      <c r="U320" s="325">
        <v>113</v>
      </c>
      <c r="V320" s="325">
        <v>346</v>
      </c>
      <c r="W320" s="325">
        <v>138</v>
      </c>
      <c r="X320" s="325">
        <v>172</v>
      </c>
      <c r="Y320" s="325">
        <v>102</v>
      </c>
      <c r="Z320" s="325">
        <v>96</v>
      </c>
      <c r="AA320" s="325">
        <v>184</v>
      </c>
      <c r="AB320" s="325">
        <v>93</v>
      </c>
      <c r="AC320" s="325">
        <v>170</v>
      </c>
      <c r="AD320" s="325">
        <v>140</v>
      </c>
      <c r="AE320" s="325">
        <v>122</v>
      </c>
      <c r="AF320" s="325">
        <v>194</v>
      </c>
      <c r="AG320" s="325">
        <v>156</v>
      </c>
      <c r="AH320" s="325"/>
      <c r="AI320" s="325"/>
      <c r="AJ320" s="325"/>
      <c r="AK320" s="325">
        <v>149</v>
      </c>
      <c r="AL320" s="325">
        <v>182</v>
      </c>
      <c r="AM320" s="325">
        <v>213</v>
      </c>
      <c r="AN320" s="325">
        <v>238</v>
      </c>
      <c r="AO320" s="325">
        <v>554</v>
      </c>
      <c r="AP320" s="325">
        <v>511</v>
      </c>
      <c r="AQ320" s="325">
        <v>758</v>
      </c>
      <c r="AR320" s="325">
        <v>543</v>
      </c>
      <c r="AS320" s="325">
        <v>612</v>
      </c>
      <c r="AT320" s="325"/>
      <c r="AU320" s="325"/>
      <c r="AV320" s="325"/>
      <c r="AW320" s="325"/>
      <c r="AX320" s="325"/>
    </row>
    <row r="321" spans="1:50">
      <c r="A321" s="247" t="s">
        <v>698</v>
      </c>
      <c r="B321" s="315"/>
      <c r="C321" s="315"/>
      <c r="D321" s="315"/>
      <c r="E321" s="315"/>
      <c r="F321" s="315"/>
      <c r="G321" s="315"/>
      <c r="H321" s="315"/>
      <c r="I321" s="315">
        <v>52</v>
      </c>
      <c r="J321" s="248" t="e">
        <f t="shared" ref="J321:AG321" si="603">(J320/I320-1)*100</f>
        <v>#DIV/0!</v>
      </c>
      <c r="K321" s="248">
        <f t="shared" si="603"/>
        <v>-17.142857142857139</v>
      </c>
      <c r="L321" s="248">
        <f t="shared" si="603"/>
        <v>-22.413793103448278</v>
      </c>
      <c r="M321" s="248">
        <f t="shared" si="603"/>
        <v>44.444444444444443</v>
      </c>
      <c r="N321" s="248">
        <f t="shared" si="603"/>
        <v>249.23076923076923</v>
      </c>
      <c r="O321" s="248">
        <f t="shared" si="603"/>
        <v>-49.779735682819378</v>
      </c>
      <c r="P321" s="248">
        <f t="shared" si="603"/>
        <v>-3.5087719298245612</v>
      </c>
      <c r="Q321" s="248">
        <f t="shared" si="603"/>
        <v>-5.4545454545454568</v>
      </c>
      <c r="R321" s="248">
        <f t="shared" si="603"/>
        <v>45.192307692307686</v>
      </c>
      <c r="S321" s="248">
        <f t="shared" si="603"/>
        <v>-11.258278145695366</v>
      </c>
      <c r="T321" s="248">
        <f t="shared" si="603"/>
        <v>-15.671641791044777</v>
      </c>
      <c r="U321" s="248">
        <f t="shared" si="603"/>
        <v>0</v>
      </c>
      <c r="V321" s="248">
        <f t="shared" si="603"/>
        <v>206.19469026548671</v>
      </c>
      <c r="W321" s="248">
        <f t="shared" si="603"/>
        <v>-60.115606936416178</v>
      </c>
      <c r="X321" s="248">
        <f t="shared" si="603"/>
        <v>24.637681159420289</v>
      </c>
      <c r="Y321" s="248">
        <f t="shared" si="603"/>
        <v>-40.697674418604649</v>
      </c>
      <c r="Z321" s="248">
        <f t="shared" si="603"/>
        <v>-5.8823529411764719</v>
      </c>
      <c r="AA321" s="248">
        <f t="shared" si="603"/>
        <v>91.666666666666671</v>
      </c>
      <c r="AB321" s="248">
        <f t="shared" si="603"/>
        <v>-49.45652173913043</v>
      </c>
      <c r="AC321" s="248">
        <f t="shared" si="603"/>
        <v>82.79569892473117</v>
      </c>
      <c r="AD321" s="248">
        <f t="shared" si="603"/>
        <v>-17.647058823529417</v>
      </c>
      <c r="AE321" s="248">
        <f t="shared" si="603"/>
        <v>-12.857142857142856</v>
      </c>
      <c r="AF321" s="248">
        <f t="shared" si="603"/>
        <v>59.016393442622949</v>
      </c>
      <c r="AG321" s="248">
        <f t="shared" si="603"/>
        <v>-19.587628865979379</v>
      </c>
      <c r="AH321" s="248"/>
      <c r="AI321" s="248"/>
      <c r="AJ321" s="248"/>
      <c r="AK321" s="248" t="e">
        <f>(AK320/#REF!-1)*100</f>
        <v>#REF!</v>
      </c>
      <c r="AL321" s="248">
        <f t="shared" ref="AL321:AO321" si="604">(AL320/AK320-1)*100</f>
        <v>22.14765100671141</v>
      </c>
      <c r="AM321" s="248">
        <f t="shared" si="604"/>
        <v>17.03296703296704</v>
      </c>
      <c r="AN321" s="248">
        <f t="shared" si="604"/>
        <v>11.737089201877925</v>
      </c>
      <c r="AO321" s="248">
        <f t="shared" si="604"/>
        <v>132.77310924369749</v>
      </c>
      <c r="AP321" s="248">
        <f t="shared" ref="AP321" si="605">(AP320/AO320-1)*100</f>
        <v>-7.7617328519855588</v>
      </c>
      <c r="AQ321" s="248">
        <f t="shared" ref="AQ321:AS321" si="606">(AQ320/AP320-1)*100</f>
        <v>48.336594911937382</v>
      </c>
      <c r="AR321" s="248">
        <f t="shared" si="606"/>
        <v>-28.364116094986802</v>
      </c>
      <c r="AS321" s="248">
        <f t="shared" si="606"/>
        <v>12.707182320441991</v>
      </c>
      <c r="AT321" s="248"/>
      <c r="AU321" s="248"/>
      <c r="AV321" s="248"/>
      <c r="AW321" s="248"/>
      <c r="AX321" s="248"/>
    </row>
    <row r="322" spans="1:50">
      <c r="A322" s="247" t="s">
        <v>699</v>
      </c>
      <c r="B322" s="315"/>
      <c r="C322" s="315"/>
      <c r="D322" s="315"/>
      <c r="E322" s="315"/>
      <c r="F322" s="315"/>
      <c r="G322" s="315"/>
      <c r="H322" s="315"/>
      <c r="I322" s="315"/>
      <c r="J322" s="248">
        <f t="shared" ref="J322:AG322" si="607">(J320/F320-1)*100</f>
        <v>20.68965517241379</v>
      </c>
      <c r="K322" s="248">
        <f t="shared" si="607"/>
        <v>44.999999999999993</v>
      </c>
      <c r="L322" s="248">
        <f t="shared" si="607"/>
        <v>-27.419354838709676</v>
      </c>
      <c r="M322" s="248" t="e">
        <f t="shared" si="607"/>
        <v>#DIV/0!</v>
      </c>
      <c r="N322" s="248">
        <f t="shared" si="607"/>
        <v>224.28571428571428</v>
      </c>
      <c r="O322" s="248">
        <f t="shared" si="607"/>
        <v>96.551724137931032</v>
      </c>
      <c r="P322" s="248">
        <f t="shared" si="607"/>
        <v>144.44444444444446</v>
      </c>
      <c r="Q322" s="248">
        <f t="shared" si="607"/>
        <v>60.000000000000007</v>
      </c>
      <c r="R322" s="248">
        <f t="shared" si="607"/>
        <v>-33.480176211453752</v>
      </c>
      <c r="S322" s="248">
        <f t="shared" si="607"/>
        <v>17.543859649122815</v>
      </c>
      <c r="T322" s="248">
        <f t="shared" si="607"/>
        <v>2.7272727272727337</v>
      </c>
      <c r="U322" s="248">
        <f t="shared" si="607"/>
        <v>8.6538461538461462</v>
      </c>
      <c r="V322" s="248">
        <f t="shared" si="607"/>
        <v>129.13907284768214</v>
      </c>
      <c r="W322" s="248">
        <f t="shared" si="607"/>
        <v>2.9850746268656803</v>
      </c>
      <c r="X322" s="248">
        <f t="shared" si="607"/>
        <v>52.212389380530965</v>
      </c>
      <c r="Y322" s="248">
        <f t="shared" si="607"/>
        <v>-9.7345132743362868</v>
      </c>
      <c r="Z322" s="248">
        <f t="shared" si="607"/>
        <v>-72.25433526011561</v>
      </c>
      <c r="AA322" s="248">
        <f t="shared" si="607"/>
        <v>33.333333333333329</v>
      </c>
      <c r="AB322" s="248">
        <f t="shared" si="607"/>
        <v>-45.930232558139537</v>
      </c>
      <c r="AC322" s="248">
        <f t="shared" si="607"/>
        <v>66.666666666666671</v>
      </c>
      <c r="AD322" s="248">
        <f t="shared" si="607"/>
        <v>45.833333333333329</v>
      </c>
      <c r="AE322" s="248">
        <f t="shared" si="607"/>
        <v>-33.695652173913047</v>
      </c>
      <c r="AF322" s="248">
        <f t="shared" si="607"/>
        <v>108.6021505376344</v>
      </c>
      <c r="AG322" s="248">
        <f t="shared" si="607"/>
        <v>-8.2352941176470633</v>
      </c>
      <c r="AH322" s="248"/>
      <c r="AI322" s="248"/>
      <c r="AJ322" s="248"/>
      <c r="AK322" s="248"/>
      <c r="AL322" s="248"/>
      <c r="AM322" s="248"/>
      <c r="AN322" s="248"/>
      <c r="AO322" s="248"/>
      <c r="AP322" s="248"/>
      <c r="AQ322" s="248"/>
      <c r="AR322" s="248"/>
      <c r="AS322" s="248"/>
      <c r="AT322" s="248"/>
      <c r="AU322" s="248"/>
      <c r="AV322" s="248"/>
      <c r="AW322" s="248"/>
      <c r="AX322" s="248"/>
    </row>
    <row r="323" spans="1:50">
      <c r="A323" s="4" t="s">
        <v>618</v>
      </c>
      <c r="B323" s="325"/>
      <c r="C323" s="325"/>
      <c r="D323" s="325"/>
      <c r="E323" s="325"/>
      <c r="F323" s="325">
        <v>17</v>
      </c>
      <c r="G323" s="325">
        <v>70</v>
      </c>
      <c r="H323" s="325">
        <v>66</v>
      </c>
      <c r="I323" s="325">
        <v>47</v>
      </c>
      <c r="J323" s="325">
        <v>31</v>
      </c>
      <c r="K323" s="325">
        <v>21</v>
      </c>
      <c r="L323" s="325">
        <v>32</v>
      </c>
      <c r="M323" s="325">
        <v>17</v>
      </c>
      <c r="N323" s="325">
        <v>46</v>
      </c>
      <c r="O323" s="325">
        <v>48</v>
      </c>
      <c r="P323" s="325">
        <v>47</v>
      </c>
      <c r="Q323" s="325">
        <v>40</v>
      </c>
      <c r="R323" s="325">
        <v>41</v>
      </c>
      <c r="S323" s="325">
        <v>29</v>
      </c>
      <c r="T323" s="325">
        <v>24</v>
      </c>
      <c r="U323" s="325">
        <v>58</v>
      </c>
      <c r="V323" s="325">
        <v>30</v>
      </c>
      <c r="W323" s="325">
        <v>57</v>
      </c>
      <c r="X323" s="325">
        <v>72</v>
      </c>
      <c r="Y323" s="325">
        <v>46</v>
      </c>
      <c r="Z323" s="325">
        <v>92</v>
      </c>
      <c r="AA323" s="325">
        <v>86</v>
      </c>
      <c r="AB323" s="325">
        <v>114</v>
      </c>
      <c r="AC323" s="325">
        <v>128</v>
      </c>
      <c r="AD323" s="325">
        <v>95</v>
      </c>
      <c r="AE323" s="325">
        <v>110</v>
      </c>
      <c r="AF323" s="325">
        <v>95</v>
      </c>
      <c r="AG323" s="325">
        <v>55</v>
      </c>
      <c r="AH323" s="325"/>
      <c r="AI323" s="325"/>
      <c r="AJ323" s="325"/>
      <c r="AK323" s="325">
        <v>109</v>
      </c>
      <c r="AL323" s="325">
        <v>119</v>
      </c>
      <c r="AM323" s="325">
        <v>200</v>
      </c>
      <c r="AN323" s="325">
        <v>102</v>
      </c>
      <c r="AO323" s="325">
        <v>181</v>
      </c>
      <c r="AP323" s="325">
        <v>152</v>
      </c>
      <c r="AQ323" s="325">
        <v>205</v>
      </c>
      <c r="AR323" s="325">
        <v>421</v>
      </c>
      <c r="AS323" s="325">
        <v>355</v>
      </c>
      <c r="AT323" s="325"/>
      <c r="AU323" s="325"/>
      <c r="AV323" s="325"/>
      <c r="AW323" s="325"/>
      <c r="AX323" s="325"/>
    </row>
    <row r="324" spans="1:50">
      <c r="A324" s="247" t="s">
        <v>698</v>
      </c>
      <c r="B324" s="21"/>
      <c r="C324" s="4"/>
      <c r="D324" s="4"/>
      <c r="E324" s="4"/>
      <c r="F324" s="21"/>
      <c r="G324" s="21"/>
      <c r="H324" s="21"/>
      <c r="I324" s="315"/>
      <c r="J324" s="248">
        <f t="shared" ref="J324:AG324" si="608">(J323/I323-1)*100</f>
        <v>-34.042553191489368</v>
      </c>
      <c r="K324" s="248">
        <f t="shared" si="608"/>
        <v>-32.258064516129039</v>
      </c>
      <c r="L324" s="248">
        <f t="shared" si="608"/>
        <v>52.380952380952372</v>
      </c>
      <c r="M324" s="248">
        <f t="shared" si="608"/>
        <v>-46.875</v>
      </c>
      <c r="N324" s="248">
        <f t="shared" si="608"/>
        <v>170.58823529411765</v>
      </c>
      <c r="O324" s="248">
        <f t="shared" si="608"/>
        <v>4.3478260869565188</v>
      </c>
      <c r="P324" s="248">
        <f t="shared" si="608"/>
        <v>-2.083333333333337</v>
      </c>
      <c r="Q324" s="248">
        <f t="shared" si="608"/>
        <v>-14.893617021276595</v>
      </c>
      <c r="R324" s="248">
        <f t="shared" si="608"/>
        <v>2.4999999999999911</v>
      </c>
      <c r="S324" s="248">
        <f t="shared" si="608"/>
        <v>-29.268292682926834</v>
      </c>
      <c r="T324" s="248">
        <f t="shared" si="608"/>
        <v>-17.241379310344829</v>
      </c>
      <c r="U324" s="248">
        <f t="shared" si="608"/>
        <v>141.66666666666666</v>
      </c>
      <c r="V324" s="248">
        <f t="shared" si="608"/>
        <v>-48.275862068965516</v>
      </c>
      <c r="W324" s="248">
        <f t="shared" si="608"/>
        <v>89.999999999999986</v>
      </c>
      <c r="X324" s="248">
        <f t="shared" si="608"/>
        <v>26.315789473684205</v>
      </c>
      <c r="Y324" s="248">
        <f t="shared" si="608"/>
        <v>-36.111111111111114</v>
      </c>
      <c r="Z324" s="248">
        <f t="shared" si="608"/>
        <v>100</v>
      </c>
      <c r="AA324" s="248">
        <f t="shared" si="608"/>
        <v>-6.5217391304347778</v>
      </c>
      <c r="AB324" s="248">
        <f t="shared" si="608"/>
        <v>32.558139534883715</v>
      </c>
      <c r="AC324" s="248">
        <f t="shared" si="608"/>
        <v>12.280701754385959</v>
      </c>
      <c r="AD324" s="248">
        <f t="shared" si="608"/>
        <v>-25.78125</v>
      </c>
      <c r="AE324" s="248">
        <f t="shared" si="608"/>
        <v>15.789473684210531</v>
      </c>
      <c r="AF324" s="248">
        <f t="shared" si="608"/>
        <v>-13.636363636363635</v>
      </c>
      <c r="AG324" s="248">
        <f t="shared" si="608"/>
        <v>-42.105263157894733</v>
      </c>
      <c r="AH324" s="248"/>
      <c r="AI324" s="248"/>
      <c r="AJ324" s="248"/>
      <c r="AK324" s="248" t="e">
        <f>(AK323/#REF!-1)*100</f>
        <v>#REF!</v>
      </c>
      <c r="AL324" s="248">
        <f t="shared" ref="AL324:AO324" si="609">(AL323/AK323-1)*100</f>
        <v>9.174311926605494</v>
      </c>
      <c r="AM324" s="248">
        <f t="shared" si="609"/>
        <v>68.067226890756302</v>
      </c>
      <c r="AN324" s="248">
        <f t="shared" si="609"/>
        <v>-49</v>
      </c>
      <c r="AO324" s="248">
        <f t="shared" si="609"/>
        <v>77.45098039215685</v>
      </c>
      <c r="AP324" s="248">
        <f t="shared" ref="AP324" si="610">(AP323/AO323-1)*100</f>
        <v>-16.022099447513817</v>
      </c>
      <c r="AQ324" s="248">
        <f t="shared" ref="AQ324:AS324" si="611">(AQ323/AP323-1)*100</f>
        <v>34.868421052631568</v>
      </c>
      <c r="AR324" s="248">
        <f t="shared" si="611"/>
        <v>105.36585365853659</v>
      </c>
      <c r="AS324" s="248">
        <f t="shared" si="611"/>
        <v>-15.676959619952491</v>
      </c>
      <c r="AT324" s="248"/>
      <c r="AU324" s="248"/>
      <c r="AV324" s="248"/>
      <c r="AW324" s="248"/>
      <c r="AX324" s="248"/>
    </row>
    <row r="325" spans="1:50">
      <c r="A325" s="247" t="s">
        <v>699</v>
      </c>
      <c r="B325" s="21"/>
      <c r="C325" s="4"/>
      <c r="D325" s="4"/>
      <c r="E325" s="4"/>
      <c r="F325" s="21"/>
      <c r="G325" s="21"/>
      <c r="H325" s="21"/>
      <c r="I325" s="315"/>
      <c r="J325" s="248">
        <f t="shared" ref="J325:AG325" si="612">(J323/F323-1)*100</f>
        <v>82.35294117647058</v>
      </c>
      <c r="K325" s="248">
        <f t="shared" si="612"/>
        <v>-70</v>
      </c>
      <c r="L325" s="248">
        <f t="shared" si="612"/>
        <v>-51.515151515151516</v>
      </c>
      <c r="M325" s="248">
        <f t="shared" si="612"/>
        <v>-63.829787234042556</v>
      </c>
      <c r="N325" s="248">
        <f t="shared" si="612"/>
        <v>48.387096774193552</v>
      </c>
      <c r="O325" s="248">
        <f t="shared" si="612"/>
        <v>128.57142857142856</v>
      </c>
      <c r="P325" s="248">
        <f t="shared" si="612"/>
        <v>46.875</v>
      </c>
      <c r="Q325" s="248">
        <f t="shared" si="612"/>
        <v>135.29411764705884</v>
      </c>
      <c r="R325" s="248">
        <f t="shared" si="612"/>
        <v>-10.869565217391308</v>
      </c>
      <c r="S325" s="248">
        <f t="shared" si="612"/>
        <v>-39.583333333333336</v>
      </c>
      <c r="T325" s="248">
        <f t="shared" si="612"/>
        <v>-48.936170212765958</v>
      </c>
      <c r="U325" s="248">
        <f t="shared" si="612"/>
        <v>44.999999999999993</v>
      </c>
      <c r="V325" s="248">
        <f t="shared" si="612"/>
        <v>-26.829268292682929</v>
      </c>
      <c r="W325" s="248">
        <f t="shared" si="612"/>
        <v>96.551724137931032</v>
      </c>
      <c r="X325" s="248">
        <f t="shared" si="612"/>
        <v>200</v>
      </c>
      <c r="Y325" s="248">
        <f t="shared" si="612"/>
        <v>-20.68965517241379</v>
      </c>
      <c r="Z325" s="248">
        <f t="shared" si="612"/>
        <v>206.66666666666669</v>
      </c>
      <c r="AA325" s="248">
        <f t="shared" si="612"/>
        <v>50.877192982456144</v>
      </c>
      <c r="AB325" s="248">
        <f t="shared" si="612"/>
        <v>58.333333333333329</v>
      </c>
      <c r="AC325" s="248">
        <f t="shared" si="612"/>
        <v>178.26086956521738</v>
      </c>
      <c r="AD325" s="248">
        <f t="shared" si="612"/>
        <v>3.2608695652173836</v>
      </c>
      <c r="AE325" s="248">
        <f t="shared" si="612"/>
        <v>27.906976744186053</v>
      </c>
      <c r="AF325" s="248">
        <f t="shared" si="612"/>
        <v>-16.666666666666664</v>
      </c>
      <c r="AG325" s="248">
        <f t="shared" si="612"/>
        <v>-57.03125</v>
      </c>
      <c r="AH325" s="248"/>
      <c r="AI325" s="248"/>
      <c r="AJ325" s="248"/>
      <c r="AK325" s="4"/>
      <c r="AL325" s="4"/>
      <c r="AM325" s="248"/>
      <c r="AN325" s="248"/>
      <c r="AO325" s="248"/>
      <c r="AP325" s="248"/>
      <c r="AQ325" s="248"/>
      <c r="AR325" s="248"/>
      <c r="AS325" s="248"/>
      <c r="AT325" s="248"/>
      <c r="AU325" s="248"/>
      <c r="AV325" s="248"/>
      <c r="AW325" s="248"/>
      <c r="AX325" s="248"/>
    </row>
    <row r="326" spans="1:50">
      <c r="A326" s="4"/>
      <c r="B326" s="4"/>
      <c r="C326" s="4"/>
      <c r="D326" s="4"/>
      <c r="E326" s="4"/>
      <c r="F326" s="4"/>
      <c r="G326" s="4"/>
      <c r="H326" s="4"/>
      <c r="I326" s="277"/>
      <c r="J326" s="277"/>
      <c r="K326" s="277"/>
      <c r="L326" s="277"/>
      <c r="M326" s="277"/>
      <c r="N326" s="277"/>
      <c r="O326" s="277"/>
      <c r="P326" s="277"/>
      <c r="Q326" s="277"/>
      <c r="R326" s="277"/>
      <c r="S326" s="277"/>
      <c r="T326" s="277"/>
      <c r="U326" s="277"/>
      <c r="V326" s="277"/>
      <c r="W326" s="277"/>
      <c r="X326" s="277"/>
      <c r="Y326" s="277"/>
      <c r="Z326" s="277"/>
      <c r="AA326" s="277"/>
      <c r="AB326" s="277"/>
      <c r="AC326" s="277"/>
      <c r="AD326" s="277"/>
      <c r="AE326" s="277"/>
      <c r="AF326" s="277"/>
      <c r="AG326" s="277"/>
      <c r="AH326" s="277"/>
      <c r="AI326" s="277"/>
      <c r="AJ326" s="277"/>
      <c r="AK326" s="4"/>
      <c r="AL326" s="4"/>
      <c r="AM326" s="4"/>
      <c r="AN326" s="277"/>
      <c r="AO326" s="277"/>
      <c r="AP326" s="277"/>
      <c r="AQ326" s="277"/>
      <c r="AR326" s="277"/>
      <c r="AS326" s="277"/>
      <c r="AT326" s="277"/>
      <c r="AU326" s="277"/>
      <c r="AV326" s="277"/>
      <c r="AW326" s="277"/>
      <c r="AX326" s="277"/>
    </row>
    <row r="327" spans="1:50">
      <c r="A327" s="4" t="s">
        <v>705</v>
      </c>
      <c r="B327" s="243">
        <v>145</v>
      </c>
      <c r="C327" s="243" t="e">
        <f>C314+B314+#REF!+#REF!</f>
        <v>#REF!</v>
      </c>
      <c r="D327" s="243" t="e">
        <f>D314+C314+B314+#REF!</f>
        <v>#REF!</v>
      </c>
      <c r="E327" s="243">
        <f t="shared" ref="E327:S327" si="613">E314+D314+C314+B314</f>
        <v>0</v>
      </c>
      <c r="F327" s="243">
        <f t="shared" si="613"/>
        <v>175</v>
      </c>
      <c r="G327" s="243">
        <f t="shared" si="613"/>
        <v>351</v>
      </c>
      <c r="H327" s="243">
        <f t="shared" si="613"/>
        <v>569</v>
      </c>
      <c r="I327" s="243">
        <f t="shared" si="613"/>
        <v>749</v>
      </c>
      <c r="J327" s="243">
        <f t="shared" si="613"/>
        <v>760</v>
      </c>
      <c r="K327" s="243">
        <f t="shared" si="613"/>
        <v>785</v>
      </c>
      <c r="L327" s="243">
        <f t="shared" si="613"/>
        <v>759</v>
      </c>
      <c r="M327" s="243">
        <f t="shared" si="613"/>
        <v>780</v>
      </c>
      <c r="N327" s="243">
        <f t="shared" si="613"/>
        <v>912</v>
      </c>
      <c r="O327" s="243">
        <f t="shared" si="613"/>
        <v>996</v>
      </c>
      <c r="P327" s="243">
        <f t="shared" si="613"/>
        <v>1051</v>
      </c>
      <c r="Q327" s="243">
        <f t="shared" si="613"/>
        <v>1151</v>
      </c>
      <c r="R327" s="243">
        <f t="shared" si="613"/>
        <v>1148</v>
      </c>
      <c r="S327" s="243">
        <f t="shared" si="613"/>
        <v>1167</v>
      </c>
      <c r="T327" s="243">
        <f t="shared" ref="T327:Y327" si="614">T314+S314+R314+Q314</f>
        <v>1265</v>
      </c>
      <c r="U327" s="243">
        <f t="shared" si="614"/>
        <v>1265</v>
      </c>
      <c r="V327" s="243">
        <f t="shared" si="614"/>
        <v>1481</v>
      </c>
      <c r="W327" s="243">
        <f t="shared" si="614"/>
        <v>1490</v>
      </c>
      <c r="X327" s="243">
        <f t="shared" si="614"/>
        <v>1499</v>
      </c>
      <c r="Y327" s="243">
        <f t="shared" si="614"/>
        <v>1972</v>
      </c>
      <c r="Z327" s="243">
        <f t="shared" ref="Z327:AG327" si="615">Z314+Y314+X314+W314</f>
        <v>1755</v>
      </c>
      <c r="AA327" s="243">
        <f t="shared" si="615"/>
        <v>1958</v>
      </c>
      <c r="AB327" s="243">
        <f t="shared" si="615"/>
        <v>2105</v>
      </c>
      <c r="AC327" s="243">
        <f t="shared" si="615"/>
        <v>3457</v>
      </c>
      <c r="AD327" s="243">
        <f t="shared" si="615"/>
        <v>3650</v>
      </c>
      <c r="AE327" s="243">
        <f t="shared" si="615"/>
        <v>3648</v>
      </c>
      <c r="AF327" s="243">
        <f t="shared" si="615"/>
        <v>3740</v>
      </c>
      <c r="AG327" s="243">
        <f t="shared" si="615"/>
        <v>2262</v>
      </c>
      <c r="AH327" s="243"/>
      <c r="AI327" s="243"/>
      <c r="AJ327" s="243"/>
      <c r="AK327" s="4"/>
      <c r="AL327" s="4"/>
      <c r="AM327" s="17">
        <f>I327</f>
        <v>749</v>
      </c>
      <c r="AN327" s="243">
        <f>M327</f>
        <v>780</v>
      </c>
      <c r="AO327" s="243">
        <f>Q327</f>
        <v>1151</v>
      </c>
      <c r="AP327" s="325">
        <v>1265</v>
      </c>
      <c r="AQ327" s="325">
        <v>1973</v>
      </c>
      <c r="AR327" s="315">
        <f>AC327</f>
        <v>3457</v>
      </c>
      <c r="AS327" s="315">
        <f>AG327</f>
        <v>2262</v>
      </c>
      <c r="AT327" s="243"/>
      <c r="AU327" s="243"/>
      <c r="AV327" s="325"/>
      <c r="AW327" s="325"/>
      <c r="AX327" s="325"/>
    </row>
    <row r="328" spans="1:50">
      <c r="A328" s="247" t="s">
        <v>698</v>
      </c>
      <c r="B328" s="4"/>
      <c r="C328" s="4"/>
      <c r="D328" s="4"/>
      <c r="E328" s="4"/>
      <c r="F328" s="4"/>
      <c r="G328" s="4"/>
      <c r="H328" s="4"/>
      <c r="I328" s="277"/>
      <c r="J328" s="277"/>
      <c r="K328" s="277"/>
      <c r="L328" s="277"/>
      <c r="M328" s="277"/>
      <c r="N328" s="277"/>
      <c r="O328" s="277"/>
      <c r="P328" s="248">
        <f t="shared" ref="P328:AG328" si="616">(P327/O327-1)*100</f>
        <v>5.5220883534136567</v>
      </c>
      <c r="Q328" s="248">
        <f t="shared" si="616"/>
        <v>9.5147478591817389</v>
      </c>
      <c r="R328" s="248">
        <f t="shared" si="616"/>
        <v>-0.26064291920069316</v>
      </c>
      <c r="S328" s="248">
        <f t="shared" si="616"/>
        <v>1.6550522648083543</v>
      </c>
      <c r="T328" s="248">
        <f t="shared" si="616"/>
        <v>8.3976006855184249</v>
      </c>
      <c r="U328" s="248">
        <f t="shared" si="616"/>
        <v>0</v>
      </c>
      <c r="V328" s="248">
        <f t="shared" si="616"/>
        <v>17.075098814229239</v>
      </c>
      <c r="W328" s="248">
        <f t="shared" si="616"/>
        <v>0.6076975016880537</v>
      </c>
      <c r="X328" s="248">
        <f t="shared" si="616"/>
        <v>0.60402684563758413</v>
      </c>
      <c r="Y328" s="248">
        <f t="shared" si="616"/>
        <v>31.554369579719822</v>
      </c>
      <c r="Z328" s="248">
        <f t="shared" si="616"/>
        <v>-11.004056795131845</v>
      </c>
      <c r="AA328" s="248">
        <f t="shared" si="616"/>
        <v>11.566951566951577</v>
      </c>
      <c r="AB328" s="248">
        <f t="shared" si="616"/>
        <v>7.5076608784473864</v>
      </c>
      <c r="AC328" s="248">
        <f t="shared" si="616"/>
        <v>64.228028503562953</v>
      </c>
      <c r="AD328" s="248">
        <f t="shared" si="616"/>
        <v>5.5828753254266728</v>
      </c>
      <c r="AE328" s="248">
        <f t="shared" si="616"/>
        <v>-5.479452054794054E-2</v>
      </c>
      <c r="AF328" s="248">
        <f t="shared" si="616"/>
        <v>2.5219298245614086</v>
      </c>
      <c r="AG328" s="248">
        <f t="shared" si="616"/>
        <v>-39.518716577540104</v>
      </c>
      <c r="AH328" s="248"/>
      <c r="AI328" s="248"/>
      <c r="AJ328" s="248"/>
      <c r="AK328" s="4"/>
      <c r="AL328" s="4"/>
      <c r="AM328" s="4"/>
      <c r="AN328" s="313"/>
      <c r="AO328" s="313"/>
      <c r="AP328" s="313"/>
      <c r="AQ328" s="313"/>
      <c r="AR328" s="313"/>
      <c r="AS328" s="313"/>
      <c r="AT328" s="313"/>
      <c r="AU328" s="313"/>
      <c r="AV328" s="313"/>
      <c r="AW328" s="313"/>
      <c r="AX328" s="313"/>
    </row>
    <row r="329" spans="1:50">
      <c r="A329" s="247" t="s">
        <v>699</v>
      </c>
      <c r="B329" s="21"/>
      <c r="C329" s="21"/>
      <c r="D329" s="21"/>
      <c r="E329" s="21"/>
      <c r="F329" s="21"/>
      <c r="G329" s="21"/>
      <c r="H329" s="21"/>
      <c r="I329" s="21"/>
      <c r="J329" s="21"/>
      <c r="K329" s="21"/>
      <c r="L329" s="21"/>
      <c r="M329" s="21"/>
      <c r="N329" s="21"/>
      <c r="O329" s="21"/>
      <c r="P329" s="248">
        <f t="shared" ref="P329:AG329" si="617">(P327/L327-1)*100</f>
        <v>38.47167325428196</v>
      </c>
      <c r="Q329" s="248">
        <f t="shared" si="617"/>
        <v>47.564102564102569</v>
      </c>
      <c r="R329" s="248">
        <f t="shared" si="617"/>
        <v>25.877192982456144</v>
      </c>
      <c r="S329" s="248">
        <f t="shared" si="617"/>
        <v>17.168674698795172</v>
      </c>
      <c r="T329" s="248">
        <f t="shared" si="617"/>
        <v>20.361560418648917</v>
      </c>
      <c r="U329" s="248">
        <f t="shared" si="617"/>
        <v>9.9044309296264075</v>
      </c>
      <c r="V329" s="248">
        <f t="shared" si="617"/>
        <v>29.006968641114984</v>
      </c>
      <c r="W329" s="248">
        <f t="shared" si="617"/>
        <v>27.677806341045418</v>
      </c>
      <c r="X329" s="248">
        <f t="shared" si="617"/>
        <v>18.498023715415023</v>
      </c>
      <c r="Y329" s="248">
        <f t="shared" si="617"/>
        <v>55.889328063241116</v>
      </c>
      <c r="Z329" s="248">
        <f t="shared" si="617"/>
        <v>18.501012829169472</v>
      </c>
      <c r="AA329" s="248">
        <f t="shared" si="617"/>
        <v>31.409395973154353</v>
      </c>
      <c r="AB329" s="248">
        <f t="shared" si="617"/>
        <v>40.426951300867245</v>
      </c>
      <c r="AC329" s="248">
        <f t="shared" si="617"/>
        <v>75.304259634888453</v>
      </c>
      <c r="AD329" s="248">
        <f t="shared" si="617"/>
        <v>107.97720797720798</v>
      </c>
      <c r="AE329" s="248">
        <f t="shared" si="617"/>
        <v>86.312563840653738</v>
      </c>
      <c r="AF329" s="248">
        <f t="shared" si="617"/>
        <v>77.672209026128257</v>
      </c>
      <c r="AG329" s="248">
        <f t="shared" si="617"/>
        <v>-34.567544113393112</v>
      </c>
      <c r="AH329" s="248"/>
      <c r="AI329" s="248"/>
      <c r="AJ329" s="248"/>
      <c r="AK329" s="4"/>
      <c r="AL329" s="4"/>
      <c r="AM329" s="4"/>
      <c r="AN329" s="313"/>
      <c r="AO329" s="313"/>
      <c r="AP329" s="313"/>
      <c r="AQ329" s="313"/>
      <c r="AR329" s="313"/>
      <c r="AS329" s="313"/>
      <c r="AT329" s="313"/>
      <c r="AU329" s="313"/>
      <c r="AV329" s="313"/>
      <c r="AW329" s="313"/>
      <c r="AX329" s="313"/>
    </row>
    <row r="330" spans="1:50">
      <c r="A330" s="4"/>
      <c r="B330" s="21"/>
      <c r="C330" s="21"/>
      <c r="D330" s="21"/>
      <c r="E330" s="21"/>
      <c r="F330" s="21"/>
      <c r="G330" s="21"/>
      <c r="H330" s="21"/>
      <c r="I330" s="21"/>
      <c r="J330" s="21"/>
      <c r="K330" s="21"/>
      <c r="L330" s="21"/>
      <c r="M330" s="21"/>
      <c r="N330" s="21"/>
      <c r="O330" s="21"/>
      <c r="P330" s="248"/>
      <c r="Q330" s="248"/>
      <c r="R330" s="248"/>
      <c r="S330" s="248"/>
      <c r="T330" s="248"/>
      <c r="U330" s="248"/>
      <c r="V330" s="248"/>
      <c r="W330" s="248"/>
      <c r="X330" s="248"/>
      <c r="Y330" s="248"/>
      <c r="Z330" s="248"/>
      <c r="AA330" s="248"/>
      <c r="AB330" s="248"/>
      <c r="AC330" s="248"/>
      <c r="AD330" s="248"/>
      <c r="AE330" s="248"/>
      <c r="AF330" s="248"/>
      <c r="AG330" s="248"/>
      <c r="AH330" s="248"/>
      <c r="AI330" s="248"/>
      <c r="AJ330" s="248"/>
      <c r="AK330" s="4"/>
      <c r="AL330" s="4"/>
      <c r="AM330" s="4"/>
      <c r="AN330" s="313"/>
      <c r="AO330" s="313"/>
      <c r="AP330" s="313"/>
      <c r="AQ330" s="313"/>
      <c r="AR330" s="313"/>
      <c r="AS330" s="313"/>
      <c r="AT330" s="313"/>
      <c r="AU330" s="313"/>
      <c r="AV330" s="313"/>
      <c r="AW330" s="313"/>
      <c r="AX330" s="313"/>
    </row>
    <row r="331" spans="1:50">
      <c r="B331" s="21"/>
      <c r="C331" s="21"/>
      <c r="D331" s="21"/>
      <c r="E331" s="21"/>
      <c r="F331" s="21"/>
      <c r="G331" s="21"/>
      <c r="H331" s="21"/>
      <c r="I331" s="21"/>
      <c r="J331" s="21"/>
      <c r="K331" s="21"/>
      <c r="L331" s="21"/>
      <c r="M331" s="21"/>
      <c r="N331" s="21"/>
      <c r="O331" s="21"/>
      <c r="P331" s="248"/>
      <c r="Q331" s="248"/>
      <c r="R331" s="248"/>
      <c r="S331" s="248"/>
      <c r="T331" s="248"/>
      <c r="U331" s="248"/>
      <c r="V331" s="248"/>
      <c r="W331" s="248"/>
      <c r="X331" s="248"/>
      <c r="Y331" s="248"/>
      <c r="Z331" s="248"/>
      <c r="AA331" s="248"/>
      <c r="AB331" s="248"/>
      <c r="AC331" s="248"/>
      <c r="AD331" s="248"/>
      <c r="AE331" s="248"/>
      <c r="AF331" s="248"/>
      <c r="AG331" s="248"/>
      <c r="AH331" s="248"/>
      <c r="AI331" s="248"/>
      <c r="AJ331" s="248"/>
      <c r="AK331" s="4"/>
      <c r="AL331" s="4"/>
      <c r="AM331" s="4"/>
      <c r="AN331" s="313"/>
      <c r="AO331" s="313"/>
      <c r="AP331" s="313"/>
      <c r="AQ331" s="313"/>
      <c r="AR331" s="313"/>
      <c r="AS331" s="313"/>
      <c r="AT331" s="313"/>
      <c r="AU331" s="313"/>
      <c r="AV331" s="313"/>
      <c r="AW331" s="313"/>
      <c r="AX331" s="313"/>
    </row>
    <row r="332" spans="1:50">
      <c r="A332" s="4" t="s">
        <v>706</v>
      </c>
      <c r="B332" s="21"/>
      <c r="C332" s="21"/>
      <c r="D332" s="21"/>
      <c r="E332" s="21"/>
      <c r="F332" s="21"/>
      <c r="G332" s="21"/>
      <c r="H332" s="21"/>
      <c r="I332" s="21"/>
      <c r="J332" s="21"/>
      <c r="K332" s="21"/>
      <c r="L332" s="21"/>
      <c r="M332" s="21"/>
      <c r="N332" s="21"/>
      <c r="O332" s="21"/>
      <c r="P332" s="248"/>
      <c r="Q332" s="607"/>
      <c r="R332" s="607"/>
      <c r="S332" s="607"/>
      <c r="T332" s="607"/>
      <c r="U332" s="607">
        <v>2</v>
      </c>
      <c r="V332" s="607"/>
      <c r="W332" s="607"/>
      <c r="X332" s="248"/>
      <c r="Y332" s="248"/>
      <c r="Z332" s="248"/>
      <c r="AA332" s="248"/>
      <c r="AB332" s="248"/>
      <c r="AC332" s="248"/>
      <c r="AD332" s="248"/>
      <c r="AE332" s="248"/>
      <c r="AF332" s="248"/>
      <c r="AG332" s="248"/>
      <c r="AH332" s="248"/>
      <c r="AI332" s="248"/>
      <c r="AJ332" s="248"/>
      <c r="AK332" s="4"/>
      <c r="AL332" s="4"/>
      <c r="AM332" s="4"/>
      <c r="AN332" s="313"/>
      <c r="AO332" s="313"/>
      <c r="AP332" s="313"/>
      <c r="AQ332" s="325">
        <v>11</v>
      </c>
      <c r="AR332" s="325">
        <v>14</v>
      </c>
      <c r="AS332" s="325"/>
      <c r="AT332" s="313"/>
      <c r="AU332" s="313"/>
      <c r="AV332" s="313"/>
      <c r="AW332" s="325"/>
      <c r="AX332" s="325"/>
    </row>
    <row r="333" spans="1:50">
      <c r="A333" s="247" t="s">
        <v>707</v>
      </c>
      <c r="B333" s="21"/>
      <c r="C333" s="21"/>
      <c r="D333" s="21"/>
      <c r="E333" s="21"/>
      <c r="F333" s="21"/>
      <c r="G333" s="21"/>
      <c r="H333" s="21"/>
      <c r="I333" s="21"/>
      <c r="J333" s="21"/>
      <c r="K333" s="21"/>
      <c r="L333" s="21"/>
      <c r="M333" s="21"/>
      <c r="N333" s="345">
        <v>1</v>
      </c>
      <c r="O333" s="345">
        <v>1</v>
      </c>
      <c r="P333" s="495">
        <v>1</v>
      </c>
      <c r="Q333" s="535">
        <v>1</v>
      </c>
      <c r="R333" s="535">
        <v>1</v>
      </c>
      <c r="S333" s="535"/>
      <c r="T333" s="535">
        <v>1</v>
      </c>
      <c r="U333" s="535"/>
      <c r="V333" s="535"/>
      <c r="W333" s="535"/>
      <c r="X333" s="535"/>
      <c r="Y333" s="535"/>
      <c r="Z333" s="535"/>
      <c r="AA333" s="535"/>
      <c r="AB333" s="535"/>
      <c r="AC333" s="535"/>
      <c r="AD333" s="535"/>
      <c r="AE333" s="535"/>
      <c r="AF333" s="535"/>
      <c r="AG333" s="535"/>
      <c r="AH333" s="535"/>
      <c r="AI333" s="535"/>
      <c r="AJ333" s="535"/>
      <c r="AK333" s="4"/>
      <c r="AL333" s="4"/>
      <c r="AM333" s="4"/>
      <c r="AN333" s="313"/>
      <c r="AO333" s="313"/>
      <c r="AP333" s="313"/>
      <c r="AQ333" s="313"/>
      <c r="AR333" s="313"/>
      <c r="AS333" s="313"/>
      <c r="AT333" s="313"/>
      <c r="AU333" s="313"/>
      <c r="AV333" s="313"/>
      <c r="AW333" s="313"/>
      <c r="AX333" s="313"/>
    </row>
    <row r="334" spans="1:50">
      <c r="A334" s="247" t="s">
        <v>708</v>
      </c>
      <c r="B334" s="21"/>
      <c r="C334" s="21"/>
      <c r="D334" s="21"/>
      <c r="E334" s="21"/>
      <c r="F334" s="21"/>
      <c r="G334" s="21"/>
      <c r="H334" s="21"/>
      <c r="I334" s="21"/>
      <c r="J334" s="21"/>
      <c r="K334" s="21"/>
      <c r="L334" s="21"/>
      <c r="M334" s="21"/>
      <c r="N334" s="345"/>
      <c r="O334" s="345"/>
      <c r="P334" s="495"/>
      <c r="Q334" s="535"/>
      <c r="R334" s="535"/>
      <c r="S334" s="535">
        <v>2</v>
      </c>
      <c r="T334" s="535">
        <v>3</v>
      </c>
      <c r="U334" s="535"/>
      <c r="V334" s="535"/>
      <c r="W334" s="535"/>
      <c r="X334" s="535"/>
      <c r="Y334" s="535"/>
      <c r="Z334" s="535"/>
      <c r="AA334" s="535"/>
      <c r="AB334" s="535"/>
      <c r="AC334" s="535"/>
      <c r="AD334" s="535"/>
      <c r="AE334" s="535"/>
      <c r="AF334" s="535"/>
      <c r="AG334" s="535"/>
      <c r="AH334" s="535"/>
      <c r="AI334" s="535"/>
      <c r="AJ334" s="535"/>
      <c r="AK334" s="4"/>
      <c r="AL334" s="4"/>
      <c r="AM334" s="4"/>
      <c r="AN334" s="313"/>
      <c r="AO334" s="313"/>
      <c r="AP334" s="313"/>
      <c r="AQ334" s="313"/>
      <c r="AR334" s="313"/>
      <c r="AS334" s="313"/>
      <c r="AT334" s="313"/>
      <c r="AU334" s="313"/>
      <c r="AV334" s="313"/>
      <c r="AW334" s="313"/>
      <c r="AX334" s="313"/>
    </row>
    <row r="335" spans="1:50">
      <c r="A335" s="4"/>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4"/>
      <c r="AL335" s="4"/>
      <c r="AM335" s="4"/>
      <c r="AN335" s="313"/>
      <c r="AO335" s="313"/>
      <c r="AP335" s="313"/>
      <c r="AQ335" s="313"/>
      <c r="AR335" s="313"/>
      <c r="AS335" s="313"/>
      <c r="AT335" s="313"/>
      <c r="AU335" s="313"/>
      <c r="AV335" s="313"/>
      <c r="AW335" s="313"/>
      <c r="AX335" s="313"/>
    </row>
    <row r="336" spans="1:50">
      <c r="A336" s="4" t="s">
        <v>709</v>
      </c>
      <c r="B336" s="21"/>
      <c r="C336" s="21"/>
      <c r="D336" s="21"/>
      <c r="E336" s="21"/>
      <c r="F336" s="21"/>
      <c r="G336" s="21"/>
      <c r="H336" s="21"/>
      <c r="I336" s="21"/>
      <c r="J336" s="21"/>
      <c r="K336" s="21"/>
      <c r="L336" s="21"/>
      <c r="M336" s="21"/>
      <c r="N336" s="21"/>
      <c r="O336" s="21"/>
      <c r="P336" s="21">
        <v>105</v>
      </c>
      <c r="Q336" s="21"/>
      <c r="R336" s="21" t="s">
        <v>710</v>
      </c>
      <c r="S336" s="21"/>
      <c r="T336" s="21" t="s">
        <v>711</v>
      </c>
      <c r="U336" s="21">
        <v>1</v>
      </c>
      <c r="V336" s="21"/>
      <c r="W336" s="21">
        <v>1</v>
      </c>
      <c r="X336" s="21"/>
      <c r="Y336" s="21"/>
      <c r="Z336" s="21"/>
      <c r="AA336" s="21"/>
      <c r="AB336" s="21">
        <v>1</v>
      </c>
      <c r="AC336" s="21"/>
      <c r="AD336" s="21"/>
      <c r="AE336" s="21"/>
      <c r="AF336" s="21"/>
      <c r="AG336" s="21"/>
      <c r="AH336" s="21"/>
      <c r="AI336" s="21"/>
      <c r="AJ336" s="21"/>
      <c r="AK336" s="4"/>
      <c r="AL336" s="4"/>
      <c r="AM336" s="4"/>
      <c r="AN336" s="313"/>
      <c r="AO336" s="313"/>
      <c r="AP336" s="313"/>
      <c r="AQ336" s="313"/>
      <c r="AR336" s="313"/>
      <c r="AS336" s="313"/>
      <c r="AT336" s="313"/>
      <c r="AU336" s="313"/>
      <c r="AV336" s="313"/>
      <c r="AW336" s="313"/>
      <c r="AX336" s="313"/>
    </row>
    <row r="337" spans="1:50">
      <c r="A337" s="4" t="s">
        <v>360</v>
      </c>
      <c r="B337" s="21"/>
      <c r="C337" s="21"/>
      <c r="D337" s="21"/>
      <c r="E337" s="21"/>
      <c r="F337" s="21"/>
      <c r="G337" s="21"/>
      <c r="H337" s="21"/>
      <c r="I337" s="21"/>
      <c r="J337" s="21"/>
      <c r="K337" s="21"/>
      <c r="L337" s="21"/>
      <c r="M337" s="21"/>
      <c r="N337" s="21"/>
      <c r="O337" s="21"/>
      <c r="P337" s="21">
        <v>20</v>
      </c>
      <c r="Q337" s="21"/>
      <c r="R337" s="21"/>
      <c r="S337" s="21"/>
      <c r="T337" s="21" t="s">
        <v>712</v>
      </c>
      <c r="U337" s="21"/>
      <c r="V337" s="21"/>
      <c r="W337" s="21"/>
      <c r="X337" s="21"/>
      <c r="Y337" s="21"/>
      <c r="Z337" s="21"/>
      <c r="AA337" s="21"/>
      <c r="AB337" s="21">
        <v>1</v>
      </c>
      <c r="AC337" s="21"/>
      <c r="AD337" s="21"/>
      <c r="AE337" s="21"/>
      <c r="AF337" s="21"/>
      <c r="AG337" s="21"/>
      <c r="AH337" s="21"/>
      <c r="AI337" s="21"/>
      <c r="AJ337" s="21"/>
      <c r="AK337" s="4"/>
      <c r="AL337" s="4"/>
      <c r="AM337" s="4"/>
      <c r="AN337" s="313"/>
      <c r="AO337" s="313"/>
      <c r="AP337" s="313"/>
      <c r="AQ337" s="313"/>
      <c r="AR337" s="313"/>
      <c r="AS337" s="313"/>
      <c r="AT337" s="313"/>
      <c r="AU337" s="313"/>
      <c r="AV337" s="313"/>
      <c r="AW337" s="313"/>
      <c r="AX337" s="313"/>
    </row>
    <row r="338" spans="1:50">
      <c r="A338" s="4" t="s">
        <v>359</v>
      </c>
      <c r="B338" s="21"/>
      <c r="C338" s="21"/>
      <c r="D338" s="21"/>
      <c r="E338" s="21"/>
      <c r="F338" s="21"/>
      <c r="G338" s="21"/>
      <c r="H338" s="21"/>
      <c r="I338" s="21"/>
      <c r="J338" s="21"/>
      <c r="K338" s="21"/>
      <c r="L338" s="21"/>
      <c r="M338" s="21"/>
      <c r="N338" s="21"/>
      <c r="O338" s="21"/>
      <c r="P338" s="21"/>
      <c r="Q338" s="21"/>
      <c r="R338" s="21" t="s">
        <v>710</v>
      </c>
      <c r="S338" s="21"/>
      <c r="T338" s="21"/>
      <c r="U338" s="21">
        <v>1</v>
      </c>
      <c r="V338" s="21"/>
      <c r="W338" s="21">
        <v>2</v>
      </c>
      <c r="X338" s="21"/>
      <c r="Y338" s="21"/>
      <c r="Z338" s="21"/>
      <c r="AA338" s="21"/>
      <c r="AB338" s="21">
        <v>1</v>
      </c>
      <c r="AC338" s="21"/>
      <c r="AD338" s="21"/>
      <c r="AE338" s="21"/>
      <c r="AF338" s="21"/>
      <c r="AG338" s="21"/>
      <c r="AH338" s="21"/>
      <c r="AI338" s="21"/>
      <c r="AJ338" s="21"/>
      <c r="AK338" s="4"/>
      <c r="AL338" s="4"/>
      <c r="AM338" s="4"/>
      <c r="AN338" s="313"/>
      <c r="AO338" s="313"/>
      <c r="AP338" s="313"/>
      <c r="AQ338" s="313"/>
      <c r="AR338" s="313"/>
      <c r="AS338" s="313"/>
      <c r="AT338" s="313"/>
      <c r="AU338" s="313"/>
      <c r="AV338" s="313"/>
      <c r="AW338" s="313"/>
      <c r="AX338" s="313"/>
    </row>
    <row r="339" spans="1:50">
      <c r="A339" s="4" t="s">
        <v>713</v>
      </c>
      <c r="B339" s="21"/>
      <c r="C339" s="21"/>
      <c r="D339" s="21"/>
      <c r="E339" s="21"/>
      <c r="F339" s="21"/>
      <c r="G339" s="21"/>
      <c r="H339" s="21"/>
      <c r="I339" s="21"/>
      <c r="J339" s="21"/>
      <c r="K339" s="21"/>
      <c r="L339" s="21"/>
      <c r="M339" s="21"/>
      <c r="N339" s="21"/>
      <c r="O339" s="21"/>
      <c r="P339" s="21"/>
      <c r="Q339" s="21"/>
      <c r="R339" s="21"/>
      <c r="S339" s="21"/>
      <c r="T339" s="21" t="s">
        <v>714</v>
      </c>
      <c r="U339" s="21"/>
      <c r="V339" s="21"/>
      <c r="W339" s="21"/>
      <c r="X339" s="21"/>
      <c r="Y339" s="21"/>
      <c r="Z339" s="21"/>
      <c r="AA339" s="21"/>
      <c r="AB339" s="21"/>
      <c r="AC339" s="21"/>
      <c r="AD339" s="21"/>
      <c r="AE339" s="21"/>
      <c r="AF339" s="21"/>
      <c r="AG339" s="21"/>
      <c r="AH339" s="21"/>
      <c r="AI339" s="21"/>
      <c r="AJ339" s="21"/>
      <c r="AK339" s="4"/>
      <c r="AL339" s="4"/>
      <c r="AM339" s="4"/>
      <c r="AN339" s="313"/>
      <c r="AO339" s="313"/>
      <c r="AP339" s="313"/>
      <c r="AQ339" s="313"/>
      <c r="AR339" s="313"/>
      <c r="AS339" s="313"/>
      <c r="AT339" s="313"/>
      <c r="AU339" s="313"/>
      <c r="AV339" s="313"/>
      <c r="AW339" s="313"/>
      <c r="AX339" s="313"/>
    </row>
    <row r="340" spans="1:50">
      <c r="A340" s="4" t="s">
        <v>715</v>
      </c>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v>1</v>
      </c>
      <c r="AC340" s="21"/>
      <c r="AD340" s="21"/>
      <c r="AE340" s="21"/>
      <c r="AF340" s="21"/>
      <c r="AG340" s="21"/>
      <c r="AH340" s="21"/>
      <c r="AI340" s="21"/>
      <c r="AJ340" s="21"/>
      <c r="AK340" s="4"/>
      <c r="AL340" s="4"/>
      <c r="AM340" s="4"/>
      <c r="AN340" s="313"/>
      <c r="AO340" s="313"/>
      <c r="AP340" s="313"/>
      <c r="AQ340" s="313"/>
      <c r="AR340" s="313"/>
      <c r="AS340" s="313"/>
      <c r="AT340" s="313"/>
      <c r="AU340" s="313"/>
      <c r="AV340" s="313"/>
      <c r="AW340" s="313"/>
      <c r="AX340" s="313"/>
    </row>
    <row r="341" spans="1:50">
      <c r="A341" s="4" t="s">
        <v>716</v>
      </c>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v>1</v>
      </c>
      <c r="AB341" s="21"/>
      <c r="AC341" s="21"/>
      <c r="AD341" s="21"/>
      <c r="AE341" s="21"/>
      <c r="AF341" s="21"/>
      <c r="AG341" s="21"/>
      <c r="AH341" s="21"/>
      <c r="AI341" s="21"/>
      <c r="AJ341" s="21"/>
      <c r="AK341" s="4"/>
      <c r="AL341" s="4"/>
      <c r="AM341" s="4"/>
      <c r="AN341" s="313"/>
      <c r="AO341" s="313"/>
      <c r="AP341" s="313"/>
      <c r="AQ341" s="313"/>
      <c r="AR341" s="313"/>
      <c r="AS341" s="313"/>
      <c r="AT341" s="313"/>
      <c r="AU341" s="313"/>
      <c r="AV341" s="313"/>
      <c r="AW341" s="313"/>
      <c r="AX341" s="313"/>
    </row>
    <row r="342" spans="1:50">
      <c r="A342" s="4" t="s">
        <v>717</v>
      </c>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v>1</v>
      </c>
      <c r="AB342" s="21"/>
      <c r="AC342" s="21"/>
      <c r="AD342" s="21"/>
      <c r="AE342" s="21"/>
      <c r="AF342" s="21"/>
      <c r="AG342" s="21"/>
      <c r="AH342" s="21"/>
      <c r="AI342" s="21"/>
      <c r="AJ342" s="21"/>
      <c r="AK342" s="4"/>
      <c r="AL342" s="4"/>
      <c r="AM342" s="4"/>
      <c r="AN342" s="313"/>
      <c r="AO342" s="313"/>
      <c r="AP342" s="313"/>
      <c r="AQ342" s="313"/>
      <c r="AR342" s="313"/>
      <c r="AS342" s="313"/>
      <c r="AT342" s="313"/>
      <c r="AU342" s="313"/>
      <c r="AV342" s="313"/>
      <c r="AW342" s="313"/>
      <c r="AX342" s="313"/>
    </row>
    <row r="343" spans="1:50">
      <c r="A343" s="4" t="s">
        <v>353</v>
      </c>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v>1</v>
      </c>
      <c r="AB343" s="4"/>
      <c r="AC343" s="4"/>
      <c r="AD343" s="4"/>
      <c r="AE343" s="4"/>
      <c r="AF343" s="4"/>
      <c r="AG343" s="4"/>
      <c r="AH343" s="4"/>
      <c r="AI343" s="4"/>
      <c r="AJ343" s="4"/>
      <c r="AK343" s="4"/>
      <c r="AL343" s="4"/>
      <c r="AM343" s="4"/>
      <c r="AN343" s="4"/>
      <c r="AO343" s="4"/>
      <c r="AP343" s="4"/>
      <c r="AQ343" s="4"/>
      <c r="AR343" s="4"/>
      <c r="AS343" s="4"/>
      <c r="AT343" s="4"/>
      <c r="AU343" s="4"/>
      <c r="AV343" s="4"/>
      <c r="AW343" s="4"/>
      <c r="AX343" s="4"/>
    </row>
    <row r="344" spans="1:50">
      <c r="A344" s="251" t="s">
        <v>433</v>
      </c>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2"/>
      <c r="AH344" s="252"/>
      <c r="AI344" s="252"/>
      <c r="AJ344" s="252"/>
      <c r="AK344" s="7"/>
      <c r="AL344" s="4"/>
      <c r="AM344" s="4"/>
      <c r="AN344" s="4"/>
      <c r="AO344" s="4"/>
      <c r="AP344" s="4"/>
      <c r="AQ344" s="4"/>
      <c r="AR344" s="4"/>
      <c r="AS344" s="4"/>
      <c r="AT344" s="4"/>
      <c r="AU344" s="4"/>
      <c r="AV344" s="4"/>
      <c r="AW344" s="4"/>
      <c r="AX344" s="4"/>
    </row>
    <row r="345" spans="1:50">
      <c r="A345" s="4" t="s">
        <v>718</v>
      </c>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L345" s="20"/>
      <c r="AM345" s="20"/>
      <c r="AN345" s="20"/>
      <c r="AO345" s="20"/>
      <c r="AP345" s="20"/>
      <c r="AQ345" s="20"/>
      <c r="AR345" s="20"/>
      <c r="AS345" s="20"/>
      <c r="AT345" s="20"/>
      <c r="AU345" s="20"/>
      <c r="AV345" s="20"/>
      <c r="AW345" s="20"/>
      <c r="AX345" s="20"/>
    </row>
    <row r="346" spans="1:50">
      <c r="A346" s="4" t="s">
        <v>719</v>
      </c>
      <c r="B346" s="4"/>
      <c r="C346" s="4"/>
      <c r="D346" s="4"/>
      <c r="E346" s="4"/>
      <c r="F346" s="4"/>
      <c r="G346" s="4"/>
      <c r="H346" s="4"/>
      <c r="I346" s="4"/>
      <c r="J346" s="4"/>
      <c r="K346" s="4"/>
      <c r="L346" s="4"/>
      <c r="M346" s="4"/>
      <c r="N346" s="4"/>
      <c r="O346" s="4"/>
      <c r="P346" s="4"/>
      <c r="Q346" s="4">
        <v>62.2</v>
      </c>
      <c r="R346" s="4">
        <v>42</v>
      </c>
      <c r="S346" s="4">
        <v>50.3</v>
      </c>
      <c r="T346" s="4"/>
      <c r="U346" s="4"/>
      <c r="V346" s="4"/>
      <c r="W346" s="4"/>
      <c r="X346" s="4"/>
      <c r="Y346" s="4"/>
      <c r="Z346" s="4"/>
      <c r="AA346" s="4"/>
      <c r="AB346" s="4"/>
      <c r="AC346" s="4"/>
      <c r="AD346" s="4"/>
      <c r="AE346" s="4"/>
      <c r="AF346" s="4"/>
      <c r="AG346" s="4"/>
      <c r="AH346" s="4"/>
      <c r="AI346" s="4"/>
      <c r="AJ346" s="4"/>
      <c r="AK346" s="7"/>
      <c r="AL346" s="4"/>
      <c r="AM346" s="4"/>
      <c r="AN346" s="4"/>
      <c r="AO346" s="4"/>
      <c r="AP346" s="4"/>
      <c r="AQ346" s="4"/>
      <c r="AR346" s="4"/>
      <c r="AS346" s="4"/>
      <c r="AT346" s="4"/>
      <c r="AU346" s="4"/>
      <c r="AV346" s="4"/>
      <c r="AW346" s="4"/>
      <c r="AX346" s="4"/>
    </row>
    <row r="347" spans="1:50">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7"/>
      <c r="AL347" s="4"/>
      <c r="AM347" s="4"/>
      <c r="AN347" s="4"/>
      <c r="AO347" s="4"/>
      <c r="AP347" s="4"/>
      <c r="AQ347" s="4"/>
      <c r="AR347" s="4"/>
      <c r="AS347" s="4"/>
      <c r="AT347" s="4"/>
      <c r="AU347" s="4"/>
      <c r="AV347" s="4"/>
      <c r="AW347" s="4"/>
      <c r="AX347" s="4"/>
    </row>
    <row r="348" spans="1:50">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7"/>
      <c r="AL348" s="4"/>
      <c r="AM348" s="4"/>
      <c r="AN348" s="4"/>
      <c r="AO348" s="4"/>
      <c r="AP348" s="4"/>
      <c r="AQ348" s="4"/>
      <c r="AR348" s="4"/>
      <c r="AS348" s="4"/>
      <c r="AT348" s="4"/>
      <c r="AU348" s="4"/>
      <c r="AV348" s="4"/>
      <c r="AW348" s="4"/>
      <c r="AX348" s="4"/>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97"/>
  <sheetViews>
    <sheetView showGridLines="0" zoomScale="91" workbookViewId="0">
      <pane xSplit="1" ySplit="2" topLeftCell="B26" activePane="bottomRight" state="frozen"/>
      <selection pane="bottomRight" activeCell="C30" sqref="C30"/>
      <selection pane="bottomLeft" activeCell="A3" sqref="A3"/>
      <selection pane="topRight" activeCell="B1" sqref="B1"/>
    </sheetView>
  </sheetViews>
  <sheetFormatPr defaultRowHeight="14.45"/>
  <cols>
    <col min="1" max="1" width="28.5703125" style="189" customWidth="1"/>
    <col min="2" max="2" width="9.140625" style="189"/>
    <col min="3" max="3" width="9.85546875" style="189" customWidth="1"/>
    <col min="4" max="11" width="9.140625" style="189"/>
    <col min="12" max="12" width="8.7109375" style="189"/>
  </cols>
  <sheetData>
    <row r="1" spans="1:12">
      <c r="A1" s="186"/>
      <c r="B1" s="187" t="s">
        <v>101</v>
      </c>
      <c r="C1" s="187" t="s">
        <v>101</v>
      </c>
      <c r="D1" s="187" t="s">
        <v>101</v>
      </c>
      <c r="E1" s="187" t="s">
        <v>101</v>
      </c>
      <c r="F1" s="187" t="s">
        <v>101</v>
      </c>
      <c r="G1" s="187" t="s">
        <v>101</v>
      </c>
      <c r="H1" s="187" t="s">
        <v>101</v>
      </c>
      <c r="I1" s="187" t="s">
        <v>101</v>
      </c>
      <c r="J1" s="458" t="s">
        <v>100</v>
      </c>
      <c r="K1" s="458" t="s">
        <v>100</v>
      </c>
      <c r="L1" s="458" t="s">
        <v>100</v>
      </c>
    </row>
    <row r="2" spans="1:12">
      <c r="A2" s="188" t="s">
        <v>720</v>
      </c>
      <c r="B2" s="187" t="s">
        <v>16</v>
      </c>
      <c r="C2" s="187" t="s">
        <v>17</v>
      </c>
      <c r="D2" s="187" t="s">
        <v>18</v>
      </c>
      <c r="E2" s="187" t="s">
        <v>19</v>
      </c>
      <c r="F2" s="187" t="s">
        <v>20</v>
      </c>
      <c r="G2" s="187" t="s">
        <v>21</v>
      </c>
      <c r="H2" s="187" t="s">
        <v>22</v>
      </c>
      <c r="I2" s="458" t="s">
        <v>35</v>
      </c>
      <c r="J2" s="458" t="s">
        <v>155</v>
      </c>
      <c r="K2" s="458" t="s">
        <v>156</v>
      </c>
      <c r="L2" s="458" t="s">
        <v>157</v>
      </c>
    </row>
    <row r="4" spans="1:12">
      <c r="A4" s="190" t="s">
        <v>368</v>
      </c>
      <c r="B4" s="190"/>
      <c r="C4" s="190"/>
      <c r="D4" s="190"/>
      <c r="E4" s="190"/>
      <c r="F4" s="190"/>
      <c r="G4" s="190"/>
      <c r="H4" s="190"/>
      <c r="I4" s="190"/>
      <c r="J4" s="190"/>
      <c r="K4" s="190"/>
      <c r="L4" s="190"/>
    </row>
    <row r="5" spans="1:12">
      <c r="A5" s="189" t="s">
        <v>721</v>
      </c>
      <c r="B5" s="191">
        <v>15.824175824175835</v>
      </c>
      <c r="C5" s="191">
        <f>'P&amp;L consol'!BG6*100</f>
        <v>12.366188106405085</v>
      </c>
      <c r="D5" s="191">
        <f>'P&amp;L consol'!BH6*100</f>
        <v>6</v>
      </c>
      <c r="E5" s="191">
        <f>'P&amp;L consol'!BI6*100</f>
        <v>38.043651425840366</v>
      </c>
      <c r="F5" s="191">
        <f>'P&amp;L consol'!BJ6*100</f>
        <v>15.603000577034031</v>
      </c>
      <c r="G5" s="191">
        <f>'P&amp;L consol'!BK6*100</f>
        <v>9.7434361585305052</v>
      </c>
      <c r="H5" s="191">
        <f>'P&amp;L consol'!BL6*100</f>
        <v>31.720185572637138</v>
      </c>
      <c r="I5" s="191">
        <f>'P&amp;L consol'!BM6*100</f>
        <v>70.580110497237555</v>
      </c>
      <c r="J5" s="191">
        <f>'P&amp;L consol'!BN6*100</f>
        <v>7.3458440142566195</v>
      </c>
      <c r="K5" s="191">
        <f>'P&amp;L consol'!BO6*100</f>
        <v>18.49702139664171</v>
      </c>
      <c r="L5" s="191">
        <f>'P&amp;L consol'!BP6*100</f>
        <v>16.226888605733226</v>
      </c>
    </row>
    <row r="6" spans="1:12">
      <c r="A6" s="189" t="s">
        <v>722</v>
      </c>
      <c r="B6" s="191">
        <v>22.892291234873309</v>
      </c>
      <c r="C6" s="191">
        <f>'P&amp;L consol'!BG13*100</f>
        <v>13.810456449594689</v>
      </c>
      <c r="D6" s="191">
        <f>'P&amp;L consol'!BH13*100</f>
        <v>11.446258275771415</v>
      </c>
      <c r="E6" s="191">
        <f>'P&amp;L consol'!BI13*100</f>
        <v>37.94286694689886</v>
      </c>
      <c r="F6" s="191">
        <f>'P&amp;L consol'!BJ13*100</f>
        <v>24.605099502487569</v>
      </c>
      <c r="G6" s="191">
        <f>'P&amp;L consol'!BK13*100</f>
        <v>12.406108851346298</v>
      </c>
      <c r="H6" s="191">
        <f>'P&amp;L consol'!BL13*100</f>
        <v>34.015251584544174</v>
      </c>
      <c r="I6" s="191">
        <f>'P&amp;L consol'!BM13*100</f>
        <v>35.859292819693046</v>
      </c>
      <c r="J6" s="191">
        <f>'P&amp;L consol'!BN13*100</f>
        <v>51.139665700601114</v>
      </c>
      <c r="K6" s="191">
        <f>'P&amp;L consol'!BO13*100</f>
        <v>21.031717041489671</v>
      </c>
      <c r="L6" s="191">
        <f>'P&amp;L consol'!BP13*100</f>
        <v>18.052441829907018</v>
      </c>
    </row>
    <row r="7" spans="1:12">
      <c r="A7" s="189" t="s">
        <v>72</v>
      </c>
      <c r="B7" s="191">
        <v>28.731045490822037</v>
      </c>
      <c r="C7" s="191">
        <f>'P&amp;L consol'!BG32*100</f>
        <v>11.546807191568508</v>
      </c>
      <c r="D7" s="191">
        <f>'P&amp;L consol'!BH32*100</f>
        <v>9.2677504515770401</v>
      </c>
      <c r="E7" s="191">
        <f>'P&amp;L consol'!BI32*100</f>
        <v>41.836215666327561</v>
      </c>
      <c r="F7" s="191">
        <f>'P&amp;L consol'!BJ32*100</f>
        <v>25.990675990675992</v>
      </c>
      <c r="G7" s="191">
        <f>'P&amp;L consol'!BK32*100</f>
        <v>7.9342489148224615</v>
      </c>
      <c r="H7" s="191">
        <f>'P&amp;L consol'!BL32*100</f>
        <v>13.515295358649793</v>
      </c>
      <c r="I7" s="191">
        <f>'P&amp;L consol'!BM32*100</f>
        <v>76.931118596817299</v>
      </c>
      <c r="J7" s="191">
        <f>'P&amp;L consol'!BN32*100</f>
        <v>67.594622710215518</v>
      </c>
      <c r="K7" s="191">
        <f>'P&amp;L consol'!BO32*100</f>
        <v>19.299635915634838</v>
      </c>
      <c r="L7" s="191">
        <f>'P&amp;L consol'!BP32*100</f>
        <v>14.148900945055033</v>
      </c>
    </row>
    <row r="8" spans="1:12">
      <c r="A8" s="189" t="s">
        <v>73</v>
      </c>
      <c r="B8" s="191">
        <v>39.218833600856073</v>
      </c>
      <c r="C8" s="191">
        <f>'P&amp;L consol'!BG41*100</f>
        <v>5.0538047655649398</v>
      </c>
      <c r="D8" s="191">
        <f>'P&amp;L consol'!BH41*100</f>
        <v>10.261569416498983</v>
      </c>
      <c r="E8" s="191">
        <f>'P&amp;L consol'!BI41*100</f>
        <v>47.3457199734572</v>
      </c>
      <c r="F8" s="191">
        <f>'P&amp;L consol'!BJ41*100</f>
        <v>29.115064174735416</v>
      </c>
      <c r="G8" s="191">
        <f>'P&amp;L consol'!BK41*100</f>
        <v>6.348099058249046</v>
      </c>
      <c r="H8" s="191">
        <f>'P&amp;L consol'!BL41*100</f>
        <v>6.1167595933092844</v>
      </c>
      <c r="I8" s="191">
        <f>'P&amp;L consol'!BM41*100</f>
        <v>82.699737289445224</v>
      </c>
      <c r="J8" s="191">
        <f>'P&amp;L consol'!BN41*100</f>
        <v>61.525846477252074</v>
      </c>
      <c r="K8" s="191">
        <f>'P&amp;L consol'!BO41*100</f>
        <v>21.605416342424032</v>
      </c>
      <c r="L8" s="191">
        <f>'P&amp;L consol'!BP41*100</f>
        <v>15.140810332388277</v>
      </c>
    </row>
    <row r="9" spans="1:12">
      <c r="A9" s="189" t="s">
        <v>723</v>
      </c>
      <c r="B9" s="191">
        <v>44.019992859692955</v>
      </c>
      <c r="C9" s="191">
        <f>'P&amp;L consol'!BG62*100</f>
        <v>10.064452156668313</v>
      </c>
      <c r="D9" s="191">
        <f>'P&amp;L consol'!BH62*100</f>
        <v>2.5900900900900803</v>
      </c>
      <c r="E9" s="191">
        <f>'P&amp;L consol'!BI62*100</f>
        <v>45.268935236004396</v>
      </c>
      <c r="F9" s="191">
        <f>'P&amp;L consol'!BJ62*100</f>
        <v>4.851141000453385</v>
      </c>
      <c r="G9" s="191">
        <f>'P&amp;L consol'!BK62*100</f>
        <v>18.352551167483423</v>
      </c>
      <c r="H9" s="191">
        <f>'P&amp;L consol'!BL62*100</f>
        <v>2.2371609854712426</v>
      </c>
      <c r="I9" s="191">
        <f>'P&amp;L consol'!BM62*100</f>
        <v>76.938653960690885</v>
      </c>
      <c r="J9" s="191">
        <f>'P&amp;L consol'!BN62*100</f>
        <v>68.180564758964096</v>
      </c>
      <c r="K9" s="191">
        <f>'P&amp;L consol'!BO62*100</f>
        <v>24.339918078661249</v>
      </c>
      <c r="L9" s="191">
        <f>'P&amp;L consol'!BP62*100</f>
        <v>16.486883828339003</v>
      </c>
    </row>
    <row r="10" spans="1:12">
      <c r="A10" s="189" t="s">
        <v>724</v>
      </c>
      <c r="B10" s="191">
        <v>46.019278828989641</v>
      </c>
      <c r="C10" s="191">
        <f>'P&amp;L consol'!BG68*100</f>
        <v>10.293398533007325</v>
      </c>
      <c r="D10" s="191">
        <f>'P&amp;L consol'!BH68*100</f>
        <v>4.965639547772116</v>
      </c>
      <c r="E10" s="191">
        <f>'P&amp;L consol'!BI68*100</f>
        <v>39.746568109820487</v>
      </c>
      <c r="F10" s="191">
        <f>'P&amp;L consol'!BJ68*100</f>
        <v>22.66888317968867</v>
      </c>
      <c r="G10" s="191">
        <f>'P&amp;L consol'!BK68*100</f>
        <v>4.5497104841690117</v>
      </c>
      <c r="H10" s="191">
        <f>'P&amp;L consol'!BL68*100</f>
        <v>-4.3045850370597272</v>
      </c>
      <c r="I10" s="191">
        <f>'P&amp;L consol'!BM68*100</f>
        <v>69.264868858514973</v>
      </c>
      <c r="J10" s="191">
        <f>'P&amp;L consol'!BN68*100</f>
        <v>81.736804083344424</v>
      </c>
      <c r="K10" s="191">
        <f>'P&amp;L consol'!BO68*100</f>
        <v>24.339918078661249</v>
      </c>
      <c r="L10" s="191">
        <f>'P&amp;L consol'!BP68*100</f>
        <v>16.486883828339003</v>
      </c>
    </row>
    <row r="11" spans="1:12">
      <c r="A11" s="189" t="s">
        <v>725</v>
      </c>
      <c r="B11" s="191">
        <v>43.640350877192958</v>
      </c>
      <c r="C11" s="191">
        <f>'P&amp;L consol'!BG77*100</f>
        <v>9.0076335877862679</v>
      </c>
      <c r="D11" s="191">
        <f>'P&amp;L consol'!BH77*100</f>
        <v>4.6218487394958041</v>
      </c>
      <c r="E11" s="191">
        <f>'P&amp;L consol'!BI77*100</f>
        <v>45.917001338688081</v>
      </c>
      <c r="F11" s="191">
        <f>'P&amp;L consol'!BJ77*100</f>
        <v>22.110091743119241</v>
      </c>
      <c r="G11" s="191">
        <f>'P&amp;L consol'!BK77*100</f>
        <v>0.47332832456798979</v>
      </c>
      <c r="H11" s="191">
        <f>'P&amp;L consol'!BL77*100</f>
        <v>-8.0236297016376135</v>
      </c>
      <c r="I11" s="191">
        <f>'P&amp;L consol'!BM77*100</f>
        <v>66.541890944225599</v>
      </c>
      <c r="J11" s="191">
        <f>'P&amp;L consol'!BN77*100</f>
        <v>37.757245443743571</v>
      </c>
      <c r="K11" s="191">
        <f>'P&amp;L consol'!BO77*100</f>
        <v>24.339918078661249</v>
      </c>
      <c r="L11" s="191">
        <f>'P&amp;L consol'!BP77*100</f>
        <v>16.486883828339003</v>
      </c>
    </row>
    <row r="12" spans="1:12">
      <c r="A12" s="189" t="s">
        <v>726</v>
      </c>
      <c r="B12" s="191">
        <v>43.640350877192958</v>
      </c>
      <c r="C12" s="191">
        <f>'P&amp;L consol'!BG78*100</f>
        <v>9.0076335877862679</v>
      </c>
      <c r="D12" s="191">
        <f>'P&amp;L consol'!BH78*100</f>
        <v>4.6218487394958041</v>
      </c>
      <c r="E12" s="191">
        <f>'P&amp;L consol'!BI78*100</f>
        <v>45.917001338688081</v>
      </c>
      <c r="F12" s="191">
        <f>'P&amp;L consol'!BJ78*100</f>
        <v>22.110091743119241</v>
      </c>
      <c r="G12" s="191">
        <f>'P&amp;L consol'!BK78*100</f>
        <v>-1.0368144252441591</v>
      </c>
      <c r="H12" s="191">
        <f>'P&amp;L consol'!BL78*100</f>
        <v>-7.3413300941390869</v>
      </c>
      <c r="I12" s="191">
        <f>'P&amp;L consol'!BM78*100</f>
        <v>66.126719875784801</v>
      </c>
      <c r="J12" s="191">
        <f>'P&amp;L consol'!BN78*100</f>
        <v>38.182019019157075</v>
      </c>
      <c r="K12" s="191">
        <f>'P&amp;L consol'!BO78*100</f>
        <v>24.339918078661249</v>
      </c>
      <c r="L12" s="191">
        <f>'P&amp;L consol'!BP78*100</f>
        <v>16.486883828339003</v>
      </c>
    </row>
    <row r="14" spans="1:12">
      <c r="A14" s="190" t="s">
        <v>727</v>
      </c>
      <c r="B14" s="190"/>
      <c r="C14" s="190"/>
      <c r="D14" s="190"/>
      <c r="E14" s="190"/>
      <c r="F14" s="190"/>
      <c r="G14" s="190"/>
      <c r="H14" s="190"/>
      <c r="I14" s="190"/>
      <c r="J14" s="190"/>
      <c r="K14" s="190"/>
      <c r="L14" s="190"/>
    </row>
    <row r="15" spans="1:12">
      <c r="A15" s="189" t="s">
        <v>728</v>
      </c>
      <c r="B15" s="191">
        <v>82.449268266144387</v>
      </c>
      <c r="C15" s="191">
        <f>'P&amp;L consol'!BG27/'P&amp;L consol'!BG12*100</f>
        <v>82.798346040775357</v>
      </c>
      <c r="D15" s="191">
        <f>'P&amp;L consol'!BH27/'P&amp;L consol'!BH12*100</f>
        <v>83.134597237711247</v>
      </c>
      <c r="E15" s="191">
        <f>'P&amp;L consol'!BI27/'P&amp;L consol'!BI12*100</f>
        <v>82.65858208955224</v>
      </c>
      <c r="F15" s="191">
        <f>'P&amp;L consol'!BJ27/'P&amp;L consol'!BJ12*100</f>
        <v>82.465750006238608</v>
      </c>
      <c r="G15" s="191">
        <f>'P&amp;L consol'!BK27/'P&amp;L consol'!BK12*100</f>
        <v>83.163316276126949</v>
      </c>
      <c r="H15" s="191">
        <f>'P&amp;L consol'!BL27/'P&amp;L consol'!BL12*100</f>
        <v>85.738778958528329</v>
      </c>
      <c r="I15" s="191">
        <f>'P&amp;L consol'!BM27/'P&amp;L consol'!BM12*100</f>
        <v>81.427447920159494</v>
      </c>
      <c r="J15" s="191">
        <f>'P&amp;L consol'!BN27/'P&amp;L consol'!BN12*100</f>
        <v>79.405407282343091</v>
      </c>
      <c r="K15" s="191">
        <f>'P&amp;L consol'!BO27/'P&amp;L consol'!BO12*100</f>
        <v>79.700135856082923</v>
      </c>
      <c r="L15" s="191">
        <f>'P&amp;L consol'!BP27/'P&amp;L consol'!BP12*100</f>
        <v>80.371374404091043</v>
      </c>
    </row>
    <row r="16" spans="1:12">
      <c r="A16" s="189" t="s">
        <v>729</v>
      </c>
      <c r="B16" s="191">
        <v>65.034546542625534</v>
      </c>
      <c r="C16" s="191">
        <f>'P&amp;L consol'!BG15/'P&amp;L consol'!BG12*100</f>
        <v>65.795071583928859</v>
      </c>
      <c r="D16" s="191">
        <f>'P&amp;L consol'!BH15/'P&amp;L consol'!BH12*100</f>
        <v>67.969889336879135</v>
      </c>
      <c r="E16" s="191">
        <f>'P&amp;L consol'!BI15/'P&amp;L consol'!BI12*100</f>
        <v>67.99906716417911</v>
      </c>
      <c r="F16" s="191">
        <f>'P&amp;L consol'!BJ15/'P&amp;L consol'!BJ12*100</f>
        <v>67.450652559079685</v>
      </c>
      <c r="G16" s="191">
        <f>'P&amp;L consol'!BK15/'P&amp;L consol'!BK12*100</f>
        <v>66.8</v>
      </c>
      <c r="H16" s="191">
        <f>'P&amp;L consol'!BL15/'P&amp;L consol'!BL12*100</f>
        <v>66.261088517638086</v>
      </c>
      <c r="I16" s="191">
        <f>'P&amp;L consol'!BM15/'P&amp;L consol'!BM12*100</f>
        <v>66.164107128704416</v>
      </c>
      <c r="J16" s="191">
        <f>'P&amp;L consol'!BN15/'P&amp;L consol'!BN12*100</f>
        <v>65.283694757987362</v>
      </c>
      <c r="K16" s="191">
        <f>'P&amp;L consol'!BO15/'P&amp;L consol'!BO12*100</f>
        <v>65.00013585608292</v>
      </c>
      <c r="L16" s="191">
        <f>'P&amp;L consol'!BP15/'P&amp;L consol'!BP12*100</f>
        <v>66.056643056363399</v>
      </c>
    </row>
    <row r="17" spans="1:14">
      <c r="A17" s="189" t="s">
        <v>730</v>
      </c>
      <c r="B17" s="191">
        <v>17.414721723518849</v>
      </c>
      <c r="C17" s="191">
        <f>'P&amp;L consol'!BG20/'P&amp;L consol'!BG12*100</f>
        <v>16.962642510576256</v>
      </c>
      <c r="D17" s="191">
        <f>'P&amp;L consol'!BH20/'P&amp;L consol'!BH12*100</f>
        <v>14.034485716736725</v>
      </c>
      <c r="E17" s="191">
        <f>'P&amp;L consol'!BI20/'P&amp;L consol'!BI12*100</f>
        <v>13.257151741293532</v>
      </c>
      <c r="F17" s="191">
        <f>'P&amp;L consol'!BJ20/'P&amp;L consol'!BJ12*100</f>
        <v>14.271454595363462</v>
      </c>
      <c r="G17" s="191">
        <f>'P&amp;L consol'!BK20/'P&amp;L consol'!BK12*100</f>
        <v>15.202242227130952</v>
      </c>
      <c r="H17" s="191">
        <f>'P&amp;L consol'!BL20/'P&amp;L consol'!BL12*100</f>
        <v>18.034837202753181</v>
      </c>
      <c r="I17" s="191">
        <f>'P&amp;L consol'!BM20/'P&amp;L consol'!BM12*100</f>
        <v>14.056832106909228</v>
      </c>
      <c r="J17" s="191">
        <f>'P&amp;L consol'!BN20/'P&amp;L consol'!BN12*100</f>
        <v>13.421712524355724</v>
      </c>
      <c r="K17" s="191">
        <f>'P&amp;L consol'!BO20/'P&amp;L consol'!BO12*100</f>
        <v>14.000000000000002</v>
      </c>
      <c r="L17" s="191">
        <f>'P&amp;L consol'!BP20/'P&amp;L consol'!BP12*100</f>
        <v>13.614731347727659</v>
      </c>
    </row>
    <row r="18" spans="1:14">
      <c r="A18" s="189" t="s">
        <v>731</v>
      </c>
      <c r="B18" s="191">
        <v>0</v>
      </c>
      <c r="C18" s="191">
        <f>-'P&amp;L consol'!BG48/'P&amp;L consol'!BG12*100</f>
        <v>0</v>
      </c>
      <c r="D18" s="191">
        <f>-'P&amp;L consol'!BH48/'P&amp;L consol'!BH12*100</f>
        <v>0</v>
      </c>
      <c r="E18" s="191">
        <f>-'P&amp;L consol'!BI48/'P&amp;L consol'!BI12*100</f>
        <v>1.0105721393034828</v>
      </c>
      <c r="F18" s="191">
        <f>-'P&amp;L consol'!BJ48/'P&amp;L consol'!BJ12*100</f>
        <v>1.0056646619918648</v>
      </c>
      <c r="G18" s="191">
        <f>-'P&amp;L consol'!BK48/'P&amp;L consol'!BK12*100</f>
        <v>1.393066856108959</v>
      </c>
      <c r="H18" s="191">
        <f>-'P&amp;L consol'!BL48/'P&amp;L consol'!BL12*100</f>
        <v>-0.24848218796849247</v>
      </c>
      <c r="I18" s="191">
        <f>-'P&amp;L consol'!BM48/'P&amp;L consol'!BM12*100</f>
        <v>0.5816115639498376</v>
      </c>
      <c r="J18" s="191">
        <f>-'P&amp;L consol'!BN48/'P&amp;L consol'!BN12*100</f>
        <v>1.3638142538509708</v>
      </c>
      <c r="K18" s="191">
        <f>-'P&amp;L consol'!BO48/'P&amp;L consol'!BO12*100</f>
        <v>1.1254818051720872</v>
      </c>
      <c r="L18" s="191">
        <f>-'P&amp;L consol'!BP48/'P&amp;L consol'!BP12*100</f>
        <v>0.95067402047288163</v>
      </c>
    </row>
    <row r="19" spans="1:14">
      <c r="A19" s="189" t="s">
        <v>732</v>
      </c>
      <c r="B19" s="191">
        <v>3.3948098580055492</v>
      </c>
      <c r="C19" s="191">
        <f>'P&amp;L consol'!BG34/'P&amp;L consol'!BG12*100</f>
        <v>4.134898061617152</v>
      </c>
      <c r="D19" s="191">
        <f>'P&amp;L consol'!BH34/'P&amp;L consol'!BH12*100</f>
        <v>3.937548254267822</v>
      </c>
      <c r="E19" s="191">
        <f>'P&amp;L consol'!BI34/'P&amp;L consol'!BI12*100</f>
        <v>3.5323383084577116</v>
      </c>
      <c r="F19" s="191">
        <f>'P&amp;L consol'!BJ34/'P&amp;L consol'!BJ12*100</f>
        <v>3.2253637112270104</v>
      </c>
      <c r="G19" s="191">
        <f>'P&amp;L consol'!BK34/'P&amp;L consol'!BK12*100</f>
        <v>3.2989599174150008</v>
      </c>
      <c r="H19" s="191">
        <f>'P&amp;L consol'!BL34/'P&amp;L consol'!BL12*100</f>
        <v>3.5416994525109122</v>
      </c>
      <c r="I19" s="191">
        <f>'P&amp;L consol'!BM34/'P&amp;L consol'!BM12*100</f>
        <v>4.1572424052137755</v>
      </c>
      <c r="J19" s="191">
        <f>'P&amp;L consol'!BN34/'P&amp;L consol'!BN12*100</f>
        <v>5.1886760336917668</v>
      </c>
      <c r="K19" s="191">
        <f>'P&amp;L consol'!BO34/'P&amp;L consol'!BO12*100</f>
        <v>4.8209222740924824</v>
      </c>
      <c r="L19" s="191">
        <f>'P&amp;L consol'!BP34/'P&amp;L consol'!BP12*100</f>
        <v>4.5314545221630924</v>
      </c>
    </row>
    <row r="21" spans="1:14">
      <c r="A21" s="190" t="s">
        <v>733</v>
      </c>
      <c r="B21" s="190"/>
      <c r="C21" s="190"/>
      <c r="D21" s="190"/>
      <c r="E21" s="190"/>
      <c r="F21" s="190"/>
      <c r="G21" s="190"/>
      <c r="H21" s="190"/>
      <c r="I21" s="190"/>
      <c r="J21" s="190"/>
      <c r="K21" s="190"/>
      <c r="L21" s="190"/>
    </row>
    <row r="22" spans="1:14">
      <c r="A22" s="189" t="s">
        <v>203</v>
      </c>
      <c r="B22" s="192">
        <v>34.965453457374466</v>
      </c>
      <c r="C22" s="192">
        <f>'P&amp;L consol'!BG80*100</f>
        <v>34.204928416071127</v>
      </c>
      <c r="D22" s="192">
        <f>'P&amp;L consol'!BH80*100</f>
        <v>32.030110663120873</v>
      </c>
      <c r="E22" s="192">
        <f>'P&amp;L consol'!BI80*100</f>
        <v>32.000932835820898</v>
      </c>
      <c r="F22" s="192">
        <f>'P&amp;L consol'!BJ80*100</f>
        <v>32.549347440920322</v>
      </c>
      <c r="G22" s="192">
        <f>'P&amp;L consol'!BK80*100</f>
        <v>33.200000000000003</v>
      </c>
      <c r="H22" s="192">
        <f>'P&amp;L consol'!BL80*100</f>
        <v>33.738911482361907</v>
      </c>
      <c r="I22" s="192">
        <f>'P&amp;L consol'!BM80*100</f>
        <v>33.835892871295584</v>
      </c>
      <c r="J22" s="192">
        <f>'P&amp;L consol'!BN80*100</f>
        <v>34.716305242012631</v>
      </c>
      <c r="K22" s="192">
        <f>'P&amp;L consol'!BO80*100</f>
        <v>34.999864143917087</v>
      </c>
      <c r="L22" s="192">
        <f>'P&amp;L consol'!BP80*100</f>
        <v>33.943356943636608</v>
      </c>
    </row>
    <row r="23" spans="1:14">
      <c r="A23" s="189" t="s">
        <v>51</v>
      </c>
      <c r="B23" s="192">
        <v>17.550731733855613</v>
      </c>
      <c r="C23" s="192">
        <f>'P&amp;L consol'!BG82*100</f>
        <v>17.201653959224647</v>
      </c>
      <c r="D23" s="192">
        <f>'P&amp;L consol'!BH82*100</f>
        <v>16.865402762288753</v>
      </c>
      <c r="E23" s="192">
        <f>'P&amp;L consol'!BI82*100</f>
        <v>17.341417910447763</v>
      </c>
      <c r="F23" s="192">
        <f>'P&amp;L consol'!BJ82*100</f>
        <v>17.534249993761385</v>
      </c>
      <c r="G23" s="192">
        <f>'P&amp;L consol'!BK82*100</f>
        <v>16.836683723873058</v>
      </c>
      <c r="H23" s="192">
        <f>'P&amp;L consol'!BL82*100</f>
        <v>14.261221041471678</v>
      </c>
      <c r="I23" s="192">
        <f>'P&amp;L consol'!BM82*100</f>
        <v>18.572552079840516</v>
      </c>
      <c r="J23" s="192">
        <f>'P&amp;L consol'!BN82*100</f>
        <v>20.594592717656912</v>
      </c>
      <c r="K23" s="192">
        <f>'P&amp;L consol'!BO82*100</f>
        <v>20.299864143917084</v>
      </c>
      <c r="L23" s="192">
        <f>'P&amp;L consol'!BP82*100</f>
        <v>19.628625595908954</v>
      </c>
    </row>
    <row r="24" spans="1:14">
      <c r="A24" s="189" t="s">
        <v>204</v>
      </c>
      <c r="B24" s="192">
        <v>14.155921875850064</v>
      </c>
      <c r="C24" s="192">
        <f>'P&amp;L consol'!BG83*100</f>
        <v>13.066755897607496</v>
      </c>
      <c r="D24" s="192">
        <f>'P&amp;L consol'!BH83*100</f>
        <v>12.92785450802093</v>
      </c>
      <c r="E24" s="192">
        <f>'P&amp;L consol'!BI83*100</f>
        <v>13.809079601990049</v>
      </c>
      <c r="F24" s="192">
        <f>'P&amp;L consol'!BJ83*100</f>
        <v>14.308886282534376</v>
      </c>
      <c r="G24" s="192">
        <f>'P&amp;L consol'!BK83*100</f>
        <v>13.537723806458057</v>
      </c>
      <c r="H24" s="192">
        <f>'P&amp;L consol'!BL83*100</f>
        <v>10.719521588960765</v>
      </c>
      <c r="I24" s="192">
        <f>'P&amp;L consol'!BM83*100</f>
        <v>14.415309674626739</v>
      </c>
      <c r="J24" s="192">
        <f>'P&amp;L consol'!BN83*100</f>
        <v>15.405916683965145</v>
      </c>
      <c r="K24" s="192">
        <f>'P&amp;L consol'!BO83*100</f>
        <v>15.478941869824601</v>
      </c>
      <c r="L24" s="192">
        <f>'P&amp;L consol'!BP83*100</f>
        <v>15.09717107374586</v>
      </c>
    </row>
    <row r="25" spans="1:14">
      <c r="A25" s="189" t="s">
        <v>734</v>
      </c>
      <c r="B25" s="192">
        <v>11.125618845547033</v>
      </c>
      <c r="C25" s="192">
        <f>'P&amp;L consol'!BG84*100</f>
        <v>10.781806448528885</v>
      </c>
      <c r="D25" s="192">
        <f>'P&amp;L consol'!BH84*100</f>
        <v>10.154842583855196</v>
      </c>
      <c r="E25" s="192">
        <f>'P&amp;L consol'!BI84*100</f>
        <v>10.287624378109452</v>
      </c>
      <c r="F25" s="192">
        <f>'P&amp;L consol'!BJ84*100</f>
        <v>10.127766825543382</v>
      </c>
      <c r="G25" s="192">
        <f>'P&amp;L consol'!BK84*100</f>
        <v>9.4199069808744671</v>
      </c>
      <c r="H25" s="192">
        <f>'P&amp;L consol'!BL84*100</f>
        <v>6.7264128283070903</v>
      </c>
      <c r="I25" s="192">
        <f>'P&amp;L consol'!BM84*100</f>
        <v>8.3803276289879101</v>
      </c>
      <c r="J25" s="192">
        <f>'P&amp;L consol'!BN84*100</f>
        <v>10.076864689383504</v>
      </c>
      <c r="K25" s="192">
        <f>'P&amp;L consol'!BO84*100</f>
        <v>10.352299055116152</v>
      </c>
      <c r="L25" s="192">
        <f>'P&amp;L consol'!BP84*100</f>
        <v>10.215011555009093</v>
      </c>
    </row>
    <row r="26" spans="1:14">
      <c r="A26" s="189" t="s">
        <v>735</v>
      </c>
      <c r="B26" s="192">
        <v>24.94222222222222</v>
      </c>
      <c r="C26" s="192">
        <f>'P&amp;L consol'!BG57*100</f>
        <v>21.464561639234127</v>
      </c>
      <c r="D26" s="192">
        <f>'P&amp;L consol'!BH57*100</f>
        <v>21.841972823351789</v>
      </c>
      <c r="E26" s="192">
        <f>'P&amp;L consol'!BI57*100</f>
        <v>17.040046430644225</v>
      </c>
      <c r="F26" s="192">
        <f>'P&amp;L consol'!BJ57*100</f>
        <v>21.667367535744322</v>
      </c>
      <c r="G26" s="192">
        <f>'P&amp;L consol'!BK57*100</f>
        <v>20.652580403889303</v>
      </c>
      <c r="H26" s="192">
        <f>'P&amp;L consol'!BL57*100</f>
        <v>25.661600185170897</v>
      </c>
      <c r="I26" s="192">
        <f>'P&amp;L consol'!BM57*100</f>
        <v>13.364722926475913</v>
      </c>
      <c r="J26" s="192">
        <f>'P&amp;L consol'!BN57*100</f>
        <v>25.199999999999967</v>
      </c>
      <c r="K26" s="192">
        <f>'P&amp;L consol'!BO57*100</f>
        <v>25.199999999999996</v>
      </c>
      <c r="L26" s="192">
        <f>'P&amp;L consol'!BP57*100</f>
        <v>25.302628569738339</v>
      </c>
    </row>
    <row r="28" spans="1:14">
      <c r="A28" s="190" t="s">
        <v>736</v>
      </c>
      <c r="B28" s="190"/>
      <c r="C28" s="190"/>
      <c r="D28" s="190"/>
      <c r="E28" s="190"/>
      <c r="F28" s="190"/>
      <c r="G28" s="190"/>
      <c r="H28" s="190"/>
      <c r="I28" s="190"/>
      <c r="J28" s="190"/>
      <c r="K28" s="190"/>
      <c r="L28" s="190"/>
      <c r="N28">
        <v>100</v>
      </c>
    </row>
    <row r="29" spans="1:14">
      <c r="A29" s="189" t="s">
        <v>46</v>
      </c>
      <c r="B29" s="1092">
        <v>0.19736524634464123</v>
      </c>
      <c r="C29" s="1092">
        <f>('P&amp;L consol'!BG66/AVERAGE('BS Consol'!B7:C7)*100)/100</f>
        <v>0.20188865019692087</v>
      </c>
      <c r="D29" s="1092">
        <f>('P&amp;L consol'!BH66/AVERAGE('BS Consol'!C7:D7)*100)/100</f>
        <v>0.19475177888372475</v>
      </c>
      <c r="E29" s="1092">
        <f>('P&amp;L consol'!BI66/AVERAGE('BS Consol'!D7:E7)*100)/100</f>
        <v>0.25453915987074932</v>
      </c>
      <c r="F29" s="1092">
        <f>('P&amp;L consol'!BJ66/AVERAGE('BS Consol'!E7:F7)*100)/100</f>
        <v>0.27914574592475411</v>
      </c>
      <c r="G29" s="1092">
        <f>('P&amp;L consol'!BK66/AVERAGE('BS Consol'!F7:G7)*100)/100</f>
        <v>0.25297879000163953</v>
      </c>
      <c r="H29" s="1092">
        <f>('P&amp;L consol'!BL66/AVERAGE('BS Consol'!G7:H7)*100)/100</f>
        <v>0.16232585100641628</v>
      </c>
      <c r="I29" s="1092">
        <f>('P&amp;L consol'!BM66/AVERAGE('BS Consol'!H7:I7)*100)/100</f>
        <v>0.17272316043425814</v>
      </c>
      <c r="J29" s="1092">
        <f>('P&amp;L consol'!BN66/AVERAGE('BS Consol'!I7:J7)*100)/100</f>
        <v>0.13154612963575171</v>
      </c>
      <c r="K29" s="1092">
        <f>('P&amp;L consol'!BO66/AVERAGE('BS Consol'!J7:K7)*100)/100</f>
        <v>0.10490865512308867</v>
      </c>
      <c r="L29" s="1092">
        <f>('P&amp;L consol'!BP66/AVERAGE('BS Consol'!K7:L7)*100)/100</f>
        <v>0.11261378275276077</v>
      </c>
    </row>
    <row r="30" spans="1:14">
      <c r="A30" s="189" t="s">
        <v>737</v>
      </c>
      <c r="B30" s="191"/>
      <c r="C30" s="1092">
        <f>('P&amp;L consol'!BG66)/((AVERAGE('BS Consol'!B7:C7)-(AVERAGE('BS Consol'!B117:C117)-(AVERAGE('BS Consol'!B126:C126)))))</f>
        <v>0.21690628456027311</v>
      </c>
      <c r="D30" s="1092">
        <f>('P&amp;L consol'!BH66)/((AVERAGE('BS Consol'!C7:D7)-(AVERAGE('BS Consol'!C117:D117)-(AVERAGE('BS Consol'!C126:D126)))))</f>
        <v>0.21685367529196245</v>
      </c>
      <c r="E30" s="1092">
        <f>('P&amp;L consol'!BI66)/((AVERAGE('BS Consol'!D7:E7)-(AVERAGE('BS Consol'!D117:E117)-(AVERAGE('BS Consol'!D126:E126)))))</f>
        <v>0.31145419029912219</v>
      </c>
      <c r="F30" s="1092">
        <f>('P&amp;L consol'!BJ66)/((AVERAGE('BS Consol'!E7:F7)-(AVERAGE('BS Consol'!E117:F117)-(AVERAGE('BS Consol'!E126:F126)))))</f>
        <v>0.36625755798213155</v>
      </c>
      <c r="G30" s="1092">
        <f>('P&amp;L consol'!BK66)/((AVERAGE('BS Consol'!F7:G7)-(AVERAGE('BS Consol'!F117:G117)-(AVERAGE('BS Consol'!F126:G126)))))</f>
        <v>0.32271595079193044</v>
      </c>
      <c r="H30" s="1092">
        <f>('P&amp;L consol'!BL66)/((AVERAGE('BS Consol'!G7:H7)-(AVERAGE('BS Consol'!G117:H117)-(AVERAGE('BS Consol'!G126:H126)))))</f>
        <v>0.24789755643401151</v>
      </c>
      <c r="I30" s="1092">
        <f>('P&amp;L consol'!BM66)/((AVERAGE('BS Consol'!H7:I7)-(AVERAGE('BS Consol'!H117:I117)-(AVERAGE('BS Consol'!H126:I126)))))</f>
        <v>0.26484018264840181</v>
      </c>
      <c r="J30" s="1092">
        <f>('P&amp;L consol'!BN66)/((AVERAGE('BS Consol'!I7:J7)-(AVERAGE('BS Consol'!I117:J117)-(AVERAGE('BS Consol'!I126:J126)))))</f>
        <v>0.32854777353371656</v>
      </c>
      <c r="K30" s="1092">
        <f>('P&amp;L consol'!BO66)/((AVERAGE('BS Consol'!J7:K7)-(AVERAGE('BS Consol'!J117:K117)-(AVERAGE('BS Consol'!J126:K126)))))</f>
        <v>0.32662629433023582</v>
      </c>
      <c r="L30" s="1092">
        <f>('P&amp;L consol'!BP66)/((AVERAGE('BS Consol'!K7:L7)-(AVERAGE('BS Consol'!K117:L117)-(AVERAGE('BS Consol'!K126:L126)))))</f>
        <v>0.31077052978997827</v>
      </c>
    </row>
    <row r="31" spans="1:14">
      <c r="A31" s="189" t="s">
        <v>47</v>
      </c>
      <c r="B31" s="191"/>
      <c r="C31" s="191">
        <f>'P&amp;L consol'!BG39*(1-C26%)/AVERAGE(('BS Consol'!B35-'BS Consol'!B33+'BS Consol'!B29+'BS Consol'!B30-'BS Consol'!B22+'BS Consol'!B12+'BS Consol'!B18),('BS Consol'!C35-'BS Consol'!C33+'BS Consol'!C29+'BS Consol'!C30-'BS Consol'!C22+'BS Consol'!C12+'BS Consol'!C18))*100</f>
        <v>19.146613816063102</v>
      </c>
      <c r="D31" s="191">
        <f>'P&amp;L consol'!BH39*(1-D26%)/AVERAGE(('BS Consol'!C35-'BS Consol'!C33+'BS Consol'!C29+'BS Consol'!C30-'BS Consol'!C22+'BS Consol'!C12+'BS Consol'!C18),('BS Consol'!D35-'BS Consol'!D33+'BS Consol'!D29+'BS Consol'!D30-'BS Consol'!D22+'BS Consol'!D12+'BS Consol'!D18))*100</f>
        <v>19.142167102928816</v>
      </c>
      <c r="E31" s="191">
        <f>'P&amp;L consol'!BI39*(1-E26%)/AVERAGE(('BS Consol'!D35-'BS Consol'!D33+'BS Consol'!D29+'BS Consol'!D30-'BS Consol'!D22+'BS Consol'!D12+'BS Consol'!D18),('BS Consol'!E35-'BS Consol'!E33+'BS Consol'!E29+'BS Consol'!E30-'BS Consol'!E22+'BS Consol'!E12+'BS Consol'!E18))*100</f>
        <v>25.225096970422715</v>
      </c>
      <c r="F31" s="191">
        <f>'P&amp;L consol'!BJ39*(1-F26%)/AVERAGE(('BS Consol'!E35-'BS Consol'!E33+'BS Consol'!E29+'BS Consol'!E30-'BS Consol'!E22+'BS Consol'!E12+'BS Consol'!E18),('BS Consol'!F35-'BS Consol'!F33+'BS Consol'!F29+'BS Consol'!F30-'BS Consol'!F22+'BS Consol'!F12+'BS Consol'!F18))*100</f>
        <v>25.473015527926279</v>
      </c>
      <c r="G31" s="191">
        <f>'P&amp;L consol'!BK39*(1-G26%)/AVERAGE(('BS Consol'!F35-'BS Consol'!F33+'BS Consol'!F29+'BS Consol'!F30-'BS Consol'!F22+'BS Consol'!F12+'BS Consol'!F18),('BS Consol'!G35-'BS Consol'!G33+'BS Consol'!G29+'BS Consol'!G30-'BS Consol'!G22+'BS Consol'!G12+'BS Consol'!G18))*100</f>
        <v>23.646209636998559</v>
      </c>
      <c r="H31" s="191">
        <f>'P&amp;L consol'!BL39*(1-H26%)/AVERAGE(('BS Consol'!G35-'BS Consol'!G33+'BS Consol'!G29+'BS Consol'!G30-'BS Consol'!G22+'BS Consol'!G12+'BS Consol'!G18),('BS Consol'!H35-'BS Consol'!H33+'BS Consol'!H29+'BS Consol'!H30-'BS Consol'!H22+'BS Consol'!H12+'BS Consol'!H18))*100</f>
        <v>13.848167233835943</v>
      </c>
      <c r="I31" s="191">
        <f>'P&amp;L consol'!BM39*(1-I26%)/AVERAGE(('BS Consol'!H35-'BS Consol'!H33+'BS Consol'!H29+'BS Consol'!H30-'BS Consol'!H22+'BS Consol'!H12+'BS Consol'!H18),('BS Consol'!I35-'BS Consol'!I33+'BS Consol'!I29+'BS Consol'!I30-'BS Consol'!I22+'BS Consol'!I12+'BS Consol'!I18))*100</f>
        <v>20.639397151715361</v>
      </c>
      <c r="J31" s="191">
        <f>'P&amp;L consol'!BN39*(1-J26%)/AVERAGE(('BS Consol'!I35-'BS Consol'!I33+'BS Consol'!I29+'BS Consol'!I30-'BS Consol'!I22+'BS Consol'!I12+'BS Consol'!I18),('BS Consol'!J35-'BS Consol'!J33+'BS Consol'!J29+'BS Consol'!J30-'BS Consol'!J22+'BS Consol'!J12+'BS Consol'!J18))*100</f>
        <v>12.729818179459437</v>
      </c>
      <c r="K31" s="191">
        <f>'P&amp;L consol'!BO39*(1-K26%)/AVERAGE(('BS Consol'!J35-'BS Consol'!J33+'BS Consol'!J29+'BS Consol'!J30-'BS Consol'!J22+'BS Consol'!J12+'BS Consol'!J18),('BS Consol'!K35-'BS Consol'!K33+'BS Consol'!K29+'BS Consol'!K30-'BS Consol'!K22+'BS Consol'!K12+'BS Consol'!K18))*100</f>
        <v>9.754739409431803</v>
      </c>
      <c r="L31" s="191">
        <f>'P&amp;L consol'!BP39*(1-L26%)/AVERAGE(('BS Consol'!K35-'BS Consol'!K33+'BS Consol'!K29+'BS Consol'!K30-'BS Consol'!K22+'BS Consol'!K12+'BS Consol'!K18),('BS Consol'!L35-'BS Consol'!L33+'BS Consol'!L29+'BS Consol'!L30-'BS Consol'!L22+'BS Consol'!L12+'BS Consol'!L18))*100</f>
        <v>10.489049811051112</v>
      </c>
    </row>
    <row r="32" spans="1:14">
      <c r="A32" s="189" t="s">
        <v>738</v>
      </c>
      <c r="B32" s="191">
        <v>14.234008491682326</v>
      </c>
      <c r="C32" s="191">
        <f>'P&amp;L consol'!BG66/AVERAGE('BS Consol'!B69:C69)*100</f>
        <v>14.290692517265413</v>
      </c>
      <c r="D32" s="191">
        <f>'P&amp;L consol'!BH66/AVERAGE('BS Consol'!C69:D69)*100</f>
        <v>12.916160885991355</v>
      </c>
      <c r="E32" s="191">
        <f>'P&amp;L consol'!BI66/AVERAGE('BS Consol'!D69:E69)*100</f>
        <v>14.959588537839824</v>
      </c>
      <c r="F32" s="191">
        <f>'P&amp;L consol'!BJ66/AVERAGE('BS Consol'!E69:F69)*100</f>
        <v>15.26067419955254</v>
      </c>
      <c r="G32" s="191">
        <f>'P&amp;L consol'!BK66/AVERAGE('BS Consol'!F69:G69)*100</f>
        <v>14.394416127418136</v>
      </c>
      <c r="H32" s="191">
        <f>'P&amp;L consol'!BL66/AVERAGE('BS Consol'!G69:H69)*100</f>
        <v>8.7330092911218173</v>
      </c>
      <c r="I32" s="191">
        <f>'P&amp;L consol'!BM66/AVERAGE('BS Consol'!H69:I69)*100</f>
        <v>10.043803727152831</v>
      </c>
      <c r="J32" s="191">
        <f>'P&amp;L consol'!BN66/AVERAGE('BS Consol'!I69:J69)*100</f>
        <v>9.1374876906045088</v>
      </c>
      <c r="K32" s="191">
        <f>'P&amp;L consol'!BO66/AVERAGE('BS Consol'!J69:K69)*100</f>
        <v>7.5360020294767596</v>
      </c>
      <c r="L32" s="191">
        <f>'P&amp;L consol'!BP66/AVERAGE('BS Consol'!K69:L69)*100</f>
        <v>8.1727577179216464</v>
      </c>
    </row>
    <row r="33" spans="1:20">
      <c r="A33" s="189" t="s">
        <v>739</v>
      </c>
      <c r="B33" s="191"/>
      <c r="C33" s="191">
        <f>'P&amp;L consol'!BG39*(1-C26%)/AVERAGE(('BS Consol'!B69-'BS Consol'!B60-'BS Consol'!B61-'BS Consol'!B58-'BS Consol'!B33+'BS Consol'!B29+'BS Consol'!B30),('BS Consol'!C69-'BS Consol'!C60-'BS Consol'!C61-'BS Consol'!C58-'BS Consol'!C33+'BS Consol'!C29+'BS Consol'!C30))*100</f>
        <v>27.736893408592461</v>
      </c>
      <c r="D33" s="191">
        <f>'P&amp;L consol'!BH39*(1-D26%)/AVERAGE(('BS Consol'!C69-'BS Consol'!C60-'BS Consol'!C61-'BS Consol'!C58-'BS Consol'!C33+'BS Consol'!C29+'BS Consol'!C30),('BS Consol'!D69-'BS Consol'!D60-'BS Consol'!D61-'BS Consol'!D58-'BS Consol'!D33+'BS Consol'!D29+'BS Consol'!D30))*100</f>
        <v>23.833898460646793</v>
      </c>
      <c r="E33" s="191">
        <f>'P&amp;L consol'!BI39*(1-E26%)/AVERAGE(('BS Consol'!D69-'BS Consol'!D60-'BS Consol'!D61-'BS Consol'!D58-'BS Consol'!D33+'BS Consol'!D29+'BS Consol'!D30),('BS Consol'!E69-'BS Consol'!E60-'BS Consol'!E61-'BS Consol'!E58-'BS Consol'!E33+'BS Consol'!E29+'BS Consol'!E30))*100</f>
        <v>26.287447872960453</v>
      </c>
      <c r="F33" s="191">
        <f>'P&amp;L consol'!BJ39*(1-F26%)/AVERAGE(('BS Consol'!E69-'BS Consol'!E60-'BS Consol'!E61-'BS Consol'!E58-'BS Consol'!E33+'BS Consol'!E29+'BS Consol'!E30),('BS Consol'!F69-'BS Consol'!F60-'BS Consol'!F61-'BS Consol'!F58-'BS Consol'!F33+'BS Consol'!F29+'BS Consol'!F30))*100</f>
        <v>26.452645919406475</v>
      </c>
      <c r="G33" s="191">
        <f>'P&amp;L consol'!BK39*(1-G26%)/AVERAGE(('BS Consol'!F69-'BS Consol'!F60-'BS Consol'!F61-'BS Consol'!F58-'BS Consol'!F33+'BS Consol'!F29+'BS Consol'!F30),('BS Consol'!G69-'BS Consol'!G60-'BS Consol'!G61-'BS Consol'!G58-'BS Consol'!G33+'BS Consol'!G29+'BS Consol'!G30))*100</f>
        <v>24.793654515491941</v>
      </c>
      <c r="H33" s="459">
        <f>'P&amp;L consol'!BL39*(1-H26%)/AVERAGE(('BS Consol'!G69-'BS Consol'!G60-'BS Consol'!G61-'BS Consol'!G58-'BS Consol'!G33+'BS Consol'!G29+'BS Consol'!G30),('BS Consol'!H69-'BS Consol'!H60-'BS Consol'!H61-'BS Consol'!H58-'BS Consol'!H33+'BS Consol'!H29+'BS Consol'!H30))*100</f>
        <v>13.833134248319807</v>
      </c>
      <c r="I33" s="191">
        <f>'P&amp;L consol'!BM39*(1-I26%)/AVERAGE(('BS Consol'!H69-'BS Consol'!H60-'BS Consol'!H61-'BS Consol'!H58-'BS Consol'!H33+'BS Consol'!H29+'BS Consol'!H30),('BS Consol'!I69-'BS Consol'!I60-'BS Consol'!I61-'BS Consol'!I58-'BS Consol'!I33+'BS Consol'!I29+'BS Consol'!I30))*100</f>
        <v>20.464753481855144</v>
      </c>
      <c r="J33" s="191">
        <f>'P&amp;L consol'!BN39*(1-J26%)/AVERAGE(('BS Consol'!I69-'BS Consol'!I60-'BS Consol'!I61-'BS Consol'!I58-'BS Consol'!I33+'BS Consol'!I29+'BS Consol'!I30),('BS Consol'!J69-'BS Consol'!J60-'BS Consol'!J61-'BS Consol'!J58-'BS Consol'!J33+'BS Consol'!J29+'BS Consol'!J30))*100</f>
        <v>14.539809301578094</v>
      </c>
      <c r="K33" s="191">
        <f>'P&amp;L consol'!BO39*(1-K26%)/AVERAGE(('BS Consol'!J69-'BS Consol'!J60-'BS Consol'!J61-'BS Consol'!J58-'BS Consol'!J33+'BS Consol'!J29+'BS Consol'!J30),('BS Consol'!K69-'BS Consol'!K60-'BS Consol'!K61-'BS Consol'!K58-'BS Consol'!K33+'BS Consol'!K29+'BS Consol'!K30))*100</f>
        <v>11.833622262537984</v>
      </c>
      <c r="L33" s="191">
        <f>'P&amp;L consol'!BP39*(1-L26%)/AVERAGE(('BS Consol'!K69-'BS Consol'!K60-'BS Consol'!K61-'BS Consol'!K58-'BS Consol'!K33+'BS Consol'!K29+'BS Consol'!K30),('BS Consol'!L69-'BS Consol'!L60-'BS Consol'!L61-'BS Consol'!L58-'BS Consol'!L33+'BS Consol'!L29+'BS Consol'!L30))*100</f>
        <v>13.111793096627705</v>
      </c>
      <c r="O33" s="319"/>
      <c r="P33" s="319"/>
      <c r="Q33" s="319"/>
    </row>
    <row r="34" spans="1:20">
      <c r="A34" s="189" t="s">
        <v>740</v>
      </c>
      <c r="B34" s="195">
        <v>1.2793902693673</v>
      </c>
      <c r="C34" s="195">
        <f>'P&amp;L consol'!BG12/(AVERAGE('BS Consol'!B69:C69))</f>
        <v>1.3254450991573212</v>
      </c>
      <c r="D34" s="195">
        <f>'P&amp;L consol'!BH12/(AVERAGE('BS Consol'!C69:D69))</f>
        <v>1.2719213300781516</v>
      </c>
      <c r="E34" s="195">
        <f>'P&amp;L consol'!BI12/(AVERAGE('BS Consol'!D69:E69))</f>
        <v>1.4541344034363872</v>
      </c>
      <c r="F34" s="195">
        <f>'P&amp;L consol'!BJ12/(AVERAGE('BS Consol'!E69:F69))</f>
        <v>1.5068153189569271</v>
      </c>
      <c r="G34" s="195">
        <f>'P&amp;L consol'!BK12/(AVERAGE('BS Consol'!F69:G69))</f>
        <v>1.5280847418815886</v>
      </c>
      <c r="H34" s="195">
        <f>'P&amp;L consol'!BL12/(AVERAGE('BS Consol'!G69:H69))</f>
        <v>1.2983159841706813</v>
      </c>
      <c r="I34" s="195">
        <f>'P&amp;L consol'!BM12/(AVERAGE('BS Consol'!H69:I69))</f>
        <v>1.1984977403998962</v>
      </c>
      <c r="J34" s="195">
        <f>'P&amp;L consol'!BN12/(AVERAGE('BS Consol'!I69:J69))</f>
        <v>0.90677884166007727</v>
      </c>
      <c r="K34" s="195">
        <f>'P&amp;L consol'!BO12/(AVERAGE('BS Consol'!J69:K69))</f>
        <v>0.72795443691828365</v>
      </c>
      <c r="L34" s="195">
        <f>'P&amp;L consol'!BP12/(AVERAGE('BS Consol'!K69:L69))</f>
        <v>0.80007327195963929</v>
      </c>
    </row>
    <row r="35" spans="1:20">
      <c r="A35" s="189" t="s">
        <v>741</v>
      </c>
      <c r="B35" s="195">
        <v>5.6426707597851111</v>
      </c>
      <c r="C35" s="195">
        <f>'P&amp;L consol'!BG12/AVERAGE('BS Consol'!B94:C94)</f>
        <v>6.1992887835234853</v>
      </c>
      <c r="D35" s="195">
        <f>'P&amp;L consol'!BH12/AVERAGE('BS Consol'!C94:D94)</f>
        <v>6.4590663526804271</v>
      </c>
      <c r="E35" s="195">
        <f>'P&amp;L consol'!BI12/AVERAGE('BS Consol'!D94:E94)</f>
        <v>8.0854808296668761</v>
      </c>
      <c r="F35" s="195">
        <f>'P&amp;L consol'!BJ12/AVERAGE('BS Consol'!E94:F94)</f>
        <v>9.52701337295691</v>
      </c>
      <c r="G35" s="195">
        <f>'P&amp;L consol'!BK12/AVERAGE('BS Consol'!F94:G94)</f>
        <v>10.423951402950536</v>
      </c>
      <c r="H35" s="195">
        <f>'P&amp;L consol'!BL12/AVERAGE('BS Consol'!G94:H94)</f>
        <v>11.041979147612951</v>
      </c>
      <c r="I35" s="195">
        <f>'P&amp;L consol'!BM12/AVERAGE('BS Consol'!H94:I94)</f>
        <v>11.111290069976564</v>
      </c>
      <c r="J35" s="195">
        <f>'P&amp;L consol'!BN12/AVERAGE('BS Consol'!I94:J94)</f>
        <v>13.349024131162135</v>
      </c>
      <c r="K35" s="195">
        <f>'P&amp;L consol'!BO12/AVERAGE('BS Consol'!J94:K94)</f>
        <v>13.00526892909684</v>
      </c>
      <c r="L35" s="195">
        <f>'P&amp;L consol'!BP12/AVERAGE('BS Consol'!K94:L94)</f>
        <v>12.397573249651121</v>
      </c>
    </row>
    <row r="36" spans="1:20">
      <c r="A36" s="189" t="s">
        <v>742</v>
      </c>
      <c r="B36" s="195" t="e">
        <v>#REF!</v>
      </c>
      <c r="C36" s="195">
        <f>'P&amp;L consol'!BG12/(('BS Consol'!B40+'BS Consol'!B42+'BS Consol'!C40+'BS Consol'!C42)/2)</f>
        <v>10.178567084296315</v>
      </c>
      <c r="D36" s="195">
        <f>'P&amp;L consol'!BH12/(('BS Consol'!C40+'BS Consol'!C42+'BS Consol'!D40+'BS Consol'!D42)/2)</f>
        <v>12.244747899159664</v>
      </c>
      <c r="E36" s="195">
        <f>'P&amp;L consol'!BI12/(('BS Consol'!D40+'BS Consol'!D42+'BS Consol'!E40+'BS Consol'!E42)/2)</f>
        <v>15.807323666748587</v>
      </c>
      <c r="F36" s="195">
        <f>'P&amp;L consol'!BJ12/(('BS Consol'!E40+'BS Consol'!E42+'BS Consol'!F40+'BS Consol'!F42)/2)</f>
        <v>17.733377586016154</v>
      </c>
      <c r="G36" s="195">
        <f>'P&amp;L consol'!BK12/(('BS Consol'!F40+'BS Consol'!F42+'BS Consol'!G40+'BS Consol'!G42)/2)</f>
        <v>19.578181027925677</v>
      </c>
      <c r="H36" s="195">
        <f>'P&amp;L consol'!BL12/(('BS Consol'!G40+'BS Consol'!G42+'BS Consol'!H40+'BS Consol'!H42)/2)</f>
        <v>19.460509348807221</v>
      </c>
      <c r="I36" s="195">
        <f>'P&amp;L consol'!BM12/(('BS Consol'!H40+'BS Consol'!H42+'BS Consol'!I40+'BS Consol'!I42)/2)</f>
        <v>19.112910743416453</v>
      </c>
      <c r="J36" s="195">
        <f>'P&amp;L consol'!BN12/(('BS Consol'!I40+'BS Consol'!I42+'BS Consol'!J40+'BS Consol'!J42)/2)</f>
        <v>24.99256259250868</v>
      </c>
      <c r="K36" s="195">
        <f>'P&amp;L consol'!BO12/(('BS Consol'!J40+'BS Consol'!J42+'BS Consol'!K40+'BS Consol'!K42)/2)</f>
        <v>26.909259544459864</v>
      </c>
      <c r="L36" s="195">
        <f>'P&amp;L consol'!BP12/(('BS Consol'!K40+'BS Consol'!K42+'BS Consol'!L40+'BS Consol'!L42)/2)</f>
        <v>27.247011795494508</v>
      </c>
    </row>
    <row r="37" spans="1:20">
      <c r="A37" s="189" t="s">
        <v>743</v>
      </c>
      <c r="B37" s="191">
        <v>0.86990776325903152</v>
      </c>
      <c r="C37" s="191">
        <f>'Cashflow consol'!I47/'P&amp;L consol'!BG39</f>
        <v>0.54307664166819092</v>
      </c>
      <c r="D37" s="191">
        <f>'Cashflow consol'!J47/'P&amp;L consol'!BH39</f>
        <v>1.2644326476443264</v>
      </c>
      <c r="E37" s="191">
        <f>'Cashflow consol'!K47/'P&amp;L consol'!BI39</f>
        <v>0.86196802521954519</v>
      </c>
      <c r="F37" s="191">
        <f>'Cashflow consol'!L47/'P&amp;L consol'!BJ39</f>
        <v>0.82882804325078474</v>
      </c>
      <c r="G37" s="191">
        <f>'Cashflow consol'!M47/'P&amp;L consol'!BK39</f>
        <v>0.74073466710396851</v>
      </c>
      <c r="H37" s="191">
        <f>'Cashflow consol'!N47/'P&amp;L consol'!BL39</f>
        <v>0.95588008035852268</v>
      </c>
      <c r="I37" s="191">
        <f>'Cashflow consol'!O47/'P&amp;L consol'!BM39</f>
        <v>0.75775005286529917</v>
      </c>
      <c r="J37" s="191">
        <f>'Cashflow consol'!P47/'P&amp;L consol'!BN39</f>
        <v>0.78096551227775324</v>
      </c>
      <c r="K37" s="191">
        <f>'Cashflow consol'!Q47/'P&amp;L consol'!BO39</f>
        <v>0.90940540688610183</v>
      </c>
      <c r="L37" s="191">
        <f>'Cashflow consol'!R47/'P&amp;L consol'!BP39</f>
        <v>0.91357467641886658</v>
      </c>
    </row>
    <row r="38" spans="1:20">
      <c r="A38" s="189" t="s">
        <v>744</v>
      </c>
      <c r="B38" s="193">
        <v>57.551819813938309</v>
      </c>
      <c r="C38" s="193">
        <f>'BS Consol'!C143</f>
        <v>73.696790076244653</v>
      </c>
      <c r="D38" s="193">
        <f>'BS Consol'!D143</f>
        <v>82.480054902633611</v>
      </c>
      <c r="E38" s="193">
        <f>'BS Consol'!E143</f>
        <v>77.764925373134318</v>
      </c>
      <c r="F38" s="193">
        <f>'BS Consol'!F143</f>
        <v>72.45726549047987</v>
      </c>
      <c r="G38" s="193">
        <f>'BS Consol'!G143</f>
        <v>72.084716225066316</v>
      </c>
      <c r="H38" s="193">
        <f>'BS Consol'!H143</f>
        <v>76.843613593632227</v>
      </c>
      <c r="I38" s="193">
        <f>'BS Consol'!I143</f>
        <v>87.131996561541698</v>
      </c>
      <c r="J38" s="193">
        <f>'BS Consol'!J143</f>
        <v>87</v>
      </c>
      <c r="K38" s="193">
        <f>'BS Consol'!K143</f>
        <v>87</v>
      </c>
      <c r="L38" s="193">
        <f>'BS Consol'!L143</f>
        <v>87</v>
      </c>
      <c r="P38" s="319"/>
      <c r="Q38" s="319"/>
      <c r="R38" s="319"/>
      <c r="S38" s="319"/>
      <c r="T38" s="319"/>
    </row>
    <row r="39" spans="1:20">
      <c r="A39" s="189" t="s">
        <v>745</v>
      </c>
      <c r="B39" s="193">
        <v>0</v>
      </c>
      <c r="C39" s="193">
        <v>0</v>
      </c>
      <c r="D39" s="193">
        <v>0</v>
      </c>
      <c r="E39" s="193">
        <v>0</v>
      </c>
      <c r="F39" s="193">
        <v>0</v>
      </c>
      <c r="G39" s="193">
        <v>0</v>
      </c>
      <c r="H39" s="193">
        <v>0</v>
      </c>
      <c r="I39" s="193">
        <v>0</v>
      </c>
      <c r="J39" s="193">
        <v>0</v>
      </c>
      <c r="K39" s="193">
        <v>0</v>
      </c>
      <c r="L39" s="193">
        <v>0</v>
      </c>
      <c r="P39" s="319"/>
      <c r="Q39" s="319"/>
      <c r="R39" s="319"/>
      <c r="S39" s="319"/>
      <c r="T39" s="319"/>
    </row>
    <row r="40" spans="1:20">
      <c r="A40" s="189" t="s">
        <v>746</v>
      </c>
      <c r="B40" s="193">
        <v>19.561860772022435</v>
      </c>
      <c r="C40" s="193">
        <f>'BS Consol'!C137</f>
        <v>27.372553547716642</v>
      </c>
      <c r="D40" s="193">
        <f>'BS Consol'!D137</f>
        <v>31.55711484882881</v>
      </c>
      <c r="E40" s="193">
        <f>'BS Consol'!E137</f>
        <v>41.710867847872699</v>
      </c>
      <c r="F40" s="193">
        <f>'BS Consol'!F137</f>
        <v>35.301166538060009</v>
      </c>
      <c r="G40" s="193">
        <f>'BS Consol'!G137</f>
        <v>38.738404452690169</v>
      </c>
      <c r="H40" s="193">
        <f>'BS Consol'!H137</f>
        <v>34.370670917258373</v>
      </c>
      <c r="I40" s="193">
        <f>'BS Consol'!I137</f>
        <v>47.853372565755485</v>
      </c>
      <c r="J40" s="193">
        <f>'BS Consol'!J137</f>
        <v>48</v>
      </c>
      <c r="K40" s="193">
        <f>'BS Consol'!K137</f>
        <v>48</v>
      </c>
      <c r="L40" s="193">
        <f>'BS Consol'!L137</f>
        <v>48</v>
      </c>
    </row>
    <row r="41" spans="1:20">
      <c r="A41" s="189" t="s">
        <v>48</v>
      </c>
      <c r="B41" s="193">
        <v>37.989959041915874</v>
      </c>
      <c r="C41" s="193">
        <f t="shared" ref="C41:K41" si="0">C38+C39-C40</f>
        <v>46.324236528528012</v>
      </c>
      <c r="D41" s="193">
        <f t="shared" si="0"/>
        <v>50.922940053804801</v>
      </c>
      <c r="E41" s="193">
        <f t="shared" si="0"/>
        <v>36.054057525261619</v>
      </c>
      <c r="F41" s="193">
        <f t="shared" si="0"/>
        <v>37.15609895241986</v>
      </c>
      <c r="G41" s="193">
        <f t="shared" si="0"/>
        <v>33.346311772376147</v>
      </c>
      <c r="H41" s="193">
        <f t="shared" si="0"/>
        <v>42.472942676373854</v>
      </c>
      <c r="I41" s="193">
        <f t="shared" si="0"/>
        <v>39.278623995786212</v>
      </c>
      <c r="J41" s="193">
        <f t="shared" si="0"/>
        <v>39</v>
      </c>
      <c r="K41" s="193">
        <f t="shared" si="0"/>
        <v>39</v>
      </c>
      <c r="L41" s="193">
        <f>L38+L39-L40</f>
        <v>39</v>
      </c>
    </row>
    <row r="42" spans="1:20">
      <c r="A42" s="189" t="s">
        <v>747</v>
      </c>
      <c r="B42" s="193"/>
      <c r="C42" s="193"/>
      <c r="D42" s="193"/>
      <c r="E42" s="193"/>
      <c r="F42" s="193"/>
      <c r="G42" s="193"/>
      <c r="H42" s="193"/>
      <c r="I42" s="193"/>
      <c r="J42" s="193"/>
      <c r="K42" s="193"/>
      <c r="L42" s="193"/>
    </row>
    <row r="43" spans="1:20">
      <c r="A43" s="189" t="s">
        <v>748</v>
      </c>
      <c r="B43" s="471">
        <v>119.06969152929656</v>
      </c>
      <c r="C43" s="471">
        <f>C57*360/'P&amp;L consol'!BG12</f>
        <v>116.74466406940893</v>
      </c>
      <c r="D43" s="471">
        <f>D57*360/'P&amp;L consol'!BH12</f>
        <v>96.60118383803723</v>
      </c>
      <c r="E43" s="471">
        <f>E57*360/'P&amp;L consol'!BI12</f>
        <v>58.304104477611943</v>
      </c>
      <c r="F43" s="471">
        <f>F57*360/'P&amp;L consol'!BJ12</f>
        <v>38.948419135078481</v>
      </c>
      <c r="G43" s="471">
        <f>G57*360/'P&amp;L consol'!BK12</f>
        <v>42.797677851902009</v>
      </c>
      <c r="H43" s="471">
        <f>H57*360/'P&amp;L consol'!BL12</f>
        <v>48.105157661948269</v>
      </c>
      <c r="I43" s="471">
        <f>I57*360/'P&amp;L consol'!BM12</f>
        <v>49.083626476128927</v>
      </c>
      <c r="J43" s="471">
        <f>J57*360/'P&amp;L consol'!BN12</f>
        <v>133.54596857517865</v>
      </c>
      <c r="K43" s="471">
        <f>K57*360/'P&amp;L consol'!BO12</f>
        <v>132.52016838897435</v>
      </c>
      <c r="L43" s="471">
        <f>L57*360/'P&amp;L consol'!BP12</f>
        <v>135.50804257171913</v>
      </c>
    </row>
    <row r="44" spans="1:20">
      <c r="A44" s="189" t="s">
        <v>749</v>
      </c>
      <c r="B44" s="471">
        <v>33.579239432022199</v>
      </c>
      <c r="C44" s="471">
        <f>C58*360/'P&amp;L consol'!BG12</f>
        <v>45.052702024426971</v>
      </c>
      <c r="D44" s="471">
        <f>D58*360/'P&amp;L consol'!BH12</f>
        <v>33.886077035257784</v>
      </c>
      <c r="E44" s="471">
        <f>E58*360/'P&amp;L consol'!BI12</f>
        <v>33.296641791044777</v>
      </c>
      <c r="F44" s="471">
        <f>F58*360/'P&amp;L consol'!BJ12</f>
        <v>13.349636912634443</v>
      </c>
      <c r="G44" s="471">
        <f>G58*360/'P&amp;L consol'!BK12</f>
        <v>29.958374496331405</v>
      </c>
      <c r="H44" s="471">
        <f>H58*360/'P&amp;L consol'!BL12</f>
        <v>20.037603637779231</v>
      </c>
      <c r="I44" s="471">
        <f>I58*360/'P&amp;L consol'!BM12</f>
        <v>25.08172435025941</v>
      </c>
      <c r="J44" s="471">
        <f>J58*360/'P&amp;L consol'!BN12</f>
        <v>33.717344596692371</v>
      </c>
      <c r="K44" s="471">
        <f>K58*360/'P&amp;L consol'!BO12</f>
        <v>36.30509874895688</v>
      </c>
      <c r="L44" s="471">
        <f>L58*360/'P&amp;L consol'!BP12</f>
        <v>37.970469935852165</v>
      </c>
    </row>
    <row r="45" spans="1:20">
      <c r="A45" s="189" t="s">
        <v>750</v>
      </c>
      <c r="B45" s="193">
        <v>37.989959041915874</v>
      </c>
      <c r="C45" s="193">
        <f t="shared" ref="C45:J45" si="1">C38+C39-C40</f>
        <v>46.324236528528012</v>
      </c>
      <c r="D45" s="193">
        <f t="shared" si="1"/>
        <v>50.922940053804801</v>
      </c>
      <c r="E45" s="193">
        <f t="shared" si="1"/>
        <v>36.054057525261619</v>
      </c>
      <c r="F45" s="193">
        <f t="shared" si="1"/>
        <v>37.15609895241986</v>
      </c>
      <c r="G45" s="193">
        <f t="shared" si="1"/>
        <v>33.346311772376147</v>
      </c>
      <c r="H45" s="193">
        <f t="shared" si="1"/>
        <v>42.472942676373854</v>
      </c>
      <c r="I45" s="193">
        <f t="shared" si="1"/>
        <v>39.278623995786212</v>
      </c>
      <c r="J45" s="193">
        <f t="shared" si="1"/>
        <v>39</v>
      </c>
      <c r="K45" s="193">
        <f t="shared" ref="K45:L45" si="2">K38+K39-K40</f>
        <v>39</v>
      </c>
      <c r="L45" s="193">
        <f t="shared" si="2"/>
        <v>39</v>
      </c>
    </row>
    <row r="46" spans="1:20">
      <c r="B46" s="193"/>
      <c r="C46" s="193"/>
      <c r="D46" s="193"/>
      <c r="E46" s="193"/>
      <c r="F46" s="193"/>
      <c r="G46" s="193"/>
      <c r="H46" s="193"/>
      <c r="I46" s="193"/>
      <c r="J46" s="193"/>
      <c r="K46" s="193"/>
      <c r="L46" s="193"/>
    </row>
    <row r="47" spans="1:20">
      <c r="A47" s="190" t="s">
        <v>751</v>
      </c>
      <c r="B47" s="190"/>
      <c r="C47" s="190"/>
      <c r="D47" s="190"/>
      <c r="E47" s="190"/>
      <c r="F47" s="190"/>
      <c r="G47" s="190"/>
      <c r="H47" s="190"/>
      <c r="I47" s="190"/>
      <c r="J47" s="190"/>
      <c r="K47" s="190"/>
      <c r="L47" s="190"/>
    </row>
    <row r="48" spans="1:20">
      <c r="A48" s="189" t="s">
        <v>752</v>
      </c>
      <c r="B48" s="195">
        <v>11.125618845547033</v>
      </c>
      <c r="C48" s="195">
        <f t="shared" ref="C48:G48" si="3">C25</f>
        <v>10.781806448528885</v>
      </c>
      <c r="D48" s="195">
        <f t="shared" si="3"/>
        <v>10.154842583855196</v>
      </c>
      <c r="E48" s="195">
        <f t="shared" si="3"/>
        <v>10.287624378109452</v>
      </c>
      <c r="F48" s="195">
        <f t="shared" si="3"/>
        <v>10.127766825543382</v>
      </c>
      <c r="G48" s="195">
        <f t="shared" si="3"/>
        <v>9.4199069808744671</v>
      </c>
      <c r="H48" s="195">
        <f t="shared" ref="H48:J48" si="4">H25</f>
        <v>6.7264128283070903</v>
      </c>
      <c r="I48" s="466">
        <f t="shared" si="4"/>
        <v>8.3803276289879101</v>
      </c>
      <c r="J48" s="466">
        <f t="shared" si="4"/>
        <v>10.076864689383504</v>
      </c>
      <c r="K48" s="466">
        <f t="shared" ref="K48:L48" si="5">K25</f>
        <v>10.352299055116152</v>
      </c>
      <c r="L48" s="466">
        <f t="shared" si="5"/>
        <v>10.215011555009093</v>
      </c>
    </row>
    <row r="49" spans="1:12">
      <c r="A49" s="189" t="s">
        <v>753</v>
      </c>
      <c r="B49" s="195">
        <v>1.2793902693673</v>
      </c>
      <c r="C49" s="195">
        <f t="shared" ref="C49:G49" si="6">C34</f>
        <v>1.3254450991573212</v>
      </c>
      <c r="D49" s="195">
        <f t="shared" si="6"/>
        <v>1.2719213300781516</v>
      </c>
      <c r="E49" s="195">
        <f t="shared" si="6"/>
        <v>1.4541344034363872</v>
      </c>
      <c r="F49" s="195">
        <f t="shared" si="6"/>
        <v>1.5068153189569271</v>
      </c>
      <c r="G49" s="195">
        <f t="shared" si="6"/>
        <v>1.5280847418815886</v>
      </c>
      <c r="H49" s="195">
        <f t="shared" ref="H49:J49" si="7">H34</f>
        <v>1.2983159841706813</v>
      </c>
      <c r="I49" s="466">
        <f t="shared" si="7"/>
        <v>1.1984977403998962</v>
      </c>
      <c r="J49" s="466">
        <f t="shared" si="7"/>
        <v>0.90677884166007727</v>
      </c>
      <c r="K49" s="466">
        <f t="shared" ref="K49:L49" si="8">K34</f>
        <v>0.72795443691828365</v>
      </c>
      <c r="L49" s="466">
        <f t="shared" si="8"/>
        <v>0.80007327195963929</v>
      </c>
    </row>
    <row r="50" spans="1:12">
      <c r="A50" s="189" t="s">
        <v>754</v>
      </c>
      <c r="B50" s="195">
        <v>1.386575302803648</v>
      </c>
      <c r="C50" s="195">
        <f>AVERAGE('BS Consol'!B69:C69)/AVERAGE('BS Consol'!B7:C7)</f>
        <v>1.4127282491944146</v>
      </c>
      <c r="D50" s="195">
        <f>AVERAGE('BS Consol'!C69,'BS Consol'!D69)/AVERAGE('BS Consol'!C7,'BS Consol'!D7)</f>
        <v>1.5078147493110681</v>
      </c>
      <c r="E50" s="195">
        <f>AVERAGE('BS Consol'!D69:E69)/AVERAGE('BS Consol'!D7:E7)</f>
        <v>1.7015117710416987</v>
      </c>
      <c r="F50" s="195">
        <f>AVERAGE('BS Consol'!E69:F69)/AVERAGE('BS Consol'!E7:F7)</f>
        <v>1.8291835752115002</v>
      </c>
      <c r="G50" s="195">
        <f>AVERAGE('BS Consol'!F69:G69)/AVERAGE('BS Consol'!F7:G7)</f>
        <v>1.7574786484029155</v>
      </c>
      <c r="H50" s="195">
        <f>AVERAGE('BS Consol'!G69:H69)/AVERAGE('BS Consol'!G7:H7)</f>
        <v>1.8587619180875092</v>
      </c>
      <c r="I50" s="466">
        <f>AVERAGE('BS Consol'!H69:I69)/AVERAGE('BS Consol'!H7:I7)</f>
        <v>1.7196986831523924</v>
      </c>
      <c r="J50" s="466">
        <f>AVERAGE('BS Consol'!I69:J69)/AVERAGE('BS Consol'!I7:J7)</f>
        <v>1.4396312650687582</v>
      </c>
      <c r="K50" s="466">
        <f>AVERAGE('BS Consol'!J69:K69)/AVERAGE('BS Consol'!J7:K7)</f>
        <v>1.3920996134653736</v>
      </c>
      <c r="L50" s="466">
        <f>AVERAGE('BS Consol'!K69:L69)/AVERAGE('BS Consol'!K7:L7)</f>
        <v>1.3779165691626389</v>
      </c>
    </row>
    <row r="51" spans="1:12">
      <c r="A51" s="196" t="s">
        <v>755</v>
      </c>
      <c r="B51" s="197">
        <v>19.736524634464121</v>
      </c>
      <c r="C51" s="197">
        <f t="shared" ref="C51:G51" si="9">C48*C49*C50</f>
        <v>20.188865019692088</v>
      </c>
      <c r="D51" s="197">
        <f t="shared" si="9"/>
        <v>19.475177888372478</v>
      </c>
      <c r="E51" s="197">
        <f t="shared" si="9"/>
        <v>25.453915987074932</v>
      </c>
      <c r="F51" s="197">
        <f t="shared" si="9"/>
        <v>27.914574592475407</v>
      </c>
      <c r="G51" s="197">
        <f t="shared" si="9"/>
        <v>25.297879000163952</v>
      </c>
      <c r="H51" s="197">
        <f t="shared" ref="H51:J51" si="10">H48*H49*H50</f>
        <v>16.232585100641625</v>
      </c>
      <c r="I51" s="197">
        <f t="shared" si="10"/>
        <v>17.272316043425811</v>
      </c>
      <c r="J51" s="197">
        <f t="shared" si="10"/>
        <v>13.154612963575172</v>
      </c>
      <c r="K51" s="197">
        <f t="shared" ref="K51:L51" si="11">K48*K49*K50</f>
        <v>10.490865512308867</v>
      </c>
      <c r="L51" s="197">
        <f t="shared" si="11"/>
        <v>11.261378275276076</v>
      </c>
    </row>
    <row r="52" spans="1:12">
      <c r="B52" s="193"/>
      <c r="C52" s="193"/>
      <c r="D52" s="193"/>
      <c r="E52" s="193"/>
      <c r="F52" s="193"/>
      <c r="G52" s="193"/>
      <c r="H52" s="193"/>
      <c r="I52" s="193"/>
      <c r="J52" s="193"/>
      <c r="K52" s="193"/>
      <c r="L52" s="193"/>
    </row>
    <row r="53" spans="1:12">
      <c r="A53" s="190" t="s">
        <v>756</v>
      </c>
      <c r="B53" s="190"/>
      <c r="C53" s="190"/>
      <c r="D53" s="190"/>
      <c r="E53" s="190"/>
      <c r="F53" s="190"/>
      <c r="G53" s="190"/>
      <c r="H53" s="190"/>
      <c r="I53" s="190"/>
      <c r="J53" s="190"/>
      <c r="K53" s="190"/>
      <c r="L53" s="190"/>
    </row>
    <row r="54" spans="1:12">
      <c r="A54" s="189" t="s">
        <v>757</v>
      </c>
      <c r="B54" s="191">
        <v>0</v>
      </c>
      <c r="C54" s="191">
        <f>('BS Consol'!C29+'BS Consol'!C30+'BS Consol'!C18)/'BS Consol'!C7</f>
        <v>0</v>
      </c>
      <c r="D54" s="191">
        <f>('BS Consol'!D29+'BS Consol'!D30+'BS Consol'!D18+'BS Consol'!D12)/'BS Consol'!D7</f>
        <v>2.2342970682454076E-2</v>
      </c>
      <c r="E54" s="191">
        <f>('BS Consol'!E29+'BS Consol'!E30+'BS Consol'!E18+'BS Consol'!E12)/'BS Consol'!E7</f>
        <v>0.17913724342321904</v>
      </c>
      <c r="F54" s="191">
        <f>('BS Consol'!F29+'BS Consol'!F30+'BS Consol'!F18+'BS Consol'!F12)/'BS Consol'!F7</f>
        <v>0.18238442822384429</v>
      </c>
      <c r="G54" s="191">
        <f>('BS Consol'!G29+'BS Consol'!G30+'BS Consol'!G18+'BS Consol'!G12)/'BS Consol'!G7</f>
        <v>0.20018750344675454</v>
      </c>
      <c r="H54" s="191">
        <f>('BS Consol'!H29+'BS Consol'!H30+'BS Consol'!H18+'BS Consol'!H12)/'BS Consol'!H7</f>
        <v>0.16779533483822423</v>
      </c>
      <c r="I54" s="191">
        <f>('BS Consol'!I29+'BS Consol'!I30+'BS Consol'!I18+'BS Consol'!I12)/'BS Consol'!I7</f>
        <v>7.6308505284348266E-2</v>
      </c>
      <c r="J54" s="191">
        <f>('BS Consol'!J29+'BS Consol'!J30+'BS Consol'!J18+'BS Consol'!J12)/'BS Consol'!J7</f>
        <v>0.2070291864706508</v>
      </c>
      <c r="K54" s="191">
        <f>('BS Consol'!K29+'BS Consol'!K30+'BS Consol'!K18+'BS Consol'!K12)/'BS Consol'!K7</f>
        <v>0.18964141656935235</v>
      </c>
      <c r="L54" s="191">
        <f>('BS Consol'!L29+'BS Consol'!L30+'BS Consol'!L18+'BS Consol'!L12)/'BS Consol'!L7</f>
        <v>0.17271299452674882</v>
      </c>
    </row>
    <row r="55" spans="1:12">
      <c r="A55" s="189" t="s">
        <v>758</v>
      </c>
      <c r="B55" s="191">
        <v>-0.26907301066447908</v>
      </c>
      <c r="C55" s="191">
        <f>('BS Consol'!C29+'BS Consol'!C30+'BS Consol'!C18-'BS Consol'!C60-'BS Consol'!C61)/'BS Consol'!C7</f>
        <v>-0.37696640934696435</v>
      </c>
      <c r="D55" s="191">
        <f>('BS Consol'!D29+'BS Consol'!D30+'BS Consol'!D18-'BS Consol'!D60-'BS Consol'!D61)/'BS Consol'!D7</f>
        <v>-0.30712460970763555</v>
      </c>
      <c r="E55" s="191">
        <f>('BS Consol'!E29+'BS Consol'!E30+'BS Consol'!E18-'BS Consol'!E60-'BS Consol'!E61)/'BS Consol'!E7</f>
        <v>-0.10991182174088032</v>
      </c>
      <c r="F55" s="191">
        <f>('BS Consol'!F29+'BS Consol'!F30+'BS Consol'!F18-'BS Consol'!F60-'BS Consol'!F61)/'BS Consol'!F7</f>
        <v>-0.11506893755068938</v>
      </c>
      <c r="G55" s="191">
        <f>('BS Consol'!G29+'BS Consol'!G30+'BS Consol'!G18-'BS Consol'!G60-'BS Consol'!G61)/'BS Consol'!G7</f>
        <v>1.4035184470302763E-2</v>
      </c>
      <c r="H55" s="191">
        <f>('BS Consol'!H29+'BS Consol'!H30+'BS Consol'!H18-'BS Consol'!H60-'BS Consol'!H61)/'BS Consol'!H7</f>
        <v>2.8295084023074995E-2</v>
      </c>
      <c r="I55" s="191">
        <f>('BS Consol'!I29+'BS Consol'!I30+'BS Consol'!I18-'BS Consol'!I60-'BS Consol'!I61)/'BS Consol'!I7</f>
        <v>-5.1176396577755412E-2</v>
      </c>
      <c r="J55" s="191">
        <f>('BS Consol'!J29+'BS Consol'!J30+'BS Consol'!J18-'BS Consol'!J60-'BS Consol'!J61)/'BS Consol'!J7</f>
        <v>-0.22040233506454049</v>
      </c>
      <c r="K55" s="191">
        <f>('BS Consol'!K29+'BS Consol'!K30+'BS Consol'!K18-'BS Consol'!K60-'BS Consol'!K61)/'BS Consol'!K7</f>
        <v>-0.24091360461009495</v>
      </c>
      <c r="L55" s="191">
        <f>('BS Consol'!L29+'BS Consol'!L30+'BS Consol'!L18-'BS Consol'!L60-'BS Consol'!L61)/'BS Consol'!L7</f>
        <v>-0.26850678832685232</v>
      </c>
    </row>
    <row r="56" spans="1:12">
      <c r="A56" s="189" t="s">
        <v>759</v>
      </c>
      <c r="B56" s="191">
        <v>0</v>
      </c>
      <c r="C56" s="191">
        <f>-'P&amp;L consol'!BG48/AVERAGE('BS Consol'!B85:C85)*100</f>
        <v>0</v>
      </c>
      <c r="D56" s="191">
        <f>-'P&amp;L consol'!BH48/AVERAGE('BS Consol'!C85:D85)*100</f>
        <v>0</v>
      </c>
      <c r="E56" s="191">
        <f>-'P&amp;L consol'!BI48/AVERAGE('BS Consol'!D85:E85)*100</f>
        <v>23.866348448687351</v>
      </c>
      <c r="F56" s="191">
        <f>-'P&amp;L consol'!BJ48/AVERAGE('BS Consol'!E85:F85)*100</f>
        <v>15.326107625023768</v>
      </c>
      <c r="G56" s="191">
        <f>-'P&amp;L consol'!BK48/AVERAGE('BS Consol'!F85:G85)*100</f>
        <v>19.484552088185065</v>
      </c>
      <c r="H56" s="191">
        <f>-'P&amp;L consol'!BL48/AVERAGE('BS Consol'!G85:H85)*100</f>
        <v>-3.3400133600534407</v>
      </c>
      <c r="I56" s="191">
        <f>-'P&amp;L consol'!BM48/AVERAGE('BS Consol'!H85:I85)*100</f>
        <v>10.61061061061061</v>
      </c>
      <c r="J56" s="191">
        <f>-'P&amp;L consol'!BN48/AVERAGE('BS Consol'!I85:J85)*100</f>
        <v>46.455482275350377</v>
      </c>
      <c r="K56" s="191">
        <f>-'P&amp;L consol'!BO48/AVERAGE('BS Consol'!J85:K85)*100</f>
        <v>35.494645852690532</v>
      </c>
      <c r="L56" s="191">
        <f>-'P&amp;L consol'!BP48/AVERAGE('BS Consol'!K85:L85)*100</f>
        <v>24.072043594713872</v>
      </c>
    </row>
    <row r="57" spans="1:12">
      <c r="A57" s="189" t="s">
        <v>760</v>
      </c>
      <c r="B57" s="350">
        <v>12159</v>
      </c>
      <c r="C57" s="350">
        <f>'BS Consol'!C147</f>
        <v>13568</v>
      </c>
      <c r="D57" s="350">
        <f>'BS Consol'!D147</f>
        <v>12512</v>
      </c>
      <c r="E57" s="350">
        <f>'BS Consol'!E147</f>
        <v>10417</v>
      </c>
      <c r="F57" s="350">
        <f>'BS Consol'!F147</f>
        <v>8671</v>
      </c>
      <c r="G57" s="350">
        <f>'BS Consol'!G147</f>
        <v>10710</v>
      </c>
      <c r="H57" s="350">
        <f>'BS Consol'!H147</f>
        <v>16133</v>
      </c>
      <c r="I57" s="350">
        <f>'BS Consol'!I147</f>
        <v>22364</v>
      </c>
      <c r="J57" s="350">
        <f>'BS Consol'!J147</f>
        <v>91964.895279866221</v>
      </c>
      <c r="K57" s="350">
        <f>'BS Consol'!K147</f>
        <v>110451.71712672246</v>
      </c>
      <c r="L57" s="350">
        <f>'BS Consol'!L147</f>
        <v>133330.81671960544</v>
      </c>
    </row>
    <row r="58" spans="1:12">
      <c r="A58" s="189" t="s">
        <v>761</v>
      </c>
      <c r="B58" s="350">
        <v>3429</v>
      </c>
      <c r="C58" s="350">
        <f>C57-'BS Consol'!C58-'BS Consol'!C60</f>
        <v>5236</v>
      </c>
      <c r="D58" s="350">
        <f>D57-'BS Consol'!D58-'BS Consol'!D60</f>
        <v>4389</v>
      </c>
      <c r="E58" s="350">
        <f>E57-'BS Consol'!E58-'BS Consol'!E60</f>
        <v>5949</v>
      </c>
      <c r="F58" s="350">
        <f>F57-'BS Consol'!F58-'BS Consol'!F60</f>
        <v>2972</v>
      </c>
      <c r="G58" s="350">
        <f>G57-'BS Consol'!G58-'BS Consol'!G60</f>
        <v>7497</v>
      </c>
      <c r="H58" s="350">
        <f>H57-'BS Consol'!H58-'BS Consol'!H60</f>
        <v>6720</v>
      </c>
      <c r="I58" s="350">
        <f>I57-'BS Consol'!I58-'BS Consol'!I60</f>
        <v>11428</v>
      </c>
      <c r="J58" s="350">
        <f>J57-'BS Consol'!J58-'BS Consol'!J60</f>
        <v>23219.061556353903</v>
      </c>
      <c r="K58" s="350">
        <f>K57-'BS Consol'!K58-'BS Consol'!K60</f>
        <v>30259.246920871999</v>
      </c>
      <c r="L58" s="350">
        <f>L57-'BS Consol'!L58-'BS Consol'!L60</f>
        <v>37360.393314625137</v>
      </c>
    </row>
    <row r="59" spans="1:12">
      <c r="A59" s="189" t="s">
        <v>762</v>
      </c>
      <c r="B59" s="191">
        <v>0.33074914313693488</v>
      </c>
      <c r="C59" s="191">
        <f>C57/'P&amp;L consol'!BG12</f>
        <v>0.32429073352613591</v>
      </c>
      <c r="D59" s="191">
        <f>D57/'P&amp;L consol'!BH12</f>
        <v>0.26833662177232565</v>
      </c>
      <c r="E59" s="191">
        <f>E57/'P&amp;L consol'!BI12</f>
        <v>0.16195584577114427</v>
      </c>
      <c r="F59" s="191">
        <f>F57/'P&amp;L consol'!BJ12</f>
        <v>0.10819005315299578</v>
      </c>
      <c r="G59" s="191">
        <f>G57/'P&amp;L consol'!BK12</f>
        <v>0.11888243847750558</v>
      </c>
      <c r="H59" s="191">
        <f>H57/'P&amp;L consol'!BL12</f>
        <v>0.13362543794985629</v>
      </c>
      <c r="I59" s="191">
        <f>I57/'P&amp;L consol'!BM12</f>
        <v>0.13634340687813593</v>
      </c>
      <c r="J59" s="191">
        <f>J57/'P&amp;L consol'!BN12</f>
        <v>0.37096102381994067</v>
      </c>
      <c r="K59" s="191">
        <f>K57/'P&amp;L consol'!BO12</f>
        <v>0.36811157885826207</v>
      </c>
      <c r="L59" s="191">
        <f>L57/'P&amp;L consol'!BP12</f>
        <v>0.37641122936588645</v>
      </c>
    </row>
    <row r="60" spans="1:12">
      <c r="A60" s="189" t="s">
        <v>763</v>
      </c>
      <c r="B60" s="191">
        <v>9.3275665088950549E-2</v>
      </c>
      <c r="C60" s="191">
        <f>C58/'P&amp;L consol'!BG12</f>
        <v>0.12514639451229714</v>
      </c>
      <c r="D60" s="191">
        <f>D58/'P&amp;L consol'!BH12</f>
        <v>9.4127991764604957E-2</v>
      </c>
      <c r="E60" s="191">
        <f>E58/'P&amp;L consol'!BI12</f>
        <v>9.2490671641791047E-2</v>
      </c>
      <c r="F60" s="191">
        <f>F58/'P&amp;L consol'!BJ12</f>
        <v>3.7082324757317896E-2</v>
      </c>
      <c r="G60" s="191">
        <f>G58/'P&amp;L consol'!BK12</f>
        <v>8.3217706934253899E-2</v>
      </c>
      <c r="H60" s="191">
        <f>H58/'P&amp;L consol'!BL12</f>
        <v>5.5660010104942308E-2</v>
      </c>
      <c r="I60" s="191">
        <f>I58/'P&amp;L consol'!BM12</f>
        <v>6.9671456528498363E-2</v>
      </c>
      <c r="J60" s="191">
        <f>J58/'P&amp;L consol'!BN12</f>
        <v>9.3659290546367693E-2</v>
      </c>
      <c r="K60" s="191">
        <f>K58/'P&amp;L consol'!BO12</f>
        <v>0.10084749652488022</v>
      </c>
      <c r="L60" s="191">
        <f>L58/'P&amp;L consol'!BP12</f>
        <v>0.10547352759958933</v>
      </c>
    </row>
    <row r="61" spans="1:12">
      <c r="A61" s="189" t="s">
        <v>764</v>
      </c>
      <c r="B61" s="191">
        <v>0</v>
      </c>
      <c r="C61" s="191">
        <f>-'P&amp;L consol'!BG48/'P&amp;L consol'!BG29</f>
        <v>0</v>
      </c>
      <c r="D61" s="191">
        <f>-'P&amp;L consol'!BH48/'P&amp;L consol'!BH29</f>
        <v>0</v>
      </c>
      <c r="E61" s="191">
        <f>-'P&amp;L consol'!BI48/'P&amp;L consol'!BI29</f>
        <v>5.8275058275058272E-2</v>
      </c>
      <c r="F61" s="191">
        <f>-'P&amp;L consol'!BJ48/'P&amp;L consol'!BJ29</f>
        <v>5.7354301572617949E-2</v>
      </c>
      <c r="G61" s="191">
        <f>-'P&amp;L consol'!BK48/'P&amp;L consol'!BK29</f>
        <v>8.2739978902953593E-2</v>
      </c>
      <c r="H61" s="191">
        <f>-'P&amp;L consol'!BL48/'P&amp;L consol'!BL29</f>
        <v>-1.7423626437449182E-2</v>
      </c>
      <c r="I61" s="191">
        <f>-'P&amp;L consol'!BM48/'P&amp;L consol'!BM29</f>
        <v>3.1315651260504201E-2</v>
      </c>
      <c r="J61" s="191">
        <f>-'P&amp;L consol'!BN48/'P&amp;L consol'!BN29</f>
        <v>6.6221957993939609E-2</v>
      </c>
      <c r="K61" s="191">
        <f>-'P&amp;L consol'!BO48/'P&amp;L consol'!BO29</f>
        <v>5.5442824503302957E-2</v>
      </c>
      <c r="L61" s="191">
        <f>-'P&amp;L consol'!BP48/'P&amp;L consol'!BP29</f>
        <v>4.8433040603261771E-2</v>
      </c>
    </row>
    <row r="63" spans="1:12">
      <c r="A63" s="190" t="s">
        <v>765</v>
      </c>
      <c r="B63" s="190"/>
      <c r="C63" s="190"/>
      <c r="D63" s="190"/>
      <c r="E63" s="190"/>
      <c r="F63" s="190"/>
      <c r="G63" s="190"/>
      <c r="H63" s="190"/>
      <c r="I63" s="190"/>
      <c r="J63" s="190"/>
      <c r="K63" s="190"/>
      <c r="L63" s="190"/>
    </row>
    <row r="64" spans="1:12">
      <c r="A64" s="189" t="s">
        <v>766</v>
      </c>
      <c r="B64" s="195">
        <v>13.1</v>
      </c>
      <c r="C64" s="195">
        <f>'P&amp;L consol'!BG73</f>
        <v>14.280000000000001</v>
      </c>
      <c r="D64" s="195">
        <f>'P&amp;L consol'!BH73</f>
        <v>14.940000000000001</v>
      </c>
      <c r="E64" s="195">
        <f>'P&amp;L consol'!BI73</f>
        <v>21.8</v>
      </c>
      <c r="F64" s="195">
        <f>'P&amp;L consol'!BJ73</f>
        <v>26.619999999999997</v>
      </c>
      <c r="G64" s="195">
        <f>'P&amp;L consol'!BK73</f>
        <v>26.344000000000001</v>
      </c>
      <c r="H64" s="195">
        <f>'P&amp;L consol'!BL73</f>
        <v>24.41</v>
      </c>
      <c r="I64" s="195">
        <f>'P&amp;L consol'!BM73</f>
        <v>40.551532321679069</v>
      </c>
      <c r="J64" s="195">
        <f>'P&amp;L consol'!BN73</f>
        <v>56.034926105302205</v>
      </c>
      <c r="K64" s="195">
        <f>'P&amp;L consol'!BO73</f>
        <v>69.673781214771125</v>
      </c>
      <c r="L64" s="195">
        <f>'P&amp;L consol'!BP73</f>
        <v>81.160816582461521</v>
      </c>
    </row>
    <row r="65" spans="1:12">
      <c r="A65" s="189" t="s">
        <v>767</v>
      </c>
      <c r="B65" s="195">
        <v>17.097261613691931</v>
      </c>
      <c r="C65" s="195">
        <f>('P&amp;L consol'!BG66+'P&amp;L consol'!BG34+'P&amp;L consol'!BG35)/'P&amp;L consol'!BG71</f>
        <v>19.756479716249167</v>
      </c>
      <c r="D65" s="195">
        <f>('P&amp;L consol'!BH66+'P&amp;L consol'!BH34+'P&amp;L consol'!BH35)/'P&amp;L consol'!BH71</f>
        <v>21.500006439344197</v>
      </c>
      <c r="E65" s="195">
        <f>('P&amp;L consol'!BI66+'P&amp;L consol'!BI34+'P&amp;L consol'!BI35)/'P&amp;L consol'!BI71</f>
        <v>29.285204775578059</v>
      </c>
      <c r="F65" s="195">
        <f>('P&amp;L consol'!BJ66+'P&amp;L consol'!BJ34+'P&amp;L consol'!BJ35)/'P&amp;L consol'!BJ71</f>
        <v>35.231523153636843</v>
      </c>
      <c r="G65" s="195">
        <f>('P&amp;L consol'!BK66+'P&amp;L consol'!BK34+'P&amp;L consol'!BK35)/'P&amp;L consol'!BK71</f>
        <v>36.761226017804738</v>
      </c>
      <c r="H65" s="195">
        <f>('P&amp;L consol'!BL66+'P&amp;L consol'!BL34+'P&amp;L consol'!BL35)/'P&amp;L consol'!BL71</f>
        <v>37.262747198620858</v>
      </c>
      <c r="I65" s="195">
        <f>('P&amp;L consol'!BM66+'P&amp;L consol'!BM34+'P&amp;L consol'!BM35)/'P&amp;L consol'!BM71</f>
        <v>60.667995212813189</v>
      </c>
      <c r="J65" s="195">
        <f>('P&amp;L consol'!BN66+'P&amp;L consol'!BN34+'P&amp;L consol'!BN35)/'P&amp;L consol'!BN71</f>
        <v>84.887856763246603</v>
      </c>
      <c r="K65" s="195">
        <f>('P&amp;L consol'!BO66+'P&amp;L consol'!BO34+'P&amp;L consol'!BO35)/'P&amp;L consol'!BO71</f>
        <v>102.1198960333473</v>
      </c>
      <c r="L65" s="195">
        <f>('P&amp;L consol'!BP66+'P&amp;L consol'!BP34+'P&amp;L consol'!BP35)/'P&amp;L consol'!BP71</f>
        <v>117.16435386134984</v>
      </c>
    </row>
    <row r="66" spans="1:12">
      <c r="A66" s="189" t="s">
        <v>768</v>
      </c>
      <c r="B66" s="195">
        <v>46.81349001817253</v>
      </c>
      <c r="C66" s="195">
        <f>'BS Consol'!C7/(Valuation!$C$4)</f>
        <v>54.137204472591065</v>
      </c>
      <c r="D66" s="195">
        <f>'BS Consol'!D7/(Valuation!$C$4)</f>
        <v>55.709476298709298</v>
      </c>
      <c r="E66" s="195">
        <f>'BS Consol'!E7/(Valuation!$C$4)</f>
        <v>61.74103632131802</v>
      </c>
      <c r="F66" s="195">
        <f>'BS Consol'!F7/(Valuation!$C$4)</f>
        <v>69.634021609331086</v>
      </c>
      <c r="G66" s="195">
        <f>'BS Consol'!G7/(Valuation!$C$4)</f>
        <v>81.925301790235238</v>
      </c>
      <c r="H66" s="195">
        <f>'BS Consol'!H7/(Valuation!$C$4)</f>
        <v>144.10684530421571</v>
      </c>
      <c r="I66" s="195">
        <f>'BS Consol'!I7/(Valuation!$C$4)</f>
        <v>215.45545644806364</v>
      </c>
      <c r="J66" s="195">
        <f>'BS Consol'!J7/(Valuation!$C$4)</f>
        <v>642.54899233340916</v>
      </c>
      <c r="K66" s="195">
        <f>'BS Consol'!K7/(Valuation!$C$4)</f>
        <v>695.17609476278869</v>
      </c>
      <c r="L66" s="195">
        <f>'BS Consol'!L7/(Valuation!$C$4)</f>
        <v>756.47976643192112</v>
      </c>
    </row>
    <row r="67" spans="1:12">
      <c r="A67" s="189" t="s">
        <v>769</v>
      </c>
      <c r="B67" s="195">
        <v>10.226543903501764</v>
      </c>
      <c r="C67" s="195">
        <f>'Cashflow consol'!I47/Valuation!$C$4</f>
        <v>6.7070043846911274</v>
      </c>
      <c r="D67" s="195">
        <f>'Cashflow consol'!J47/Valuation!$C$4</f>
        <v>17.218183704990157</v>
      </c>
      <c r="E67" s="195">
        <f>'Cashflow consol'!K47/Valuation!$C$4</f>
        <v>17.29499008730053</v>
      </c>
      <c r="F67" s="195">
        <f>'Cashflow consol'!L47/Valuation!$C$4</f>
        <v>21.471901878238185</v>
      </c>
      <c r="G67" s="195">
        <f>'Cashflow consol'!M47/Valuation!$C$4</f>
        <v>20.407907582115072</v>
      </c>
      <c r="H67" s="195">
        <f>'Cashflow consol'!N47/Valuation!$C$4</f>
        <v>27.946228104753768</v>
      </c>
      <c r="I67" s="195">
        <f>'Cashflow consol'!O47/Valuation!$C$4</f>
        <v>40.474704466322308</v>
      </c>
      <c r="J67" s="195">
        <f>'Cashflow consol'!P47/Valuation!$C$4</f>
        <v>67.380090871791538</v>
      </c>
      <c r="K67" s="195">
        <f>'Cashflow consol'!Q47/Valuation!$C$4</f>
        <v>95.413579199514999</v>
      </c>
      <c r="L67" s="195">
        <f>'Cashflow consol'!R47/Valuation!$C$4</f>
        <v>110.3636334160955</v>
      </c>
    </row>
    <row r="68" spans="1:12">
      <c r="A68" s="189" t="s">
        <v>770</v>
      </c>
      <c r="B68" s="195">
        <v>6.6301980023807543</v>
      </c>
      <c r="C68" s="195">
        <f>'Cashflow consol'!H85/Valuation!$C$4</f>
        <v>8.6384589986725739</v>
      </c>
      <c r="D68" s="195">
        <f>'Cashflow consol'!I85/Valuation!$C$4</f>
        <v>5.0692212324846384</v>
      </c>
      <c r="E68" s="195">
        <f>'Cashflow consol'!J85/Valuation!$C$4</f>
        <v>15.451636911851571</v>
      </c>
      <c r="F68" s="195">
        <f>'Cashflow consol'!K85/Valuation!$C$4</f>
        <v>13.813853759645081</v>
      </c>
      <c r="G68" s="195">
        <f>'Cashflow consol'!L85/Valuation!$C$4</f>
        <v>17.898146089561401</v>
      </c>
      <c r="H68" s="195">
        <f>'Cashflow consol'!M85/Valuation!$C$4</f>
        <v>14.410232728172685</v>
      </c>
      <c r="I68" s="195">
        <f>'Cashflow consol'!N85/Valuation!$C$4</f>
        <v>14.066863019020428</v>
      </c>
      <c r="J68" s="195">
        <f>'Cashflow consol'!O85/Valuation!$C$4</f>
        <v>23.70154597648343</v>
      </c>
      <c r="K68" s="195">
        <f>'Cashflow consol'!P85/Valuation!$C$4</f>
        <v>35.753933449873117</v>
      </c>
      <c r="L68" s="195">
        <f>'Cashflow consol'!Q85/Valuation!$C$4</f>
        <v>57.010388044328344</v>
      </c>
    </row>
    <row r="69" spans="1:12">
      <c r="A69" s="189" t="s">
        <v>771</v>
      </c>
      <c r="B69" s="195">
        <v>0</v>
      </c>
      <c r="C69" s="195">
        <f>'P&amp;L consol'!BG91</f>
        <v>6.1333407226778984</v>
      </c>
      <c r="D69" s="195">
        <f>'P&amp;L consol'!BH91</f>
        <v>2.5776449662023064</v>
      </c>
      <c r="E69" s="195">
        <f>'P&amp;L consol'!BI91</f>
        <v>10.384403808372374</v>
      </c>
      <c r="F69" s="195">
        <f>'P&amp;L consol'!BJ91</f>
        <v>11.634106038586488</v>
      </c>
      <c r="G69" s="195">
        <f>'P&amp;L consol'!BK91</f>
        <v>14.963332967983147</v>
      </c>
      <c r="H69" s="195">
        <f>'P&amp;L consol'!BL91</f>
        <v>14.956798423839428</v>
      </c>
      <c r="I69" s="195">
        <f>'P&amp;L consol'!BM91</f>
        <v>12</v>
      </c>
      <c r="J69" s="195">
        <f>'P&amp;L consol'!BN91</f>
        <v>14.008731526325551</v>
      </c>
      <c r="K69" s="195">
        <f>'P&amp;L consol'!BO91</f>
        <v>17.418445303692781</v>
      </c>
      <c r="L69" s="195">
        <f>'P&amp;L consol'!BP91</f>
        <v>20.29020414561538</v>
      </c>
    </row>
    <row r="71" spans="1:12">
      <c r="A71" s="190" t="s">
        <v>772</v>
      </c>
      <c r="B71" s="190"/>
      <c r="C71" s="190"/>
      <c r="D71" s="190"/>
      <c r="E71" s="190"/>
      <c r="F71" s="190"/>
      <c r="G71" s="190"/>
      <c r="H71" s="190"/>
      <c r="I71" s="190"/>
      <c r="J71" s="190"/>
      <c r="K71" s="190"/>
      <c r="L71" s="190"/>
    </row>
    <row r="72" spans="1:12">
      <c r="A72" s="189" t="s">
        <v>773</v>
      </c>
      <c r="B72" s="195">
        <v>111.88549618320612</v>
      </c>
      <c r="C72" s="195">
        <f ca="1">Valuation!$C$3/Ratios!C64</f>
        <v>101.25350140056022</v>
      </c>
      <c r="D72" s="195">
        <f ca="1">Valuation!$C$3/Ratios!D64</f>
        <v>96.780455153949134</v>
      </c>
      <c r="E72" s="195">
        <f ca="1">Valuation!$C$3/Ratios!E64</f>
        <v>66.325688073394502</v>
      </c>
      <c r="F72" s="195">
        <f ca="1">Valuation!$C$3/Ratios!F64</f>
        <v>54.316303531179571</v>
      </c>
      <c r="G72" s="195">
        <f ca="1">Valuation!$C$3/Ratios!G64</f>
        <v>54.885362890980872</v>
      </c>
      <c r="H72" s="195">
        <f ca="1">Valuation!$C$3/Ratios!H64</f>
        <v>59.233920524375257</v>
      </c>
      <c r="I72" s="195">
        <f ca="1">Valuation!$C$3/Ratios!I64</f>
        <v>35.655865936957802</v>
      </c>
      <c r="J72" s="195">
        <f ca="1">Valuation!$C$3/Ratios!J64</f>
        <v>25.803549687614996</v>
      </c>
      <c r="K72" s="195">
        <f ca="1">Valuation!$C$3/Ratios!K64</f>
        <v>20.752426160753043</v>
      </c>
      <c r="L72" s="195">
        <f ca="1">Valuation!$C$3/Ratios!L64</f>
        <v>17.815247072223919</v>
      </c>
    </row>
    <row r="73" spans="1:12">
      <c r="A73" s="189" t="s">
        <v>774</v>
      </c>
      <c r="B73" s="195">
        <v>85.727178604217499</v>
      </c>
      <c r="C73" s="195">
        <f ca="1">Valuation!$C$3/Ratios!C65</f>
        <v>73.186115176722836</v>
      </c>
      <c r="D73" s="195">
        <f ca="1">Valuation!$C$3/Ratios!D65</f>
        <v>67.251142648685814</v>
      </c>
      <c r="E73" s="195">
        <f ca="1">Valuation!$C$3/Ratios!E65</f>
        <v>49.373054109759408</v>
      </c>
      <c r="F73" s="195">
        <f ca="1">Valuation!$C$3/Ratios!F65</f>
        <v>41.039951457527152</v>
      </c>
      <c r="G73" s="195">
        <f ca="1">Valuation!$C$3/Ratios!G65</f>
        <v>39.332202884085</v>
      </c>
      <c r="H73" s="195">
        <f ca="1">Valuation!$C$3/Ratios!H65</f>
        <v>38.802828795551463</v>
      </c>
      <c r="I73" s="195">
        <f ca="1">Valuation!$C$3/Ratios!I65</f>
        <v>23.832994562091997</v>
      </c>
      <c r="J73" s="195">
        <f ca="1">Valuation!$C$3/Ratios!J65</f>
        <v>17.033060500427464</v>
      </c>
      <c r="K73" s="195">
        <f ca="1">Valuation!$C$3/Ratios!K65</f>
        <v>14.158847160673183</v>
      </c>
      <c r="L73" s="195">
        <f ca="1">Valuation!$C$3/Ratios!L65</f>
        <v>12.340784140806612</v>
      </c>
    </row>
    <row r="74" spans="1:12">
      <c r="A74" s="189" t="s">
        <v>775</v>
      </c>
      <c r="B74" s="195">
        <v>31.309351202634751</v>
      </c>
      <c r="C74" s="195">
        <f ca="1">Valuation!$C$3/Ratios!C66</f>
        <v>26.708065443830588</v>
      </c>
      <c r="D74" s="195">
        <f ca="1">Valuation!$C$3/Ratios!D66</f>
        <v>25.954291730319127</v>
      </c>
      <c r="E74" s="195">
        <f ca="1">Valuation!$C$3/Ratios!E66</f>
        <v>23.418784104547949</v>
      </c>
      <c r="F74" s="195">
        <f ca="1">Valuation!$C$3/Ratios!F66</f>
        <v>20.764275372632603</v>
      </c>
      <c r="G74" s="195">
        <f ca="1">Valuation!$C$3/Ratios!G66</f>
        <v>17.649004256366847</v>
      </c>
      <c r="H74" s="195">
        <f ca="1">Valuation!$C$3/Ratios!H66</f>
        <v>10.033527532627915</v>
      </c>
      <c r="I74" s="195">
        <f ca="1">Valuation!$C$3/Ratios!I66</f>
        <v>6.7108998947471061</v>
      </c>
      <c r="J74" s="195">
        <f ca="1">Valuation!$C$3/Ratios!J66</f>
        <v>2.250256427528166</v>
      </c>
      <c r="K74" s="195">
        <f ca="1">Valuation!$C$3/Ratios!K66</f>
        <v>2.0799046614129861</v>
      </c>
      <c r="L74" s="195">
        <f ca="1">Valuation!$C$3/Ratios!L66</f>
        <v>1.9113531705148692</v>
      </c>
    </row>
    <row r="75" spans="1:12">
      <c r="A75" s="189" t="s">
        <v>776</v>
      </c>
      <c r="B75" s="195">
        <v>221.06428789512776</v>
      </c>
      <c r="C75" s="195">
        <f ca="1">Valuation!$C$3/Ratios!C68</f>
        <v>167.37939026187237</v>
      </c>
      <c r="D75" s="195">
        <f ca="1">Valuation!$C$3/Ratios!D68</f>
        <v>285.23118910935824</v>
      </c>
      <c r="E75" s="195">
        <f ca="1">Valuation!$C$3/Ratios!E68</f>
        <v>93.575846251666661</v>
      </c>
      <c r="F75" s="195">
        <f ca="1">Valuation!$C$3/Ratios!F68</f>
        <v>104.67028427823385</v>
      </c>
      <c r="G75" s="195">
        <f ca="1">Valuation!$C$3/Ratios!G68</f>
        <v>80.784903238848926</v>
      </c>
      <c r="H75" s="195">
        <f ca="1">Valuation!$C$3/Ratios!H68</f>
        <v>100.33842112578775</v>
      </c>
      <c r="I75" s="195">
        <f ca="1">Valuation!$C$3/Ratios!I68</f>
        <v>102.78766474408222</v>
      </c>
      <c r="J75" s="195">
        <f ca="1">Valuation!$C$3/Ratios!J68</f>
        <v>61.004459432081589</v>
      </c>
      <c r="K75" s="195">
        <f ca="1">Valuation!$C$3/Ratios!K68</f>
        <v>40.440305736630251</v>
      </c>
      <c r="L75" s="195">
        <f ca="1">Valuation!$C$3/Ratios!L68</f>
        <v>25.362044525565107</v>
      </c>
    </row>
    <row r="76" spans="1:12">
      <c r="A76" s="189" t="s">
        <v>777</v>
      </c>
      <c r="B76" s="195">
        <v>17.39934402296393</v>
      </c>
      <c r="C76" s="195">
        <f ca="1">C92/'P&amp;L consol'!BG12</f>
        <v>15.080087678037238</v>
      </c>
      <c r="D76" s="195">
        <f ca="1">D92/'P&amp;L consol'!BH12</f>
        <v>13.561889601985932</v>
      </c>
      <c r="E76" s="195">
        <f ca="1">E92/'P&amp;L consol'!BI12</f>
        <v>9.9567753165640553</v>
      </c>
      <c r="F76" s="195">
        <f ca="1">F92/'P&amp;L consol'!BJ12</f>
        <v>7.9841013695181298</v>
      </c>
      <c r="G76" s="195">
        <f ca="1">G92/'P&amp;L consol'!BK12</f>
        <v>7.1481178430374408</v>
      </c>
      <c r="H76" s="195">
        <f ca="1">H92/'P&amp;L consol'!BL12</f>
        <v>5.3048776089503287</v>
      </c>
      <c r="I76" s="195">
        <f ca="1">I92/'P&amp;L consol'!BM12</f>
        <v>3.879512448324971</v>
      </c>
      <c r="J76" s="195">
        <f ca="1">J92/'P&amp;L consol'!BN12</f>
        <v>2.5418269205335968</v>
      </c>
      <c r="K76" s="195">
        <f ca="1">K92/'P&amp;L consol'!BO12</f>
        <v>2.0602248473301401</v>
      </c>
      <c r="L76" s="195">
        <f ca="1">L92/'P&amp;L consol'!BP12</f>
        <v>1.6991592934982489</v>
      </c>
    </row>
    <row r="77" spans="1:12">
      <c r="A77" s="189" t="s">
        <v>778</v>
      </c>
      <c r="B77" s="199">
        <v>99.137427925015487</v>
      </c>
      <c r="C77" s="199">
        <f ca="1">C92/'P&amp;L consol'!BG29</f>
        <v>87.666498313380572</v>
      </c>
      <c r="D77" s="199">
        <f ca="1">D92/'P&amp;L consol'!BH29</f>
        <v>80.412485803840283</v>
      </c>
      <c r="E77" s="199">
        <f ca="1">E92/'P&amp;L consol'!BI29</f>
        <v>57.416154595786267</v>
      </c>
      <c r="F77" s="199">
        <f ca="1">F92/'P&amp;L consol'!BJ29</f>
        <v>45.534319245812284</v>
      </c>
      <c r="G77" s="199">
        <f ca="1">G92/'P&amp;L consol'!BK29</f>
        <v>42.455616321294833</v>
      </c>
      <c r="H77" s="199">
        <f ca="1">H92/'P&amp;L consol'!BL29</f>
        <v>37.197920104623073</v>
      </c>
      <c r="I77" s="199">
        <f ca="1">I92/'P&amp;L consol'!BM29</f>
        <v>20.888418735602681</v>
      </c>
      <c r="J77" s="199">
        <f ca="1">J92/'P&amp;L consol'!BN29</f>
        <v>12.342205332151796</v>
      </c>
      <c r="K77" s="199">
        <f ca="1">K92/'P&amp;L consol'!BO29</f>
        <v>10.148958794620764</v>
      </c>
      <c r="L77" s="199">
        <f ca="1">L92/'P&amp;L consol'!BP29</f>
        <v>8.6565372863008392</v>
      </c>
    </row>
    <row r="78" spans="1:12">
      <c r="A78" s="189" t="s">
        <v>779</v>
      </c>
      <c r="B78" s="198">
        <v>122.91212240049961</v>
      </c>
      <c r="C78" s="198">
        <f ca="1">C92/'P&amp;L consol'!BG39</f>
        <v>115.40804616085605</v>
      </c>
      <c r="D78" s="198">
        <f ca="1">D92/'P&amp;L consol'!BH39</f>
        <v>104.90441080978766</v>
      </c>
      <c r="E78" s="198">
        <f ca="1">E92/'P&amp;L consol'!BI39</f>
        <v>72.103106097883355</v>
      </c>
      <c r="F78" s="198">
        <f ca="1">F92/'P&amp;L consol'!BJ39</f>
        <v>55.798202682368334</v>
      </c>
      <c r="G78" s="198">
        <f ca="1">G92/'P&amp;L consol'!BK39</f>
        <v>52.80147493943916</v>
      </c>
      <c r="H78" s="198">
        <f ca="1">H92/'P&amp;L consol'!BL39</f>
        <v>49.488007136563127</v>
      </c>
      <c r="I78" s="198">
        <f ca="1">I92/'P&amp;L consol'!BM39</f>
        <v>26.912446113825332</v>
      </c>
      <c r="J78" s="198">
        <f ca="1">J92/'P&amp;L consol'!BN39</f>
        <v>16.499030682018372</v>
      </c>
      <c r="K78" s="198">
        <f ca="1">K92/'P&amp;L consol'!BO39</f>
        <v>13.309855832887662</v>
      </c>
      <c r="L78" s="198">
        <f ca="1">L92/'P&amp;L consol'!BP39</f>
        <v>11.254819099540475</v>
      </c>
    </row>
    <row r="79" spans="1:12">
      <c r="A79" s="189" t="s">
        <v>780</v>
      </c>
      <c r="B79" s="198">
        <v>17.649303219960828</v>
      </c>
      <c r="C79" s="198">
        <f ca="1">C86/'P&amp;L consol'!BG12</f>
        <v>15.298137822639164</v>
      </c>
      <c r="D79" s="198">
        <f ca="1">D86/'P&amp;L consol'!BH12</f>
        <v>13.726919197936862</v>
      </c>
      <c r="E79" s="198">
        <f ca="1">E86/'P&amp;L consol'!BI12</f>
        <v>9.9511627543749999</v>
      </c>
      <c r="F79" s="198">
        <f ca="1">F86/'P&amp;L consol'!BJ12</f>
        <v>7.9861601123125299</v>
      </c>
      <c r="G79" s="198">
        <f ca="1">G86/'P&amp;L consol'!BK12</f>
        <v>7.1047385181476095</v>
      </c>
      <c r="H79" s="198">
        <f ca="1">H86/'P&amp;L consol'!BL12</f>
        <v>5.3014402720167642</v>
      </c>
      <c r="I79" s="198">
        <f ca="1">I86/'P&amp;L consol'!BM12</f>
        <v>3.9021550620410057</v>
      </c>
      <c r="J79" s="198">
        <f ca="1">J86/'P&amp;L consol'!BN12</f>
        <v>2.5818206252824112</v>
      </c>
      <c r="K79" s="198">
        <f ca="1">K86/'P&amp;L consol'!BO12</f>
        <v>2.1331768964306796</v>
      </c>
      <c r="L79" s="198">
        <f ca="1">L86/'P&amp;L consol'!BP12</f>
        <v>1.8069739713679245</v>
      </c>
    </row>
    <row r="80" spans="1:12">
      <c r="A80" s="189" t="s">
        <v>781</v>
      </c>
      <c r="B80" s="199">
        <v>0</v>
      </c>
      <c r="C80" s="199">
        <f t="shared" ref="C80:J80" si="12">C54</f>
        <v>0</v>
      </c>
      <c r="D80" s="199">
        <f t="shared" si="12"/>
        <v>2.2342970682454076E-2</v>
      </c>
      <c r="E80" s="199">
        <f t="shared" si="12"/>
        <v>0.17913724342321904</v>
      </c>
      <c r="F80" s="199">
        <f t="shared" si="12"/>
        <v>0.18238442822384429</v>
      </c>
      <c r="G80" s="199">
        <f t="shared" si="12"/>
        <v>0.20018750344675454</v>
      </c>
      <c r="H80" s="199">
        <f t="shared" si="12"/>
        <v>0.16779533483822423</v>
      </c>
      <c r="I80" s="199">
        <f t="shared" si="12"/>
        <v>7.6308505284348266E-2</v>
      </c>
      <c r="J80" s="199">
        <f t="shared" si="12"/>
        <v>0.2070291864706508</v>
      </c>
      <c r="K80" s="199">
        <f t="shared" ref="K80:L80" si="13">K54</f>
        <v>0.18964141656935235</v>
      </c>
      <c r="L80" s="199">
        <f t="shared" si="13"/>
        <v>0.17271299452674882</v>
      </c>
    </row>
    <row r="81" spans="1:12">
      <c r="A81" s="189" t="s">
        <v>782</v>
      </c>
      <c r="B81" s="195">
        <v>0</v>
      </c>
      <c r="C81" s="195">
        <f t="shared" ref="C81:J81" ca="1" si="14">(C69/C85)*100</f>
        <v>0.42418844475260375</v>
      </c>
      <c r="D81" s="195">
        <f t="shared" ca="1" si="14"/>
        <v>0.17827269978576019</v>
      </c>
      <c r="E81" s="195">
        <f t="shared" ca="1" si="14"/>
        <v>0.71819654252523502</v>
      </c>
      <c r="F81" s="195">
        <f t="shared" ca="1" si="14"/>
        <v>0.80462729362933039</v>
      </c>
      <c r="G81" s="195">
        <f t="shared" ca="1" si="14"/>
        <v>1.0348802108017945</v>
      </c>
      <c r="H81" s="195">
        <f t="shared" ca="1" si="14"/>
        <v>1.0344282746966891</v>
      </c>
      <c r="I81" s="195">
        <f t="shared" ca="1" si="14"/>
        <v>0.82993291375613798</v>
      </c>
      <c r="J81" s="195">
        <f t="shared" ca="1" si="14"/>
        <v>0.96885894780590287</v>
      </c>
      <c r="K81" s="195">
        <f t="shared" ref="K81:L81" ca="1" si="15">(K69/K85)*100</f>
        <v>1.2046784219996391</v>
      </c>
      <c r="L81" s="195">
        <f t="shared" ca="1" si="15"/>
        <v>1.403292353939787</v>
      </c>
    </row>
    <row r="82" spans="1:12">
      <c r="A82" s="189" t="s">
        <v>783</v>
      </c>
      <c r="B82" s="193">
        <v>0</v>
      </c>
      <c r="C82" s="193">
        <f>'P&amp;L consol'!BG91/'P&amp;L consol'!BG73*100</f>
        <v>42.950565284859223</v>
      </c>
      <c r="D82" s="193">
        <f>'P&amp;L consol'!BH91/'P&amp;L consol'!BH73*100</f>
        <v>17.253313026789201</v>
      </c>
      <c r="E82" s="193">
        <f>'P&amp;L consol'!BI91/'P&amp;L consol'!BI73*100</f>
        <v>47.634879854919149</v>
      </c>
      <c r="F82" s="193">
        <f>'P&amp;L consol'!BJ91/'P&amp;L consol'!BJ73*100</f>
        <v>43.704380310242257</v>
      </c>
      <c r="G82" s="193">
        <f>'P&amp;L consol'!BK91/'P&amp;L consol'!BK73*100</f>
        <v>56.799775918551262</v>
      </c>
      <c r="H82" s="193">
        <f>'P&amp;L consol'!BL91/'P&amp;L consol'!BL73*100</f>
        <v>61.273242211550304</v>
      </c>
      <c r="I82" s="193">
        <f>'P&amp;L consol'!BM91/'P&amp;L consol'!BM73*100</f>
        <v>29.59197670955762</v>
      </c>
      <c r="J82" s="193">
        <f>'P&amp;L consol'!BN91/'P&amp;L consol'!BN73*100</f>
        <v>25</v>
      </c>
      <c r="K82" s="193">
        <f>'P&amp;L consol'!BO91/'P&amp;L consol'!BO73*100</f>
        <v>25</v>
      </c>
      <c r="L82" s="193">
        <f>'P&amp;L consol'!BP91/'P&amp;L consol'!BP73*100</f>
        <v>25</v>
      </c>
    </row>
    <row r="84" spans="1:12">
      <c r="A84" s="189" t="s">
        <v>784</v>
      </c>
      <c r="B84" s="467">
        <v>442.67154599999998</v>
      </c>
      <c r="C84" s="467">
        <f t="shared" ref="C84:H85" si="16">D84</f>
        <v>442.67154599999998</v>
      </c>
      <c r="D84" s="467">
        <f t="shared" si="16"/>
        <v>442.67154599999998</v>
      </c>
      <c r="E84" s="467">
        <f t="shared" si="16"/>
        <v>442.67154599999998</v>
      </c>
      <c r="F84" s="467">
        <f t="shared" si="16"/>
        <v>442.67154599999998</v>
      </c>
      <c r="G84" s="467">
        <f t="shared" si="16"/>
        <v>442.67154599999998</v>
      </c>
      <c r="H84" s="467">
        <f t="shared" si="16"/>
        <v>442.67154599999998</v>
      </c>
      <c r="I84" s="467">
        <f>J84</f>
        <v>442.67154599999998</v>
      </c>
      <c r="J84" s="467">
        <f>K84</f>
        <v>442.67154599999998</v>
      </c>
      <c r="K84" s="468">
        <f>Valuation!$C$4</f>
        <v>442.67154599999998</v>
      </c>
      <c r="L84" s="468">
        <f>Valuation!$C$4</f>
        <v>442.67154599999998</v>
      </c>
    </row>
    <row r="85" spans="1:12">
      <c r="A85" s="189" t="s">
        <v>12</v>
      </c>
      <c r="B85" s="350">
        <v>1465.7</v>
      </c>
      <c r="C85" s="350">
        <f t="shared" ca="1" si="16"/>
        <v>1445.9</v>
      </c>
      <c r="D85" s="350">
        <f t="shared" ca="1" si="16"/>
        <v>1445.9</v>
      </c>
      <c r="E85" s="350">
        <f t="shared" ca="1" si="16"/>
        <v>1445.9</v>
      </c>
      <c r="F85" s="350">
        <f t="shared" ca="1" si="16"/>
        <v>1445.9</v>
      </c>
      <c r="G85" s="350">
        <f t="shared" ca="1" si="16"/>
        <v>1445.9</v>
      </c>
      <c r="H85" s="350">
        <f t="shared" ca="1" si="16"/>
        <v>1445.9</v>
      </c>
      <c r="I85" s="350">
        <f ca="1">J85</f>
        <v>1445.9</v>
      </c>
      <c r="J85" s="350">
        <f ca="1">K85</f>
        <v>1445.9</v>
      </c>
      <c r="K85" s="469">
        <f ca="1">Valuation!$C$3</f>
        <v>1445.9</v>
      </c>
      <c r="L85" s="469">
        <f ca="1">Valuation!$C$3</f>
        <v>1445.9</v>
      </c>
    </row>
    <row r="86" spans="1:12">
      <c r="A86" s="196" t="s">
        <v>785</v>
      </c>
      <c r="B86" s="194">
        <v>648823.68497219996</v>
      </c>
      <c r="C86" s="194">
        <f t="shared" ref="C86:J86" ca="1" si="17">C84*C85</f>
        <v>640058.78836140002</v>
      </c>
      <c r="D86" s="194">
        <f t="shared" ca="1" si="17"/>
        <v>640058.78836140002</v>
      </c>
      <c r="E86" s="194">
        <f t="shared" ca="1" si="17"/>
        <v>640058.78836140002</v>
      </c>
      <c r="F86" s="194">
        <f t="shared" ca="1" si="17"/>
        <v>640058.78836140002</v>
      </c>
      <c r="G86" s="194">
        <f t="shared" ca="1" si="17"/>
        <v>640058.78836140002</v>
      </c>
      <c r="H86" s="194">
        <f t="shared" ca="1" si="17"/>
        <v>640058.78836140002</v>
      </c>
      <c r="I86" s="194">
        <f t="shared" ca="1" si="17"/>
        <v>640058.78836140002</v>
      </c>
      <c r="J86" s="194">
        <f t="shared" ca="1" si="17"/>
        <v>640058.78836140002</v>
      </c>
      <c r="K86" s="194">
        <f t="shared" ref="K86:L86" ca="1" si="18">K84*K85</f>
        <v>640058.78836140002</v>
      </c>
      <c r="L86" s="194">
        <f t="shared" ca="1" si="18"/>
        <v>640058.78836140002</v>
      </c>
    </row>
    <row r="87" spans="1:12">
      <c r="A87" s="189" t="s">
        <v>452</v>
      </c>
      <c r="B87" s="193">
        <v>38</v>
      </c>
      <c r="C87" s="193">
        <f>'BS Consol'!C12+'BS Consol'!C29</f>
        <v>48</v>
      </c>
      <c r="D87" s="193">
        <f>'BS Consol'!D12+'BS Consol'!D29</f>
        <v>3</v>
      </c>
      <c r="E87" s="193">
        <f>'BS Consol'!E12+'BS Consol'!E29</f>
        <v>3545</v>
      </c>
      <c r="F87" s="193">
        <f>'BS Consol'!F12+'BS Consol'!F29</f>
        <v>3382</v>
      </c>
      <c r="G87" s="193">
        <f>'BS Consol'!G12+'BS Consol'!G29</f>
        <v>4366</v>
      </c>
      <c r="H87" s="193">
        <f>'BS Consol'!H12+'BS Consol'!H29</f>
        <v>7005</v>
      </c>
      <c r="I87" s="193">
        <f>'BS Consol'!I12+'BS Consol'!I29</f>
        <v>3997</v>
      </c>
      <c r="J87" s="193">
        <f>'BS Consol'!J12+'BS Consol'!J29</f>
        <v>55606</v>
      </c>
      <c r="K87" s="193">
        <f>'BS Consol'!K12+'BS Consol'!K29</f>
        <v>55078.239999999998</v>
      </c>
      <c r="L87" s="193">
        <f>'BS Consol'!L12+'BS Consol'!L29</f>
        <v>54555.757599999997</v>
      </c>
    </row>
    <row r="88" spans="1:12">
      <c r="A88" s="189" t="s">
        <v>786</v>
      </c>
      <c r="B88" s="193">
        <v>0</v>
      </c>
      <c r="C88" s="193">
        <f>'BS Consol'!C18+'BS Consol'!C30</f>
        <v>0</v>
      </c>
      <c r="D88" s="193">
        <f>'BS Consol'!D18+'BS Consol'!D30</f>
        <v>548</v>
      </c>
      <c r="E88" s="193">
        <f>'BS Consol'!E18+'BS Consol'!E30</f>
        <v>1351</v>
      </c>
      <c r="F88" s="193">
        <f>'BS Consol'!F18+'BS Consol'!F30</f>
        <v>2240</v>
      </c>
      <c r="G88" s="193">
        <f>'BS Consol'!G18+'BS Consol'!G30</f>
        <v>2894</v>
      </c>
      <c r="H88" s="193">
        <f>'BS Consol'!H18+'BS Consol'!H30</f>
        <v>3699</v>
      </c>
      <c r="I88" s="193">
        <f>'BS Consol'!I18+'BS Consol'!I30</f>
        <v>3281</v>
      </c>
      <c r="J88" s="193">
        <f>'BS Consol'!J18+'BS Consol'!J30</f>
        <v>3281</v>
      </c>
      <c r="K88" s="193">
        <f>'BS Consol'!K18+'BS Consol'!K30</f>
        <v>3281</v>
      </c>
      <c r="L88" s="193">
        <f>'BS Consol'!L18+'BS Consol'!L30</f>
        <v>3281</v>
      </c>
    </row>
    <row r="89" spans="1:12">
      <c r="A89" s="189" t="s">
        <v>213</v>
      </c>
      <c r="B89" s="193">
        <v>5576</v>
      </c>
      <c r="C89" s="193">
        <f>'BS Consol'!C60+'BS Consol'!C61</f>
        <v>9034</v>
      </c>
      <c r="D89" s="193">
        <f>'BS Consol'!D60+'BS Consol'!D61</f>
        <v>8122</v>
      </c>
      <c r="E89" s="193">
        <f>'BS Consol'!E60+'BS Consol'!E61</f>
        <v>4535</v>
      </c>
      <c r="F89" s="193">
        <f>'BS Consol'!F60+'BS Consol'!F61</f>
        <v>5787</v>
      </c>
      <c r="G89" s="193">
        <f>'BS Consol'!G60+'BS Consol'!G61</f>
        <v>3352</v>
      </c>
      <c r="H89" s="193">
        <f>'BS Consol'!H60+'BS Consol'!H61</f>
        <v>8832</v>
      </c>
      <c r="I89" s="193">
        <f>'BS Consol'!I60+'BS Consol'!I61</f>
        <v>10992</v>
      </c>
      <c r="J89" s="193">
        <f>'BS Consol'!J60+'BS Consol'!J61</f>
        <v>68801.833723512318</v>
      </c>
      <c r="K89" s="193">
        <f>'BS Consol'!K60+'BS Consol'!K61</f>
        <v>80248.470205850463</v>
      </c>
      <c r="L89" s="193">
        <f>'BS Consol'!L60+'BS Consol'!L61</f>
        <v>96026.423404980305</v>
      </c>
    </row>
    <row r="90" spans="1:12">
      <c r="A90" s="189" t="s">
        <v>431</v>
      </c>
      <c r="B90" s="193">
        <v>3651</v>
      </c>
      <c r="C90" s="193">
        <f>'BS Consol'!C58</f>
        <v>137</v>
      </c>
      <c r="D90" s="193">
        <f>'BS Consol'!D58</f>
        <v>124</v>
      </c>
      <c r="E90" s="193">
        <f>'BS Consol'!E58</f>
        <v>0</v>
      </c>
      <c r="F90" s="193">
        <f>'BS Consol'!F58</f>
        <v>0</v>
      </c>
      <c r="G90" s="193">
        <f>'BS Consol'!G58</f>
        <v>0</v>
      </c>
      <c r="H90" s="193">
        <f>'BS Consol'!H58</f>
        <v>1457</v>
      </c>
      <c r="I90" s="193">
        <f>'BS Consol'!I58</f>
        <v>0</v>
      </c>
      <c r="J90" s="193">
        <f>'BS Consol'!J58</f>
        <v>0</v>
      </c>
      <c r="K90" s="193">
        <f>'BS Consol'!K58</f>
        <v>0</v>
      </c>
      <c r="L90" s="193">
        <f>'BS Consol'!L58</f>
        <v>0</v>
      </c>
    </row>
    <row r="91" spans="1:12">
      <c r="A91" s="189" t="s">
        <v>787</v>
      </c>
      <c r="B91" s="193">
        <v>-5538</v>
      </c>
      <c r="C91" s="193">
        <f t="shared" ref="C91:G91" si="19">C87+C88-C89</f>
        <v>-8986</v>
      </c>
      <c r="D91" s="193">
        <f t="shared" si="19"/>
        <v>-7571</v>
      </c>
      <c r="E91" s="193">
        <f t="shared" si="19"/>
        <v>361</v>
      </c>
      <c r="F91" s="193">
        <f t="shared" si="19"/>
        <v>-165</v>
      </c>
      <c r="G91" s="193">
        <f t="shared" si="19"/>
        <v>3908</v>
      </c>
      <c r="H91" s="193">
        <f>H87+H88-H89</f>
        <v>1872</v>
      </c>
      <c r="I91" s="193">
        <f>I87+I88-I89</f>
        <v>-3714</v>
      </c>
      <c r="J91" s="193">
        <f t="shared" ref="J91:K91" si="20">J87+J88-J89</f>
        <v>-9914.8337235123181</v>
      </c>
      <c r="K91" s="193">
        <f t="shared" si="20"/>
        <v>-21889.230205850465</v>
      </c>
      <c r="L91" s="193">
        <f t="shared" ref="L91" si="21">L87+L88-L89</f>
        <v>-38189.665804980308</v>
      </c>
    </row>
    <row r="92" spans="1:12">
      <c r="A92" s="196" t="s">
        <v>788</v>
      </c>
      <c r="B92" s="194">
        <v>639634.68497219996</v>
      </c>
      <c r="C92" s="194">
        <f t="shared" ref="C92:J92" ca="1" si="22">C86+C91-C90</f>
        <v>630935.78836140002</v>
      </c>
      <c r="D92" s="194">
        <f t="shared" ca="1" si="22"/>
        <v>632363.78836140002</v>
      </c>
      <c r="E92" s="194">
        <f t="shared" ca="1" si="22"/>
        <v>640419.78836140002</v>
      </c>
      <c r="F92" s="194">
        <f t="shared" ca="1" si="22"/>
        <v>639893.78836140002</v>
      </c>
      <c r="G92" s="194">
        <f t="shared" ca="1" si="22"/>
        <v>643966.78836140002</v>
      </c>
      <c r="H92" s="194">
        <f t="shared" ca="1" si="22"/>
        <v>640473.78836140002</v>
      </c>
      <c r="I92" s="194">
        <f t="shared" ca="1" si="22"/>
        <v>636344.78836140002</v>
      </c>
      <c r="J92" s="194">
        <f t="shared" ca="1" si="22"/>
        <v>630143.95463788765</v>
      </c>
      <c r="K92" s="194">
        <f t="shared" ref="K92:L92" ca="1" si="23">K86+K91-K90</f>
        <v>618169.55815554957</v>
      </c>
      <c r="L92" s="194">
        <f t="shared" ca="1" si="23"/>
        <v>601869.12255641969</v>
      </c>
    </row>
    <row r="97" spans="1:1">
      <c r="A97" s="200"/>
    </row>
  </sheetData>
  <pageMargins left="0.7" right="0.7" top="0.75" bottom="0.75" header="0.3" footer="0.3"/>
  <pageSetup orientation="portrait" r:id="rId1"/>
  <ignoredErrors>
    <ignoredError sqref="C30:L30" formulaRange="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3EC9-691A-4015-8674-FD66F6A89852}">
  <dimension ref="B1:T103"/>
  <sheetViews>
    <sheetView topLeftCell="A9" zoomScale="74" zoomScaleNormal="100" workbookViewId="0">
      <selection activeCell="H15" sqref="H15"/>
    </sheetView>
  </sheetViews>
  <sheetFormatPr defaultRowHeight="14.45"/>
  <cols>
    <col min="1" max="1" width="8.7109375" customWidth="1"/>
    <col min="2" max="2" width="6.28515625" bestFit="1" customWidth="1"/>
    <col min="3" max="3" width="58.5703125" customWidth="1"/>
    <col min="4" max="5" width="12.5703125" bestFit="1" customWidth="1"/>
    <col min="6" max="6" width="10.85546875" bestFit="1" customWidth="1"/>
    <col min="7" max="7" width="17.140625" customWidth="1"/>
    <col min="8" max="8" width="14.85546875" customWidth="1"/>
    <col min="9" max="9" width="21.7109375" bestFit="1" customWidth="1"/>
    <col min="10" max="10" width="22.85546875" bestFit="1" customWidth="1"/>
    <col min="11" max="11" width="36.7109375" customWidth="1"/>
    <col min="12" max="13" width="12.5703125" bestFit="1" customWidth="1"/>
    <col min="14" max="14" width="35.140625" bestFit="1" customWidth="1"/>
    <col min="15" max="15" width="5.28515625" bestFit="1" customWidth="1"/>
    <col min="16" max="16" width="5.140625" bestFit="1" customWidth="1"/>
    <col min="17" max="17" width="14.85546875" bestFit="1" customWidth="1"/>
    <col min="18" max="19" width="9.42578125" bestFit="1" customWidth="1"/>
    <col min="20" max="20" width="12.42578125" bestFit="1" customWidth="1"/>
  </cols>
  <sheetData>
    <row r="1" spans="2:20">
      <c r="B1" s="945"/>
    </row>
    <row r="2" spans="2:20">
      <c r="B2" s="945"/>
      <c r="C2" t="s">
        <v>789</v>
      </c>
    </row>
    <row r="3" spans="2:20">
      <c r="C3" t="s">
        <v>790</v>
      </c>
      <c r="D3" s="944"/>
    </row>
    <row r="4" spans="2:20">
      <c r="C4" t="s">
        <v>791</v>
      </c>
    </row>
    <row r="5" spans="2:20">
      <c r="C5" t="s">
        <v>792</v>
      </c>
    </row>
    <row r="6" spans="2:20">
      <c r="D6" s="496"/>
    </row>
    <row r="7" spans="2:20">
      <c r="D7" s="496"/>
    </row>
    <row r="8" spans="2:20">
      <c r="C8" t="s">
        <v>793</v>
      </c>
      <c r="D8" s="392">
        <f>93.796508</f>
        <v>93.796508000000003</v>
      </c>
    </row>
    <row r="9" spans="2:20">
      <c r="C9" t="s">
        <v>794</v>
      </c>
      <c r="D9" s="496">
        <v>1815.91</v>
      </c>
    </row>
    <row r="10" spans="2:20">
      <c r="C10" t="s">
        <v>795</v>
      </c>
      <c r="D10" s="496">
        <f>D8*D9</f>
        <v>170326.01684228002</v>
      </c>
    </row>
    <row r="11" spans="2:20">
      <c r="D11" s="264" t="s">
        <v>20</v>
      </c>
      <c r="E11" s="888" t="s">
        <v>21</v>
      </c>
      <c r="F11" s="264" t="s">
        <v>22</v>
      </c>
      <c r="G11" s="264" t="s">
        <v>35</v>
      </c>
    </row>
    <row r="12" spans="2:20">
      <c r="C12" t="s">
        <v>796</v>
      </c>
      <c r="D12">
        <v>414</v>
      </c>
      <c r="E12" s="205">
        <v>481</v>
      </c>
      <c r="F12">
        <v>516</v>
      </c>
      <c r="G12">
        <v>600</v>
      </c>
      <c r="H12" s="309">
        <f>(G12/D12)^(1/3)-1</f>
        <v>0.13166261695313541</v>
      </c>
    </row>
    <row r="13" spans="2:20">
      <c r="C13" t="s">
        <v>797</v>
      </c>
      <c r="D13" s="1105" t="s">
        <v>798</v>
      </c>
      <c r="E13" s="1105"/>
      <c r="F13" s="1105"/>
      <c r="G13">
        <v>19.5</v>
      </c>
    </row>
    <row r="14" spans="2:20">
      <c r="D14" s="1035"/>
      <c r="E14" s="1038">
        <f>E12/D12-1</f>
        <v>0.16183574879227058</v>
      </c>
      <c r="F14" s="1038">
        <f t="shared" ref="F14:G14" si="0">F12/E12-1</f>
        <v>7.2765072765072825E-2</v>
      </c>
      <c r="G14" s="1038">
        <f t="shared" si="0"/>
        <v>0.16279069767441867</v>
      </c>
    </row>
    <row r="15" spans="2:20">
      <c r="B15" s="945"/>
    </row>
    <row r="16" spans="2:20">
      <c r="B16" s="945"/>
      <c r="C16" t="s">
        <v>799</v>
      </c>
      <c r="D16" s="264">
        <v>2.35</v>
      </c>
      <c r="O16" s="264"/>
      <c r="P16" s="264"/>
      <c r="Q16" s="264"/>
      <c r="R16" s="264"/>
      <c r="S16" s="264"/>
      <c r="T16" s="264"/>
    </row>
    <row r="17" spans="3:20">
      <c r="C17" t="s">
        <v>800</v>
      </c>
      <c r="D17" s="264">
        <v>1.897</v>
      </c>
      <c r="E17" s="264"/>
      <c r="F17" s="264"/>
      <c r="G17" s="264"/>
      <c r="H17" s="264"/>
      <c r="I17" s="264"/>
      <c r="J17" s="264"/>
      <c r="K17" s="264"/>
      <c r="R17" s="266"/>
      <c r="S17" s="266"/>
    </row>
    <row r="18" spans="3:20">
      <c r="C18" t="s">
        <v>801</v>
      </c>
      <c r="D18" s="946">
        <f>(D17*89.75*1000)/D9</f>
        <v>93.757812887202562</v>
      </c>
      <c r="E18" s="264"/>
      <c r="F18" s="264"/>
      <c r="G18" s="264"/>
      <c r="H18" s="587"/>
      <c r="I18" s="587"/>
      <c r="J18" s="588"/>
      <c r="R18" s="266"/>
      <c r="S18" s="266"/>
    </row>
    <row r="19" spans="3:20">
      <c r="C19" t="s">
        <v>802</v>
      </c>
      <c r="D19" s="946">
        <f>(D16*1000)/D34</f>
        <v>3.9166666666666665</v>
      </c>
      <c r="E19" s="264"/>
      <c r="F19" s="264"/>
      <c r="G19" s="264"/>
      <c r="H19" s="587"/>
      <c r="I19" s="587"/>
      <c r="J19" s="588"/>
      <c r="R19" s="266"/>
      <c r="S19" s="266"/>
    </row>
    <row r="20" spans="3:20">
      <c r="C20" t="s">
        <v>43</v>
      </c>
      <c r="D20" s="946">
        <f>(D16*1000)/D36</f>
        <v>20.614035087719298</v>
      </c>
      <c r="E20" s="264"/>
      <c r="F20" s="264"/>
      <c r="G20" s="264"/>
      <c r="H20" s="587"/>
      <c r="I20" s="587"/>
      <c r="J20" s="588"/>
      <c r="R20" s="266"/>
      <c r="S20" s="266"/>
    </row>
    <row r="21" spans="3:20">
      <c r="D21" s="205"/>
      <c r="E21" s="205"/>
      <c r="F21" s="205"/>
      <c r="G21" s="266"/>
      <c r="H21" s="266"/>
      <c r="I21" s="266"/>
      <c r="J21" s="588"/>
      <c r="K21" s="516"/>
      <c r="R21" s="266"/>
      <c r="S21" s="266"/>
      <c r="T21" s="316"/>
    </row>
    <row r="22" spans="3:20">
      <c r="C22" s="363" t="s">
        <v>803</v>
      </c>
      <c r="D22" s="210">
        <v>339.47606142728091</v>
      </c>
      <c r="E22" s="586" t="s">
        <v>804</v>
      </c>
      <c r="F22" s="586"/>
      <c r="G22" s="585"/>
      <c r="H22" s="585"/>
      <c r="I22" s="585"/>
      <c r="R22" s="266"/>
      <c r="S22" s="266"/>
      <c r="T22" s="316"/>
    </row>
    <row r="23" spans="3:20">
      <c r="C23" t="s">
        <v>803</v>
      </c>
      <c r="D23" s="210">
        <v>351.816061427281</v>
      </c>
      <c r="E23" s="205"/>
      <c r="F23" s="205"/>
      <c r="G23" s="205"/>
      <c r="H23" s="205"/>
      <c r="I23" s="205"/>
      <c r="J23" s="588"/>
      <c r="K23" s="516"/>
      <c r="N23" s="264"/>
      <c r="O23" s="264"/>
      <c r="P23" s="264"/>
      <c r="Q23" s="264"/>
      <c r="R23" s="264"/>
      <c r="S23" s="264"/>
      <c r="T23" s="614"/>
    </row>
    <row r="24" spans="3:20">
      <c r="C24" s="363" t="s">
        <v>805</v>
      </c>
      <c r="D24" s="651">
        <f>D18</f>
        <v>93.757812887202562</v>
      </c>
      <c r="E24" s="585">
        <f>D24/D23</f>
        <v>0.26649668155239109</v>
      </c>
      <c r="F24" s="585">
        <f>D24/D25</f>
        <v>0.21042035516882399</v>
      </c>
      <c r="G24" s="585"/>
      <c r="H24" s="585"/>
      <c r="I24" s="585"/>
      <c r="K24" s="375"/>
      <c r="R24" s="266"/>
      <c r="S24" s="266"/>
    </row>
    <row r="25" spans="3:20">
      <c r="C25" t="s">
        <v>806</v>
      </c>
      <c r="D25" s="205">
        <f>D23+D24</f>
        <v>445.57387431448353</v>
      </c>
      <c r="E25" s="205"/>
      <c r="F25" s="205"/>
      <c r="G25" s="205"/>
      <c r="H25" s="266">
        <v>550</v>
      </c>
      <c r="I25" s="266">
        <f>H25*89.75</f>
        <v>49362.5</v>
      </c>
      <c r="J25" s="588"/>
      <c r="R25" s="587"/>
      <c r="S25" s="587"/>
      <c r="T25" s="587"/>
    </row>
    <row r="26" spans="3:20">
      <c r="C26" s="363"/>
      <c r="D26" s="585"/>
      <c r="E26" s="585"/>
      <c r="F26" s="585"/>
      <c r="G26" s="585"/>
      <c r="H26" s="954">
        <f>H25*5%</f>
        <v>27.5</v>
      </c>
      <c r="I26" s="585"/>
      <c r="R26" s="266"/>
      <c r="S26" s="266"/>
    </row>
    <row r="27" spans="3:20" ht="14.25" customHeight="1">
      <c r="C27" t="s">
        <v>807</v>
      </c>
      <c r="D27" s="205">
        <v>550</v>
      </c>
      <c r="E27" s="205"/>
      <c r="G27" s="205"/>
      <c r="H27" s="205">
        <f>H26*89.75</f>
        <v>2468.125</v>
      </c>
      <c r="I27" s="205"/>
      <c r="J27" s="588"/>
      <c r="K27" s="516"/>
      <c r="R27" s="266"/>
      <c r="S27" s="266"/>
      <c r="T27" s="321"/>
    </row>
    <row r="28" spans="3:20">
      <c r="C28" s="363" t="s">
        <v>808</v>
      </c>
      <c r="D28" s="947">
        <f>D27*89.75</f>
        <v>49362.5</v>
      </c>
      <c r="E28" s="585"/>
      <c r="F28" s="585"/>
      <c r="G28" s="585"/>
      <c r="H28" s="585"/>
      <c r="I28" s="585"/>
      <c r="K28" s="355"/>
      <c r="R28" s="266"/>
      <c r="S28" s="266"/>
    </row>
    <row r="29" spans="3:20">
      <c r="C29" t="s">
        <v>809</v>
      </c>
      <c r="D29" s="205">
        <f>D9</f>
        <v>1815.91</v>
      </c>
      <c r="K29" s="516"/>
      <c r="R29" s="516"/>
      <c r="S29" s="516"/>
      <c r="T29" s="516"/>
    </row>
    <row r="30" spans="3:20">
      <c r="C30" s="363" t="s">
        <v>805</v>
      </c>
      <c r="D30" s="361">
        <f>D28/D29</f>
        <v>27.183340584059781</v>
      </c>
      <c r="E30" s="571">
        <f>D24+D30</f>
        <v>120.94115347126234</v>
      </c>
      <c r="F30" s="309">
        <f>E30/D23</f>
        <v>0.34376245638307906</v>
      </c>
      <c r="H30" s="391"/>
      <c r="O30" s="943"/>
    </row>
    <row r="31" spans="3:20">
      <c r="C31" s="363" t="s">
        <v>806</v>
      </c>
      <c r="D31" s="361">
        <f>D25+D30</f>
        <v>472.75721489854334</v>
      </c>
      <c r="E31" s="571"/>
      <c r="F31" s="309"/>
      <c r="H31" s="391"/>
      <c r="O31" s="943"/>
    </row>
    <row r="32" spans="3:20">
      <c r="G32" s="270"/>
      <c r="H32" s="506" t="s">
        <v>810</v>
      </c>
      <c r="I32" s="506" t="s">
        <v>811</v>
      </c>
      <c r="J32" s="506" t="s">
        <v>812</v>
      </c>
      <c r="L32" s="267"/>
      <c r="O32" s="391"/>
    </row>
    <row r="33" spans="3:14">
      <c r="C33" s="363" t="s">
        <v>813</v>
      </c>
      <c r="D33" s="205" t="s">
        <v>35</v>
      </c>
      <c r="E33" s="948" t="s">
        <v>155</v>
      </c>
      <c r="G33" s="956" t="s">
        <v>814</v>
      </c>
      <c r="H33" s="584" t="s">
        <v>24</v>
      </c>
      <c r="I33" s="584" t="s">
        <v>24</v>
      </c>
      <c r="J33" s="584" t="s">
        <v>24</v>
      </c>
      <c r="K33" s="955" t="s">
        <v>815</v>
      </c>
    </row>
    <row r="34" spans="3:14">
      <c r="C34" s="950" t="s">
        <v>69</v>
      </c>
      <c r="D34" s="205">
        <v>600</v>
      </c>
      <c r="E34" s="948">
        <f>D34*(1+E35)</f>
        <v>660</v>
      </c>
      <c r="G34" s="305" t="s">
        <v>816</v>
      </c>
      <c r="H34" s="957">
        <f>'P&amp;L consol'!BN5</f>
        <v>2651.4423471521386</v>
      </c>
      <c r="I34" s="958">
        <f>H34+D34</f>
        <v>3251.4423471521386</v>
      </c>
      <c r="J34" s="958">
        <f>H34+D34</f>
        <v>3251.4423471521386</v>
      </c>
      <c r="K34" t="s">
        <v>817</v>
      </c>
    </row>
    <row r="35" spans="3:14">
      <c r="C35" s="264" t="s">
        <v>179</v>
      </c>
      <c r="D35" s="888"/>
      <c r="E35" s="951">
        <v>0.1</v>
      </c>
      <c r="G35" s="270" t="s">
        <v>69</v>
      </c>
      <c r="H35" s="959">
        <f>'P&amp;L consol'!BN12</f>
        <v>247909.85945872497</v>
      </c>
      <c r="I35" s="959">
        <f>I34*89</f>
        <v>289378.36889654031</v>
      </c>
      <c r="J35" s="959">
        <f>J34*89</f>
        <v>289378.36889654031</v>
      </c>
      <c r="K35" s="572"/>
    </row>
    <row r="36" spans="3:14">
      <c r="C36" t="s">
        <v>72</v>
      </c>
      <c r="D36">
        <f>D34*D37</f>
        <v>114</v>
      </c>
      <c r="E36" s="516">
        <f>E34*E37</f>
        <v>128.70000000000002</v>
      </c>
      <c r="G36" s="270" t="s">
        <v>72</v>
      </c>
      <c r="H36" s="358">
        <f>'P&amp;L consol'!BN29</f>
        <v>51056.025862440059</v>
      </c>
      <c r="I36" s="454">
        <f>H36+L36</f>
        <v>61202.025862440059</v>
      </c>
      <c r="J36" s="454">
        <f>H36+L36</f>
        <v>61202.025862440059</v>
      </c>
      <c r="K36" t="s">
        <v>818</v>
      </c>
      <c r="L36">
        <f>D36*89</f>
        <v>10146</v>
      </c>
    </row>
    <row r="37" spans="3:14">
      <c r="C37" t="s">
        <v>797</v>
      </c>
      <c r="D37" s="953">
        <v>0.19</v>
      </c>
      <c r="E37" s="953">
        <v>0.19500000000000001</v>
      </c>
      <c r="G37" s="960" t="s">
        <v>51</v>
      </c>
      <c r="H37" s="961">
        <f>H36/H35*100</f>
        <v>20.594592717656912</v>
      </c>
      <c r="I37" s="961">
        <f>I36/I35*100</f>
        <v>21.14948193806471</v>
      </c>
      <c r="J37" s="961">
        <f>J36/J35*100</f>
        <v>21.14948193806471</v>
      </c>
    </row>
    <row r="38" spans="3:14">
      <c r="C38" t="s">
        <v>180</v>
      </c>
      <c r="D38" s="205"/>
      <c r="E38">
        <f>(D16*20%)/4</f>
        <v>0.11750000000000001</v>
      </c>
      <c r="G38" s="270" t="s">
        <v>73</v>
      </c>
      <c r="H38" s="358">
        <f>'P&amp;L consol'!BN39</f>
        <v>38192.786399546254</v>
      </c>
      <c r="I38" s="454">
        <f>H38+M43-N39</f>
        <v>43748.929256689109</v>
      </c>
      <c r="J38" s="454">
        <f>H38+M43-N39</f>
        <v>43748.929256689109</v>
      </c>
      <c r="K38" t="s">
        <v>819</v>
      </c>
      <c r="M38">
        <f>D16*20%*1000</f>
        <v>470.00000000000006</v>
      </c>
      <c r="N38">
        <f>'P&amp;L consol'!BN34</f>
        <v>12863.239462893804</v>
      </c>
    </row>
    <row r="39" spans="3:14">
      <c r="C39" t="s">
        <v>73</v>
      </c>
      <c r="D39" s="663"/>
      <c r="E39" s="516">
        <f>E36-E38</f>
        <v>128.58250000000001</v>
      </c>
      <c r="G39" s="960" t="s">
        <v>204</v>
      </c>
      <c r="H39" s="961">
        <f>H38/H35*100</f>
        <v>15.405916683965145</v>
      </c>
      <c r="I39" s="961">
        <f t="shared" ref="I39:J39" si="1">I38/I35*100</f>
        <v>15.11824447124809</v>
      </c>
      <c r="J39" s="961">
        <f t="shared" si="1"/>
        <v>15.11824447124809</v>
      </c>
      <c r="K39" s="662"/>
      <c r="L39" s="941"/>
      <c r="M39">
        <f>M38/14</f>
        <v>33.571428571428577</v>
      </c>
      <c r="N39">
        <f>M39*89</f>
        <v>2987.8571428571431</v>
      </c>
    </row>
    <row r="40" spans="3:14">
      <c r="C40" t="s">
        <v>820</v>
      </c>
      <c r="D40" s="663"/>
      <c r="E40">
        <f>550*7%</f>
        <v>38.500000000000007</v>
      </c>
      <c r="G40" s="270" t="s">
        <v>821</v>
      </c>
      <c r="H40" s="358">
        <f>'P&amp;L consol'!BN66</f>
        <v>24981.541089296526</v>
      </c>
      <c r="I40" s="454">
        <f>H40+N53</f>
        <v>31402.891089296529</v>
      </c>
      <c r="J40" s="454">
        <f>H40+M53</f>
        <v>29567.266089296529</v>
      </c>
      <c r="K40" s="662" t="s">
        <v>822</v>
      </c>
      <c r="L40" s="942"/>
    </row>
    <row r="41" spans="3:14">
      <c r="C41" t="s">
        <v>74</v>
      </c>
      <c r="D41" s="364"/>
      <c r="E41" s="516">
        <f>E39-E40</f>
        <v>90.08250000000001</v>
      </c>
      <c r="G41" s="960" t="s">
        <v>823</v>
      </c>
      <c r="H41" s="961">
        <f>H40/H35*100</f>
        <v>10.076864689383504</v>
      </c>
      <c r="I41" s="961">
        <f>I40/I35*100</f>
        <v>10.851844665875428</v>
      </c>
      <c r="J41" s="961">
        <f>J40/J35*100</f>
        <v>10.217510798074729</v>
      </c>
      <c r="K41" s="662"/>
      <c r="L41" s="359"/>
      <c r="N41" s="496"/>
    </row>
    <row r="42" spans="3:14">
      <c r="C42" t="s">
        <v>168</v>
      </c>
      <c r="E42" s="516">
        <f>E41*20%</f>
        <v>18.016500000000004</v>
      </c>
      <c r="G42" s="960" t="s">
        <v>81</v>
      </c>
      <c r="H42" s="357">
        <f>H40/H43</f>
        <v>56.034926105302205</v>
      </c>
      <c r="I42" s="357">
        <f>I40/I43</f>
        <v>66.424985382900573</v>
      </c>
      <c r="J42" s="357">
        <f>J40/J43</f>
        <v>66.357719322718012</v>
      </c>
      <c r="L42" t="s">
        <v>73</v>
      </c>
      <c r="M42">
        <f>D34*16%</f>
        <v>96</v>
      </c>
      <c r="N42" s="391">
        <f>M42</f>
        <v>96</v>
      </c>
    </row>
    <row r="43" spans="3:14">
      <c r="C43" t="s">
        <v>824</v>
      </c>
      <c r="E43" s="516">
        <f>E41-E42</f>
        <v>72.066000000000003</v>
      </c>
      <c r="G43" s="270" t="s">
        <v>825</v>
      </c>
      <c r="H43" s="358">
        <f>'P&amp;L consol'!BN71</f>
        <v>445.82089824390243</v>
      </c>
      <c r="I43" s="506">
        <f>D31</f>
        <v>472.75721489854334</v>
      </c>
      <c r="J43" s="506">
        <f>D25</f>
        <v>445.57387431448353</v>
      </c>
      <c r="M43">
        <f>M42*89</f>
        <v>8544</v>
      </c>
    </row>
    <row r="44" spans="3:14">
      <c r="E44" s="949">
        <f>E43/E34</f>
        <v>0.10919090909090909</v>
      </c>
      <c r="M44" s="321">
        <f>H38+M43-N39</f>
        <v>43748.929256689109</v>
      </c>
    </row>
    <row r="45" spans="3:14">
      <c r="L45" s="267" t="s">
        <v>820</v>
      </c>
      <c r="M45">
        <f>550*5%</f>
        <v>27.5</v>
      </c>
      <c r="N45">
        <v>0</v>
      </c>
    </row>
    <row r="46" spans="3:14">
      <c r="C46" t="s">
        <v>826</v>
      </c>
      <c r="E46" s="516">
        <f>E34*9%</f>
        <v>59.4</v>
      </c>
      <c r="H46" s="353"/>
      <c r="L46" t="s">
        <v>183</v>
      </c>
      <c r="M46">
        <f>10*2%</f>
        <v>0.2</v>
      </c>
      <c r="N46">
        <f>M46</f>
        <v>0.2</v>
      </c>
    </row>
    <row r="47" spans="3:14">
      <c r="C47" t="s">
        <v>827</v>
      </c>
      <c r="D47" s="391"/>
      <c r="E47" s="361">
        <f>E46*89.75</f>
        <v>5331.15</v>
      </c>
      <c r="I47" s="267"/>
      <c r="L47" t="s">
        <v>74</v>
      </c>
      <c r="M47">
        <f>M42-M45+M46</f>
        <v>68.7</v>
      </c>
      <c r="N47">
        <f>N42-N45+N46</f>
        <v>96.2</v>
      </c>
    </row>
    <row r="48" spans="3:14">
      <c r="C48" t="s">
        <v>828</v>
      </c>
      <c r="D48" s="391"/>
      <c r="E48" s="266">
        <f>19082.3821969314+E47</f>
        <v>24413.532196931403</v>
      </c>
      <c r="L48" t="s">
        <v>168</v>
      </c>
      <c r="M48">
        <f>M47*25%</f>
        <v>17.175000000000001</v>
      </c>
      <c r="N48">
        <f>N47*25%</f>
        <v>24.05</v>
      </c>
    </row>
    <row r="49" spans="3:14">
      <c r="C49" t="s">
        <v>829</v>
      </c>
      <c r="D49" s="391"/>
      <c r="E49" s="205">
        <f>D25+D30</f>
        <v>472.75721489854334</v>
      </c>
      <c r="L49" t="s">
        <v>824</v>
      </c>
      <c r="M49">
        <f>M47-M48</f>
        <v>51.525000000000006</v>
      </c>
      <c r="N49">
        <f>N47-N48</f>
        <v>72.150000000000006</v>
      </c>
    </row>
    <row r="50" spans="3:14">
      <c r="C50" t="s">
        <v>81</v>
      </c>
      <c r="D50" s="353">
        <v>54.239656141667282</v>
      </c>
      <c r="E50" s="952">
        <f>E48/E49</f>
        <v>51.640739533019499</v>
      </c>
      <c r="F50" s="309">
        <f>E50/D50-1</f>
        <v>-4.7915432978773542E-2</v>
      </c>
      <c r="L50" t="s">
        <v>830</v>
      </c>
      <c r="M50" s="267">
        <f>M49/M51</f>
        <v>8.5875000000000007E-2</v>
      </c>
      <c r="N50" s="267">
        <f>N49/N51</f>
        <v>0.12025000000000001</v>
      </c>
    </row>
    <row r="51" spans="3:14">
      <c r="C51" t="s">
        <v>831</v>
      </c>
      <c r="E51">
        <v>40</v>
      </c>
      <c r="H51" s="266"/>
      <c r="L51" t="s">
        <v>69</v>
      </c>
      <c r="M51">
        <v>600</v>
      </c>
      <c r="N51">
        <v>600</v>
      </c>
    </row>
    <row r="52" spans="3:14">
      <c r="D52" s="391"/>
      <c r="E52" s="516">
        <f>E50*E51</f>
        <v>2065.6295813207798</v>
      </c>
      <c r="H52" s="267"/>
    </row>
    <row r="53" spans="3:14">
      <c r="D53" s="391"/>
      <c r="L53" s="205"/>
      <c r="M53">
        <f>M49*89</f>
        <v>4585.7250000000004</v>
      </c>
      <c r="N53">
        <f>N49*89</f>
        <v>6421.35</v>
      </c>
    </row>
    <row r="54" spans="3:14">
      <c r="D54" s="391"/>
      <c r="L54" s="205"/>
      <c r="M54" s="205"/>
    </row>
    <row r="56" spans="3:14">
      <c r="L56" s="205"/>
      <c r="M56" s="205"/>
      <c r="N56" s="205"/>
    </row>
    <row r="57" spans="3:14">
      <c r="D57" s="391"/>
    </row>
    <row r="58" spans="3:14">
      <c r="D58" s="391"/>
    </row>
    <row r="61" spans="3:14">
      <c r="D61" s="391"/>
    </row>
    <row r="62" spans="3:14">
      <c r="D62" s="391"/>
    </row>
    <row r="63" spans="3:14">
      <c r="D63" s="391"/>
    </row>
    <row r="64" spans="3:14">
      <c r="D64" s="391"/>
    </row>
    <row r="65" spans="3:14">
      <c r="D65" s="391"/>
    </row>
    <row r="66" spans="3:14">
      <c r="D66" s="391"/>
    </row>
    <row r="67" spans="3:14">
      <c r="D67" s="391"/>
    </row>
    <row r="69" spans="3:14">
      <c r="D69" s="496"/>
    </row>
    <row r="70" spans="3:14">
      <c r="D70" s="496"/>
    </row>
    <row r="72" spans="3:14">
      <c r="H72" s="391"/>
      <c r="L72" s="496"/>
      <c r="N72" s="496"/>
    </row>
    <row r="73" spans="3:14">
      <c r="C73" s="270"/>
      <c r="D73" s="939"/>
      <c r="E73" s="270"/>
      <c r="H73" s="391"/>
      <c r="L73" s="496"/>
      <c r="N73" s="496"/>
    </row>
    <row r="74" spans="3:14">
      <c r="C74" s="270"/>
      <c r="D74" s="591"/>
      <c r="E74" s="362"/>
      <c r="H74" s="391"/>
      <c r="N74" s="496"/>
    </row>
    <row r="75" spans="3:14">
      <c r="C75" s="270"/>
      <c r="D75" s="591"/>
      <c r="E75" s="362"/>
      <c r="H75" s="940"/>
      <c r="I75" s="375"/>
      <c r="N75" s="391"/>
    </row>
    <row r="76" spans="3:14">
      <c r="C76" s="270"/>
      <c r="D76" s="357"/>
      <c r="E76" s="270"/>
      <c r="H76" s="391"/>
    </row>
    <row r="77" spans="3:14">
      <c r="C77" s="270"/>
      <c r="D77" s="592"/>
      <c r="E77" s="270"/>
      <c r="H77" s="391"/>
    </row>
    <row r="78" spans="3:14">
      <c r="C78" s="270"/>
      <c r="D78" s="357"/>
      <c r="E78" s="270"/>
      <c r="H78" s="589"/>
      <c r="I78" s="589"/>
    </row>
    <row r="79" spans="3:14">
      <c r="C79" s="270"/>
      <c r="D79" s="506"/>
      <c r="E79" s="270"/>
      <c r="K79" s="267"/>
    </row>
    <row r="80" spans="3:14">
      <c r="C80" s="270"/>
      <c r="D80" s="357"/>
      <c r="E80" s="359"/>
    </row>
    <row r="81" spans="4:9">
      <c r="H81" s="205"/>
      <c r="I81" s="205"/>
    </row>
    <row r="82" spans="4:9">
      <c r="D82" s="205"/>
    </row>
    <row r="93" spans="4:9">
      <c r="D93" s="205"/>
    </row>
    <row r="95" spans="4:9">
      <c r="D95" s="205"/>
    </row>
    <row r="97" spans="4:5">
      <c r="D97" s="205"/>
    </row>
    <row r="98" spans="4:5">
      <c r="D98" s="353"/>
      <c r="E98" s="267"/>
    </row>
    <row r="99" spans="4:5">
      <c r="D99" s="353"/>
    </row>
    <row r="103" spans="4:5">
      <c r="D103" s="205"/>
    </row>
  </sheetData>
  <mergeCells count="1">
    <mergeCell ref="D13:F13"/>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00ABE-6EDE-4B00-97BA-D7AA4E81800C}">
  <sheetPr>
    <tabColor rgb="FF00B050"/>
  </sheetPr>
  <dimension ref="A1:BC423"/>
  <sheetViews>
    <sheetView showGridLines="0" zoomScale="90" zoomScaleNormal="90" workbookViewId="0">
      <pane xSplit="1" ySplit="2" topLeftCell="AM206" activePane="bottomRight" state="frozen"/>
      <selection pane="bottomRight" activeCell="AM16" sqref="AM16"/>
      <selection pane="bottomLeft" activeCell="A3" sqref="A3"/>
      <selection pane="topRight" activeCell="B1" sqref="B1"/>
    </sheetView>
  </sheetViews>
  <sheetFormatPr defaultRowHeight="14.45"/>
  <cols>
    <col min="1" max="1" width="23.85546875" customWidth="1"/>
    <col min="2" max="15" width="9.140625" customWidth="1"/>
    <col min="28" max="28" width="9.140625" bestFit="1" customWidth="1"/>
    <col min="29" max="37" width="9.140625" customWidth="1"/>
    <col min="40" max="43" width="9.140625" customWidth="1"/>
    <col min="44" max="44" width="9.5703125" bestFit="1" customWidth="1"/>
  </cols>
  <sheetData>
    <row r="1" spans="1:55">
      <c r="A1" s="1"/>
      <c r="B1" s="334">
        <v>42156</v>
      </c>
      <c r="C1" s="334">
        <v>42248</v>
      </c>
      <c r="D1" s="334">
        <v>42339</v>
      </c>
      <c r="E1" s="334">
        <v>42430</v>
      </c>
      <c r="F1" s="334">
        <v>42522</v>
      </c>
      <c r="G1" s="334">
        <v>42614</v>
      </c>
      <c r="H1" s="334">
        <v>42705</v>
      </c>
      <c r="I1" s="334">
        <v>42795</v>
      </c>
      <c r="J1" s="334">
        <v>42887</v>
      </c>
      <c r="K1" s="334">
        <v>42979</v>
      </c>
      <c r="L1" s="334">
        <v>43070</v>
      </c>
      <c r="M1" s="334">
        <v>43160</v>
      </c>
      <c r="N1" s="334">
        <v>43252</v>
      </c>
      <c r="O1" s="334">
        <v>43344</v>
      </c>
      <c r="P1" s="334">
        <v>43435</v>
      </c>
      <c r="Q1" s="334">
        <v>43525</v>
      </c>
      <c r="R1" s="334">
        <v>43617</v>
      </c>
      <c r="S1" s="334">
        <v>43709</v>
      </c>
      <c r="T1" s="334">
        <v>43800</v>
      </c>
      <c r="U1" s="334">
        <v>43891</v>
      </c>
      <c r="V1" s="334">
        <v>43983</v>
      </c>
      <c r="W1" s="334">
        <v>44075</v>
      </c>
      <c r="X1" s="334">
        <v>44166</v>
      </c>
      <c r="Y1" s="334">
        <v>44256</v>
      </c>
      <c r="Z1" s="334">
        <v>44348</v>
      </c>
      <c r="AA1" s="334">
        <v>44440</v>
      </c>
      <c r="AB1" s="334">
        <v>44531</v>
      </c>
      <c r="AC1" s="334">
        <v>44621</v>
      </c>
      <c r="AD1" s="334">
        <v>44713</v>
      </c>
      <c r="AE1" s="334">
        <v>44805</v>
      </c>
      <c r="AF1" s="334">
        <v>44896</v>
      </c>
      <c r="AG1" s="334">
        <v>44986</v>
      </c>
      <c r="AH1" s="334">
        <v>45078</v>
      </c>
      <c r="AI1" s="334">
        <v>45170</v>
      </c>
      <c r="AJ1" s="334">
        <v>45261</v>
      </c>
      <c r="AK1" s="334">
        <v>45352</v>
      </c>
      <c r="AL1" s="334">
        <v>45444</v>
      </c>
      <c r="AM1" s="334">
        <v>45536</v>
      </c>
      <c r="AN1" s="2"/>
      <c r="AO1" s="2"/>
      <c r="AP1" s="2"/>
      <c r="AQ1" s="2"/>
      <c r="AR1" s="2"/>
      <c r="AS1" s="2" t="s">
        <v>101</v>
      </c>
      <c r="AT1" s="2" t="s">
        <v>101</v>
      </c>
      <c r="AU1" s="2" t="s">
        <v>101</v>
      </c>
      <c r="AV1" s="2" t="s">
        <v>101</v>
      </c>
      <c r="AW1" s="2" t="s">
        <v>101</v>
      </c>
      <c r="AX1" s="2" t="s">
        <v>101</v>
      </c>
      <c r="AY1" s="2" t="s">
        <v>101</v>
      </c>
    </row>
    <row r="2" spans="1:55">
      <c r="A2" s="3" t="s">
        <v>102</v>
      </c>
      <c r="B2" s="2" t="s">
        <v>832</v>
      </c>
      <c r="C2" s="2" t="s">
        <v>833</v>
      </c>
      <c r="D2" s="2" t="s">
        <v>834</v>
      </c>
      <c r="E2" s="2" t="s">
        <v>835</v>
      </c>
      <c r="F2" s="2" t="s">
        <v>836</v>
      </c>
      <c r="G2" s="2" t="s">
        <v>837</v>
      </c>
      <c r="H2" s="2" t="s">
        <v>838</v>
      </c>
      <c r="I2" s="2" t="s">
        <v>839</v>
      </c>
      <c r="J2" s="2" t="s">
        <v>106</v>
      </c>
      <c r="K2" s="2" t="s">
        <v>107</v>
      </c>
      <c r="L2" s="2" t="s">
        <v>108</v>
      </c>
      <c r="M2" s="2" t="s">
        <v>109</v>
      </c>
      <c r="N2" s="2" t="s">
        <v>110</v>
      </c>
      <c r="O2" s="2" t="s">
        <v>111</v>
      </c>
      <c r="P2" s="2" t="s">
        <v>112</v>
      </c>
      <c r="Q2" s="2" t="s">
        <v>113</v>
      </c>
      <c r="R2" s="2" t="s">
        <v>114</v>
      </c>
      <c r="S2" s="2" t="s">
        <v>115</v>
      </c>
      <c r="T2" s="2" t="s">
        <v>116</v>
      </c>
      <c r="U2" s="2" t="s">
        <v>117</v>
      </c>
      <c r="V2" s="2" t="s">
        <v>118</v>
      </c>
      <c r="W2" s="2" t="s">
        <v>119</v>
      </c>
      <c r="X2" s="2" t="s">
        <v>120</v>
      </c>
      <c r="Y2" s="2" t="s">
        <v>121</v>
      </c>
      <c r="Z2" s="2" t="s">
        <v>122</v>
      </c>
      <c r="AA2" s="2" t="s">
        <v>123</v>
      </c>
      <c r="AB2" s="2" t="s">
        <v>124</v>
      </c>
      <c r="AC2" s="2" t="s">
        <v>125</v>
      </c>
      <c r="AD2" s="2" t="s">
        <v>126</v>
      </c>
      <c r="AE2" s="2" t="s">
        <v>127</v>
      </c>
      <c r="AF2" s="2" t="s">
        <v>128</v>
      </c>
      <c r="AG2" s="2" t="s">
        <v>129</v>
      </c>
      <c r="AH2" s="2" t="s">
        <v>130</v>
      </c>
      <c r="AI2" s="2" t="s">
        <v>131</v>
      </c>
      <c r="AJ2" s="2" t="s">
        <v>132</v>
      </c>
      <c r="AK2" s="2" t="s">
        <v>133</v>
      </c>
      <c r="AL2" s="2" t="s">
        <v>134</v>
      </c>
      <c r="AM2" s="2" t="s">
        <v>135</v>
      </c>
      <c r="AN2" s="2"/>
      <c r="AO2" s="2"/>
      <c r="AP2" s="2"/>
      <c r="AQ2" s="2"/>
      <c r="AR2" s="2"/>
      <c r="AS2" s="2" t="s">
        <v>154</v>
      </c>
      <c r="AT2" s="2" t="s">
        <v>16</v>
      </c>
      <c r="AU2" s="2" t="s">
        <v>17</v>
      </c>
      <c r="AV2" s="2" t="s">
        <v>18</v>
      </c>
      <c r="AW2" s="2" t="s">
        <v>19</v>
      </c>
      <c r="AX2" s="2" t="s">
        <v>20</v>
      </c>
      <c r="AY2" s="2" t="s">
        <v>21</v>
      </c>
    </row>
    <row r="3" spans="1:55">
      <c r="A3" s="4"/>
      <c r="B3" s="4"/>
      <c r="C3" s="4"/>
      <c r="D3" s="4"/>
      <c r="E3" s="4"/>
      <c r="F3" s="4"/>
      <c r="G3" s="4"/>
      <c r="H3" s="4"/>
      <c r="I3" s="4"/>
      <c r="J3" s="4"/>
      <c r="K3" s="4"/>
      <c r="L3" s="4"/>
      <c r="M3" s="5"/>
      <c r="N3" s="5"/>
      <c r="O3" s="5">
        <f>O4*4</f>
        <v>494.85179407176281</v>
      </c>
      <c r="P3" s="5"/>
      <c r="Q3" s="5"/>
      <c r="R3" s="5"/>
      <c r="S3" s="5"/>
      <c r="T3" s="5"/>
      <c r="U3" s="5"/>
      <c r="V3" s="5"/>
      <c r="W3" s="5"/>
      <c r="X3" s="5">
        <f t="shared" ref="X3:AK3" si="0">X4-W4</f>
        <v>5.9000000000000057</v>
      </c>
      <c r="Y3" s="5">
        <f t="shared" si="0"/>
        <v>11.299999999999983</v>
      </c>
      <c r="Z3" s="5">
        <f t="shared" si="0"/>
        <v>27.599999999999994</v>
      </c>
      <c r="AA3" s="5">
        <f t="shared" si="0"/>
        <v>13.100000000000023</v>
      </c>
      <c r="AB3" s="5">
        <f t="shared" si="0"/>
        <v>8.7999999999999829</v>
      </c>
      <c r="AC3" s="5">
        <f t="shared" si="0"/>
        <v>10.800000000000011</v>
      </c>
      <c r="AD3" s="5">
        <f t="shared" si="0"/>
        <v>6.2999999999999829</v>
      </c>
      <c r="AE3" s="5">
        <f t="shared" si="0"/>
        <v>8.2000000000000171</v>
      </c>
      <c r="AF3" s="5">
        <f t="shared" si="0"/>
        <v>4.7999999999999829</v>
      </c>
      <c r="AG3" s="5">
        <f t="shared" si="0"/>
        <v>12.699999999999989</v>
      </c>
      <c r="AH3" s="5">
        <f t="shared" si="0"/>
        <v>7.4000000000000341</v>
      </c>
      <c r="AI3" s="5">
        <f t="shared" si="0"/>
        <v>6.3000000000000114</v>
      </c>
      <c r="AJ3" s="5">
        <f t="shared" si="0"/>
        <v>3.8999999999999773</v>
      </c>
      <c r="AK3" s="5">
        <f t="shared" si="0"/>
        <v>-1.1000000000000227</v>
      </c>
      <c r="AL3" s="5">
        <f>AL4-AK4</f>
        <v>5.5</v>
      </c>
      <c r="AM3" s="5">
        <f>AM4-AL4</f>
        <v>23.600000000000023</v>
      </c>
      <c r="AN3" s="510"/>
      <c r="AO3" s="4"/>
      <c r="AP3" s="4"/>
      <c r="AQ3" s="4"/>
      <c r="AR3" s="17"/>
      <c r="AS3" s="17">
        <f t="shared" ref="AS3:AY3" si="1">AS4-AR4</f>
        <v>455</v>
      </c>
      <c r="AT3" s="17">
        <f t="shared" si="1"/>
        <v>72</v>
      </c>
      <c r="AU3" s="17">
        <f t="shared" si="1"/>
        <v>65.169811320754775</v>
      </c>
      <c r="AV3" s="17">
        <f t="shared" si="1"/>
        <v>35.530188679245271</v>
      </c>
      <c r="AW3" s="17">
        <f t="shared" si="1"/>
        <v>238.79999999999995</v>
      </c>
      <c r="AX3" s="17">
        <f t="shared" si="1"/>
        <v>135.19999999999993</v>
      </c>
      <c r="AY3" s="17">
        <f t="shared" si="1"/>
        <v>97.600000000000023</v>
      </c>
    </row>
    <row r="4" spans="1:55">
      <c r="A4" s="6" t="s">
        <v>159</v>
      </c>
      <c r="B4" s="245" t="e">
        <f>'P&amp;L consol'!#REF!</f>
        <v>#REF!</v>
      </c>
      <c r="C4" s="245" t="e">
        <f>'P&amp;L consol'!#REF!</f>
        <v>#REF!</v>
      </c>
      <c r="D4" s="245" t="e">
        <f>'P&amp;L consol'!#REF!</f>
        <v>#REF!</v>
      </c>
      <c r="E4" s="245" t="e">
        <f>'P&amp;L consol'!#REF!</f>
        <v>#REF!</v>
      </c>
      <c r="F4" s="245" t="e">
        <f>'P&amp;L consol'!#REF!</f>
        <v>#REF!</v>
      </c>
      <c r="G4" s="245" t="e">
        <f>'P&amp;L consol'!#REF!</f>
        <v>#REF!</v>
      </c>
      <c r="H4" s="245" t="e">
        <f>'P&amp;L consol'!#REF!</f>
        <v>#REF!</v>
      </c>
      <c r="I4" s="245" t="e">
        <f>'P&amp;L consol'!#REF!</f>
        <v>#REF!</v>
      </c>
      <c r="J4" s="245">
        <f>'P&amp;L consol'!F5</f>
        <v>110.06054960409875</v>
      </c>
      <c r="K4" s="245" t="e">
        <f>'P&amp;L consol'!G5</f>
        <v>#REF!</v>
      </c>
      <c r="L4" s="245" t="e">
        <f>'P&amp;L consol'!H5</f>
        <v>#REF!</v>
      </c>
      <c r="M4" s="245" t="e">
        <f>'P&amp;L consol'!I5</f>
        <v>#REF!</v>
      </c>
      <c r="N4" s="245">
        <f>'P&amp;L consol'!J5</f>
        <v>118.55746445497631</v>
      </c>
      <c r="O4" s="245">
        <f>'P&amp;L consol'!K5</f>
        <v>123.7129485179407</v>
      </c>
      <c r="P4" s="245">
        <f>'P&amp;L consol'!L5</f>
        <v>129.06782026234998</v>
      </c>
      <c r="Q4" s="245">
        <f>'P&amp;L consol'!M5</f>
        <v>134.5121247113164</v>
      </c>
      <c r="R4" s="246">
        <f>'P&amp;L consol'!N5</f>
        <v>140.10218978102191</v>
      </c>
      <c r="S4" s="246">
        <f>'P&amp;L consol'!O5</f>
        <v>146.97141239739599</v>
      </c>
      <c r="T4" s="246">
        <f>'P&amp;L consol'!P5</f>
        <v>151.2470057770889</v>
      </c>
      <c r="U4" s="246">
        <f>'P&amp;L consol'!Q5</f>
        <v>154.80044655316775</v>
      </c>
      <c r="V4" s="246">
        <f>'P&amp;L consol'!R5</f>
        <v>139.9</v>
      </c>
      <c r="W4" s="246">
        <f>'P&amp;L consol'!S5</f>
        <v>154.9</v>
      </c>
      <c r="X4" s="246">
        <f>'P&amp;L consol'!T5</f>
        <v>160.80000000000001</v>
      </c>
      <c r="Y4" s="246">
        <f>'P&amp;L consol'!U5</f>
        <v>172.1</v>
      </c>
      <c r="Z4" s="246">
        <f>'P&amp;L consol'!V5</f>
        <v>199.7</v>
      </c>
      <c r="AA4" s="246">
        <f>'P&amp;L consol'!W5</f>
        <v>212.8</v>
      </c>
      <c r="AB4" s="246">
        <f>'P&amp;L consol'!X5</f>
        <v>221.6</v>
      </c>
      <c r="AC4" s="246">
        <f>'P&amp;L consol'!Y5</f>
        <v>232.4</v>
      </c>
      <c r="AD4" s="246">
        <f>'P&amp;L consol'!Z5</f>
        <v>238.7</v>
      </c>
      <c r="AE4" s="246">
        <f>'P&amp;L consol'!AA5</f>
        <v>246.9</v>
      </c>
      <c r="AF4" s="246">
        <f>'P&amp;L consol'!AB5</f>
        <v>251.7</v>
      </c>
      <c r="AG4" s="246">
        <f>'P&amp;L consol'!AC5</f>
        <v>264.39999999999998</v>
      </c>
      <c r="AH4" s="246">
        <f>'P&amp;L consol'!AD5</f>
        <v>271.8</v>
      </c>
      <c r="AI4" s="246">
        <f>'P&amp;L consol'!AE5</f>
        <v>278.10000000000002</v>
      </c>
      <c r="AJ4" s="246">
        <f>'P&amp;L consol'!AF5</f>
        <v>282</v>
      </c>
      <c r="AK4" s="246">
        <f>'P&amp;L consol'!AG5</f>
        <v>280.89999999999998</v>
      </c>
      <c r="AL4" s="246">
        <f>'P&amp;L consol'!AH5</f>
        <v>286.39999999999998</v>
      </c>
      <c r="AM4" s="628">
        <v>310</v>
      </c>
      <c r="AN4" s="282"/>
      <c r="AO4" s="7"/>
      <c r="AP4" s="7"/>
      <c r="AQ4" s="7"/>
      <c r="AR4" s="7"/>
      <c r="AS4" s="7">
        <f>'P&amp;L consol'!BE5</f>
        <v>455</v>
      </c>
      <c r="AT4" s="7">
        <f>'P&amp;L consol'!BF5</f>
        <v>527</v>
      </c>
      <c r="AU4" s="473">
        <f>'P&amp;L consol'!BG5</f>
        <v>592.16981132075477</v>
      </c>
      <c r="AV4" s="7">
        <f>'P&amp;L consol'!BH5</f>
        <v>627.70000000000005</v>
      </c>
      <c r="AW4" s="369">
        <f>'P&amp;L consol'!BI5</f>
        <v>866.5</v>
      </c>
      <c r="AX4" s="369">
        <f>'P&amp;L consol'!BJ5</f>
        <v>1001.6999999999999</v>
      </c>
      <c r="AY4" s="369">
        <f>'P&amp;L consol'!BK5</f>
        <v>1099.3</v>
      </c>
      <c r="AZ4" s="309"/>
      <c r="BA4" s="321"/>
      <c r="BC4" s="267"/>
    </row>
    <row r="5" spans="1:55">
      <c r="A5" s="247" t="s">
        <v>598</v>
      </c>
      <c r="B5" s="245"/>
      <c r="C5" s="248"/>
      <c r="D5" s="248"/>
      <c r="E5" s="248"/>
      <c r="F5" s="248"/>
      <c r="G5" s="248"/>
      <c r="H5" s="248"/>
      <c r="I5" s="248"/>
      <c r="J5" s="248"/>
      <c r="K5" s="248"/>
      <c r="L5" s="248"/>
      <c r="M5" s="248"/>
      <c r="N5" s="248" t="e">
        <f t="shared" ref="N5:AL5" si="2">(N4/M4-1)*100</f>
        <v>#REF!</v>
      </c>
      <c r="O5" s="248">
        <f t="shared" si="2"/>
        <v>4.3485107299357395</v>
      </c>
      <c r="P5" s="248">
        <f t="shared" si="2"/>
        <v>4.3284650544342274</v>
      </c>
      <c r="Q5" s="248">
        <f t="shared" si="2"/>
        <v>4.2181733896954565</v>
      </c>
      <c r="R5" s="248">
        <f t="shared" si="2"/>
        <v>4.1558075762334612</v>
      </c>
      <c r="S5" s="248">
        <f t="shared" si="2"/>
        <v>4.9030087446246151</v>
      </c>
      <c r="T5" s="248">
        <f t="shared" si="2"/>
        <v>2.9091326741367496</v>
      </c>
      <c r="U5" s="248">
        <f t="shared" si="2"/>
        <v>2.3494288417953646</v>
      </c>
      <c r="V5" s="248">
        <f t="shared" si="2"/>
        <v>-9.6255837014333387</v>
      </c>
      <c r="W5" s="248">
        <f t="shared" si="2"/>
        <v>10.721944245889926</v>
      </c>
      <c r="X5" s="248">
        <f t="shared" si="2"/>
        <v>3.808908973531322</v>
      </c>
      <c r="Y5" s="332">
        <v>7.1</v>
      </c>
      <c r="Z5" s="248">
        <f t="shared" si="2"/>
        <v>16.037187681580466</v>
      </c>
      <c r="AA5" s="248">
        <f t="shared" si="2"/>
        <v>6.5598397596394742</v>
      </c>
      <c r="AB5" s="332">
        <v>4.2</v>
      </c>
      <c r="AC5" s="248">
        <f t="shared" si="2"/>
        <v>4.8736462093862842</v>
      </c>
      <c r="AD5" s="248">
        <f t="shared" si="2"/>
        <v>2.7108433734939652</v>
      </c>
      <c r="AE5" s="248">
        <f t="shared" si="2"/>
        <v>3.4352744030163418</v>
      </c>
      <c r="AF5" s="248">
        <f t="shared" si="2"/>
        <v>1.9441069258809174</v>
      </c>
      <c r="AG5" s="248">
        <f t="shared" si="2"/>
        <v>5.0456893126738178</v>
      </c>
      <c r="AH5" s="248">
        <f t="shared" si="2"/>
        <v>2.7987897125567374</v>
      </c>
      <c r="AI5" s="248">
        <f t="shared" si="2"/>
        <v>2.3178807947019875</v>
      </c>
      <c r="AJ5" s="248">
        <f t="shared" si="2"/>
        <v>1.4023732470334282</v>
      </c>
      <c r="AK5" s="248">
        <f t="shared" si="2"/>
        <v>-0.39007092198581894</v>
      </c>
      <c r="AL5" s="248">
        <f t="shared" si="2"/>
        <v>1.9579921680313195</v>
      </c>
      <c r="AM5" s="607">
        <f>(AM4/AL4-1)*100</f>
        <v>8.2402234636871583</v>
      </c>
      <c r="AN5" s="282"/>
      <c r="AO5" s="7"/>
      <c r="AP5" s="7"/>
      <c r="AQ5" s="307"/>
      <c r="AR5" s="248"/>
      <c r="AS5" s="248" t="e">
        <f t="shared" ref="AS5:AY5" si="3">(AS4/AR4-1)*100</f>
        <v>#DIV/0!</v>
      </c>
      <c r="AT5" s="248">
        <f t="shared" si="3"/>
        <v>15.824175824175835</v>
      </c>
      <c r="AU5" s="248">
        <f t="shared" si="3"/>
        <v>12.366188106405085</v>
      </c>
      <c r="AV5" s="248">
        <f t="shared" si="3"/>
        <v>6.0000000000000053</v>
      </c>
      <c r="AW5" s="248">
        <f t="shared" si="3"/>
        <v>38.043651425840366</v>
      </c>
      <c r="AX5" s="248">
        <f t="shared" si="3"/>
        <v>15.603000577034031</v>
      </c>
      <c r="AY5" s="248">
        <f t="shared" si="3"/>
        <v>9.7434361585305052</v>
      </c>
    </row>
    <row r="6" spans="1:55">
      <c r="A6" s="247" t="s">
        <v>599</v>
      </c>
      <c r="B6" s="245"/>
      <c r="C6" s="245"/>
      <c r="D6" s="245"/>
      <c r="E6" s="248"/>
      <c r="F6" s="248" t="e">
        <f t="shared" ref="F6:AM6" si="4">(F4/B4-1)*100</f>
        <v>#REF!</v>
      </c>
      <c r="G6" s="248" t="e">
        <f t="shared" si="4"/>
        <v>#REF!</v>
      </c>
      <c r="H6" s="248" t="e">
        <f t="shared" si="4"/>
        <v>#REF!</v>
      </c>
      <c r="I6" s="248" t="e">
        <f t="shared" si="4"/>
        <v>#REF!</v>
      </c>
      <c r="J6" s="618" t="e">
        <f t="shared" si="4"/>
        <v>#REF!</v>
      </c>
      <c r="K6" s="248" t="e">
        <f t="shared" si="4"/>
        <v>#REF!</v>
      </c>
      <c r="L6" s="248" t="e">
        <f t="shared" si="4"/>
        <v>#REF!</v>
      </c>
      <c r="M6" s="248" t="e">
        <f t="shared" si="4"/>
        <v>#REF!</v>
      </c>
      <c r="N6" s="618">
        <f t="shared" si="4"/>
        <v>7.7202184447033861</v>
      </c>
      <c r="O6" s="248" t="e">
        <f t="shared" si="4"/>
        <v>#REF!</v>
      </c>
      <c r="P6" s="248" t="e">
        <f t="shared" si="4"/>
        <v>#REF!</v>
      </c>
      <c r="Q6" s="248" t="e">
        <f t="shared" si="4"/>
        <v>#REF!</v>
      </c>
      <c r="R6" s="618">
        <f t="shared" si="4"/>
        <v>18.172390431163009</v>
      </c>
      <c r="S6" s="248">
        <f t="shared" si="4"/>
        <v>18.800347221602575</v>
      </c>
      <c r="T6" s="248">
        <f t="shared" si="4"/>
        <v>17.184132706089205</v>
      </c>
      <c r="U6" s="248">
        <f t="shared" si="4"/>
        <v>15.08289448657003</v>
      </c>
      <c r="V6" s="618">
        <f t="shared" si="4"/>
        <v>-0.14431593206210014</v>
      </c>
      <c r="W6" s="248">
        <f t="shared" si="4"/>
        <v>5.3946461242176058</v>
      </c>
      <c r="X6" s="248">
        <f t="shared" si="4"/>
        <v>6.3161542761319245</v>
      </c>
      <c r="Y6" s="248">
        <f t="shared" si="4"/>
        <v>11.175389885513386</v>
      </c>
      <c r="Z6" s="618">
        <f t="shared" si="4"/>
        <v>42.744817726947801</v>
      </c>
      <c r="AA6" s="248">
        <f t="shared" si="4"/>
        <v>37.378954163976765</v>
      </c>
      <c r="AB6" s="248">
        <f t="shared" si="4"/>
        <v>37.810945273631823</v>
      </c>
      <c r="AC6" s="248">
        <f t="shared" si="4"/>
        <v>35.037768739105182</v>
      </c>
      <c r="AD6" s="618">
        <f t="shared" si="4"/>
        <v>19.529293940911362</v>
      </c>
      <c r="AE6" s="248">
        <f t="shared" si="4"/>
        <v>16.024436090225571</v>
      </c>
      <c r="AF6" s="248">
        <f t="shared" si="4"/>
        <v>13.583032490974723</v>
      </c>
      <c r="AG6" s="248">
        <f t="shared" si="4"/>
        <v>13.769363166953518</v>
      </c>
      <c r="AH6" s="618">
        <f t="shared" si="4"/>
        <v>13.86677838290742</v>
      </c>
      <c r="AI6" s="248">
        <f t="shared" si="4"/>
        <v>12.636695018226018</v>
      </c>
      <c r="AJ6" s="248">
        <f t="shared" si="4"/>
        <v>12.038140643623363</v>
      </c>
      <c r="AK6" s="248">
        <f t="shared" si="4"/>
        <v>6.2405446293494649</v>
      </c>
      <c r="AL6" s="618">
        <f t="shared" si="4"/>
        <v>5.371596762325237</v>
      </c>
      <c r="AM6" s="607">
        <f t="shared" si="4"/>
        <v>11.470693994965831</v>
      </c>
      <c r="AN6" s="282"/>
      <c r="AO6" s="7"/>
      <c r="AP6" s="7"/>
      <c r="AQ6" s="7"/>
      <c r="AR6" s="7"/>
      <c r="AS6" s="7"/>
      <c r="AT6" s="6"/>
      <c r="AU6" s="6"/>
      <c r="AV6" s="583">
        <v>6</v>
      </c>
      <c r="AW6" s="583">
        <v>37.6</v>
      </c>
      <c r="AX6" s="583">
        <v>22.4</v>
      </c>
      <c r="AY6" s="583">
        <v>13.3</v>
      </c>
    </row>
    <row r="7" spans="1:55">
      <c r="A7" s="6" t="s">
        <v>600</v>
      </c>
      <c r="B7" s="245"/>
      <c r="C7" s="245"/>
      <c r="D7" s="245"/>
      <c r="E7" s="245"/>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c r="AJ7" s="248"/>
      <c r="AK7" s="248"/>
      <c r="AL7" s="248"/>
      <c r="AM7" s="248"/>
      <c r="AN7" s="282"/>
      <c r="AO7" s="7"/>
      <c r="AP7" s="7"/>
      <c r="AQ7" s="7"/>
      <c r="AR7" s="7"/>
      <c r="AS7" s="7"/>
      <c r="AT7" s="6"/>
      <c r="AU7" s="6"/>
      <c r="AV7" s="8">
        <v>24.6</v>
      </c>
      <c r="AW7" s="8"/>
      <c r="AX7" s="8"/>
      <c r="AY7" s="8"/>
    </row>
    <row r="8" spans="1:55">
      <c r="A8" s="6" t="s">
        <v>601</v>
      </c>
      <c r="B8" s="245"/>
      <c r="C8" s="245"/>
      <c r="D8" s="245"/>
      <c r="E8" s="245"/>
      <c r="F8" s="248"/>
      <c r="G8" s="248"/>
      <c r="H8" s="248"/>
      <c r="I8" s="248"/>
      <c r="J8" s="248"/>
      <c r="K8" s="248"/>
      <c r="L8" s="248"/>
      <c r="M8" s="248"/>
      <c r="N8" s="248"/>
      <c r="O8" s="248"/>
      <c r="P8" s="248"/>
      <c r="Q8" s="248"/>
      <c r="R8" s="248"/>
      <c r="S8" s="248"/>
      <c r="T8" s="248"/>
      <c r="U8" s="248"/>
      <c r="V8" s="248"/>
      <c r="W8" s="248"/>
      <c r="X8" s="248"/>
      <c r="Y8" s="248"/>
      <c r="Z8" s="248"/>
      <c r="AA8" s="248"/>
      <c r="AB8" s="248"/>
      <c r="AC8" s="248"/>
      <c r="AD8" s="248"/>
      <c r="AE8" s="248"/>
      <c r="AF8" s="248"/>
      <c r="AG8" s="248"/>
      <c r="AH8" s="248"/>
      <c r="AI8" s="248"/>
      <c r="AJ8" s="248"/>
      <c r="AK8" s="248"/>
      <c r="AL8" s="248"/>
      <c r="AM8" s="248"/>
      <c r="AN8" s="564"/>
      <c r="AO8" s="7"/>
      <c r="AP8" s="7"/>
      <c r="AQ8" s="7"/>
      <c r="AR8" s="7"/>
      <c r="AS8" s="7"/>
      <c r="AT8" s="6"/>
      <c r="AU8" s="6"/>
      <c r="AV8" s="8">
        <v>18.399999999999999</v>
      </c>
      <c r="AW8" s="6"/>
      <c r="AX8" s="6"/>
      <c r="AY8" s="6"/>
    </row>
    <row r="9" spans="1:55">
      <c r="A9" s="6"/>
      <c r="B9" s="245"/>
      <c r="C9" s="245"/>
      <c r="D9" s="245"/>
      <c r="E9" s="245"/>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82"/>
      <c r="AO9" s="7"/>
      <c r="AP9" s="7"/>
      <c r="AQ9" s="7"/>
      <c r="AR9" s="7"/>
      <c r="AS9" s="7"/>
      <c r="AT9" s="6"/>
      <c r="AU9" s="6"/>
      <c r="AV9" s="8"/>
      <c r="AW9" s="6"/>
      <c r="AX9" s="6"/>
      <c r="AY9" s="6"/>
    </row>
    <row r="10" spans="1:55">
      <c r="A10" s="6" t="s">
        <v>602</v>
      </c>
      <c r="B10" s="245"/>
      <c r="C10" s="245"/>
      <c r="D10" s="245"/>
      <c r="E10" s="245"/>
      <c r="F10" s="248"/>
      <c r="G10" s="248"/>
      <c r="H10" s="248"/>
      <c r="I10" s="248"/>
      <c r="J10" s="248"/>
      <c r="K10" s="248"/>
      <c r="L10" s="248"/>
      <c r="M10" s="248"/>
      <c r="N10" s="248"/>
      <c r="O10" s="248"/>
      <c r="P10" s="248"/>
      <c r="Q10" s="248"/>
      <c r="R10" s="248"/>
      <c r="S10" s="248"/>
      <c r="T10" s="248"/>
      <c r="U10" s="248"/>
      <c r="V10" s="248"/>
      <c r="W10" s="248"/>
      <c r="X10" s="248"/>
      <c r="Y10" s="248"/>
      <c r="Z10" s="248">
        <f>Z4-Z13</f>
        <v>14.599999999999994</v>
      </c>
      <c r="AA10" s="248">
        <f>AA4-AA13</f>
        <v>22.200000000000017</v>
      </c>
      <c r="AB10" s="248">
        <f>AB4-AB13</f>
        <v>22.400000000000006</v>
      </c>
      <c r="AC10" s="248"/>
      <c r="AD10" s="248"/>
      <c r="AE10" s="248"/>
      <c r="AF10" s="248"/>
      <c r="AG10" s="248"/>
      <c r="AH10" s="248"/>
      <c r="AI10" s="248"/>
      <c r="AJ10" s="248"/>
      <c r="AK10" s="248"/>
      <c r="AL10" s="248"/>
      <c r="AM10" s="248"/>
      <c r="AN10" s="282"/>
      <c r="AO10" s="7"/>
      <c r="AP10" s="7"/>
      <c r="AQ10" s="7"/>
      <c r="AR10" s="7"/>
      <c r="AS10" s="7"/>
      <c r="AT10" s="6"/>
      <c r="AU10" s="6"/>
      <c r="AV10" s="6"/>
      <c r="AW10" s="6"/>
      <c r="AX10" s="6"/>
      <c r="AY10" s="6"/>
    </row>
    <row r="11" spans="1:55">
      <c r="A11" s="247"/>
      <c r="B11" s="245"/>
      <c r="C11" s="245"/>
      <c r="D11" s="245"/>
      <c r="E11" s="245"/>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82"/>
      <c r="AO11" s="7"/>
      <c r="AP11" s="7"/>
      <c r="AQ11" s="7"/>
      <c r="AR11" s="7"/>
      <c r="AS11" s="7"/>
      <c r="AT11" s="6"/>
      <c r="AU11" s="6"/>
      <c r="AV11" s="6"/>
      <c r="AW11" s="6"/>
      <c r="AX11" s="6"/>
      <c r="AY11" s="6"/>
    </row>
    <row r="12" spans="1:55">
      <c r="A12" s="247"/>
      <c r="B12" s="245"/>
      <c r="C12" s="245"/>
      <c r="D12" s="245"/>
      <c r="E12" s="245"/>
      <c r="F12" s="248"/>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82"/>
      <c r="AO12" s="7"/>
      <c r="AP12" s="7"/>
      <c r="AQ12" s="7"/>
      <c r="AR12" s="7"/>
      <c r="AS12" s="7"/>
      <c r="AT12" s="6"/>
      <c r="AU12" s="6"/>
      <c r="AV12" s="6"/>
      <c r="AW12" s="6"/>
      <c r="AX12" s="6"/>
      <c r="AY12" s="6"/>
    </row>
    <row r="13" spans="1:55">
      <c r="A13" s="6" t="s">
        <v>603</v>
      </c>
      <c r="B13" s="245"/>
      <c r="C13" s="245"/>
      <c r="D13" s="245"/>
      <c r="E13" s="245"/>
      <c r="F13" s="248"/>
      <c r="G13" s="248"/>
      <c r="H13" s="248"/>
      <c r="I13" s="248"/>
      <c r="J13" s="248"/>
      <c r="K13" s="248"/>
      <c r="L13" s="248"/>
      <c r="M13" s="248"/>
      <c r="N13" s="248"/>
      <c r="O13" s="248"/>
      <c r="P13" s="248"/>
      <c r="Q13" s="248"/>
      <c r="R13" s="248"/>
      <c r="S13" s="248"/>
      <c r="T13" s="248"/>
      <c r="U13" s="248"/>
      <c r="V13" s="248"/>
      <c r="W13" s="248"/>
      <c r="X13" s="248"/>
      <c r="Y13" s="248"/>
      <c r="Z13" s="8">
        <v>185.1</v>
      </c>
      <c r="AA13" s="8">
        <v>190.6</v>
      </c>
      <c r="AB13" s="8">
        <v>199.2</v>
      </c>
      <c r="AC13" s="8"/>
      <c r="AD13" s="8"/>
      <c r="AE13" s="8"/>
      <c r="AF13" s="8"/>
      <c r="AG13" s="8"/>
      <c r="AH13" s="8"/>
      <c r="AI13" s="8"/>
      <c r="AJ13" s="8"/>
      <c r="AK13" s="8"/>
      <c r="AL13" s="8"/>
      <c r="AM13" s="8">
        <v>310</v>
      </c>
      <c r="AN13" s="282"/>
      <c r="AO13" s="7"/>
      <c r="AP13" s="7"/>
      <c r="AQ13" s="7"/>
      <c r="AR13" s="7"/>
      <c r="AS13" s="7"/>
      <c r="AT13" s="6"/>
      <c r="AU13" s="6"/>
      <c r="AV13" s="6"/>
      <c r="AW13" s="230">
        <f>AV4*1.24</f>
        <v>778.34800000000007</v>
      </c>
      <c r="AX13" s="230"/>
      <c r="AY13" s="230"/>
    </row>
    <row r="14" spans="1:55">
      <c r="A14" s="247" t="s">
        <v>598</v>
      </c>
      <c r="B14" s="245"/>
      <c r="C14" s="245"/>
      <c r="D14" s="245"/>
      <c r="E14" s="245"/>
      <c r="F14" s="248"/>
      <c r="G14" s="248"/>
      <c r="H14" s="248"/>
      <c r="I14" s="248"/>
      <c r="J14" s="248"/>
      <c r="K14" s="248"/>
      <c r="L14" s="248"/>
      <c r="M14" s="248"/>
      <c r="N14" s="248"/>
      <c r="O14" s="248"/>
      <c r="P14" s="248"/>
      <c r="Q14" s="248"/>
      <c r="R14" s="248"/>
      <c r="S14" s="248"/>
      <c r="T14" s="248"/>
      <c r="U14" s="8"/>
      <c r="V14" s="248"/>
      <c r="W14" s="248"/>
      <c r="X14" s="248"/>
      <c r="Y14" s="248"/>
      <c r="Z14" s="248">
        <v>7.6</v>
      </c>
      <c r="AA14" s="248">
        <v>2.9</v>
      </c>
      <c r="AB14" s="332">
        <v>4.5</v>
      </c>
      <c r="AC14" s="332"/>
      <c r="AD14" s="332"/>
      <c r="AE14" s="332"/>
      <c r="AF14" s="332"/>
      <c r="AG14" s="332"/>
      <c r="AH14" s="332"/>
      <c r="AI14" s="332"/>
      <c r="AJ14" s="332"/>
      <c r="AK14" s="332"/>
      <c r="AL14" s="332"/>
      <c r="AM14" s="332">
        <v>6.3</v>
      </c>
      <c r="AN14" s="282"/>
      <c r="AO14" s="7"/>
      <c r="AP14" s="7"/>
      <c r="AQ14" s="7"/>
      <c r="AR14" s="7"/>
      <c r="AS14" s="7"/>
      <c r="AT14" s="6"/>
      <c r="AU14" s="6"/>
      <c r="AV14" s="6"/>
      <c r="AW14" s="6"/>
      <c r="AX14" s="6"/>
      <c r="AY14" s="6"/>
    </row>
    <row r="15" spans="1:55">
      <c r="A15" s="247" t="s">
        <v>604</v>
      </c>
      <c r="B15" s="245"/>
      <c r="C15" s="245"/>
      <c r="D15" s="245"/>
      <c r="E15" s="245"/>
      <c r="F15" s="248"/>
      <c r="G15" s="248"/>
      <c r="H15" s="248"/>
      <c r="I15" s="248"/>
      <c r="J15" s="248"/>
      <c r="K15" s="248"/>
      <c r="L15" s="248"/>
      <c r="M15" s="248"/>
      <c r="N15" s="248"/>
      <c r="O15" s="248"/>
      <c r="P15" s="248"/>
      <c r="Q15" s="248"/>
      <c r="R15" s="248"/>
      <c r="S15" s="248"/>
      <c r="T15" s="248"/>
      <c r="U15" s="248"/>
      <c r="V15" s="248"/>
      <c r="W15" s="248"/>
      <c r="X15" s="248"/>
      <c r="Y15" s="248"/>
      <c r="Z15" s="248">
        <v>32.299999999999997</v>
      </c>
      <c r="AA15" s="248">
        <v>23</v>
      </c>
      <c r="AB15" s="248">
        <v>23.9</v>
      </c>
      <c r="AC15" s="248"/>
      <c r="AD15" s="248"/>
      <c r="AE15" s="248"/>
      <c r="AF15" s="248"/>
      <c r="AG15" s="248"/>
      <c r="AH15" s="248"/>
      <c r="AI15" s="248"/>
      <c r="AJ15" s="248"/>
      <c r="AK15" s="248"/>
      <c r="AL15" s="248"/>
      <c r="AM15" s="332">
        <v>11.4</v>
      </c>
      <c r="AN15" s="282"/>
      <c r="AO15" s="7"/>
      <c r="AP15" s="7"/>
      <c r="AQ15" s="7"/>
      <c r="AR15" s="7"/>
      <c r="AS15" s="7"/>
      <c r="AT15" s="6"/>
      <c r="AU15" s="6"/>
      <c r="AV15" s="6"/>
      <c r="AW15" s="6"/>
      <c r="AX15" s="6"/>
      <c r="AY15" s="6"/>
    </row>
    <row r="16" spans="1:55">
      <c r="A16" s="247"/>
      <c r="B16" s="245"/>
      <c r="C16" s="245"/>
      <c r="D16" s="245"/>
      <c r="E16" s="245"/>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82"/>
      <c r="AO16" s="7"/>
      <c r="AP16" s="7"/>
      <c r="AQ16" s="7"/>
      <c r="AR16" s="7"/>
      <c r="AS16" s="7"/>
      <c r="AT16" s="6"/>
      <c r="AU16" s="6"/>
      <c r="AV16" s="6"/>
      <c r="AW16" s="533">
        <f>AW4-AW13</f>
        <v>88.15199999999993</v>
      </c>
      <c r="AX16" s="533">
        <f>AW16*0.4</f>
        <v>35.260799999999975</v>
      </c>
      <c r="AY16" s="533"/>
    </row>
    <row r="17" spans="1:52">
      <c r="A17" s="6" t="s">
        <v>840</v>
      </c>
      <c r="B17" s="245"/>
      <c r="C17" s="245"/>
      <c r="D17" s="245"/>
      <c r="E17" s="245"/>
      <c r="F17" s="245"/>
      <c r="G17" s="245"/>
      <c r="H17" s="245"/>
      <c r="I17" s="245"/>
      <c r="J17" s="245"/>
      <c r="K17" s="245"/>
      <c r="L17" s="245"/>
      <c r="M17" s="245"/>
      <c r="N17" s="245"/>
      <c r="O17" s="245"/>
      <c r="P17" s="245"/>
      <c r="Q17" s="245"/>
      <c r="R17" s="245"/>
      <c r="S17" s="245"/>
      <c r="T17" s="245"/>
      <c r="U17" s="245"/>
      <c r="V17" s="245"/>
      <c r="W17" s="245"/>
      <c r="X17" s="245"/>
      <c r="Y17" s="245"/>
      <c r="Z17" s="245"/>
      <c r="AA17" s="245"/>
      <c r="AB17" s="245"/>
      <c r="AC17" s="245"/>
      <c r="AD17" s="245">
        <f>AC4*1.047</f>
        <v>243.3228</v>
      </c>
      <c r="AE17" s="245">
        <f>AD17*(1+AE18%)</f>
        <v>258.40881360000003</v>
      </c>
      <c r="AF17" s="245">
        <f t="shared" ref="AF17:AK17" si="5">AE17*(1+AF18%)</f>
        <v>267.9699397032</v>
      </c>
      <c r="AG17" s="245">
        <f t="shared" si="5"/>
        <v>280.56452686925036</v>
      </c>
      <c r="AH17" s="245">
        <f>AG17*(1+AH18%)</f>
        <v>288.13976909472007</v>
      </c>
      <c r="AI17" s="245">
        <f t="shared" si="5"/>
        <v>294.76698378389858</v>
      </c>
      <c r="AJ17" s="245">
        <f t="shared" si="5"/>
        <v>300.07278949200878</v>
      </c>
      <c r="AK17" s="245">
        <f t="shared" si="5"/>
        <v>305.77417249235691</v>
      </c>
      <c r="AL17" s="245">
        <f>AK17*(1+AL18%)</f>
        <v>310.66655925223461</v>
      </c>
      <c r="AM17" s="245">
        <f>AL17*(1+AM18%)</f>
        <v>327.75322001110749</v>
      </c>
      <c r="AN17" s="282"/>
      <c r="AO17" s="7"/>
      <c r="AP17" s="7"/>
      <c r="AQ17" s="7"/>
      <c r="AR17" s="7"/>
      <c r="AS17" s="6"/>
      <c r="AT17" s="6"/>
      <c r="AX17">
        <f>AX16/AX4</f>
        <v>3.5200958370769669E-2</v>
      </c>
    </row>
    <row r="18" spans="1:52">
      <c r="A18" s="247" t="s">
        <v>598</v>
      </c>
      <c r="B18" s="245"/>
      <c r="C18" s="245"/>
      <c r="D18" s="245"/>
      <c r="E18" s="245"/>
      <c r="F18" s="245"/>
      <c r="G18" s="245"/>
      <c r="H18" s="245"/>
      <c r="I18" s="245"/>
      <c r="J18" s="245"/>
      <c r="K18" s="245"/>
      <c r="L18" s="8"/>
      <c r="M18" s="245"/>
      <c r="N18" s="245"/>
      <c r="O18" s="8"/>
      <c r="P18" s="8"/>
      <c r="Q18" s="8">
        <v>1.3</v>
      </c>
      <c r="R18" s="508">
        <v>4</v>
      </c>
      <c r="S18" s="8">
        <v>4.0999999999999996</v>
      </c>
      <c r="T18" s="8">
        <v>2</v>
      </c>
      <c r="U18" s="8">
        <v>3</v>
      </c>
      <c r="V18" s="508">
        <v>-6.8</v>
      </c>
      <c r="W18" s="8">
        <v>8.1</v>
      </c>
      <c r="X18" s="8">
        <v>3.3</v>
      </c>
      <c r="Y18" s="8">
        <v>5.0999999999999996</v>
      </c>
      <c r="Z18" s="508">
        <v>7</v>
      </c>
      <c r="AA18" s="8">
        <v>3.9</v>
      </c>
      <c r="AB18" s="8">
        <v>5.7</v>
      </c>
      <c r="AC18" s="8">
        <v>5</v>
      </c>
      <c r="AD18" s="508">
        <v>4.7</v>
      </c>
      <c r="AE18" s="8">
        <v>6.2</v>
      </c>
      <c r="AF18" s="8">
        <v>3.7</v>
      </c>
      <c r="AG18" s="8">
        <v>4.7</v>
      </c>
      <c r="AH18" s="508">
        <v>2.7</v>
      </c>
      <c r="AI18" s="8">
        <v>2.2999999999999998</v>
      </c>
      <c r="AJ18" s="8">
        <v>1.8</v>
      </c>
      <c r="AK18" s="8">
        <v>1.9</v>
      </c>
      <c r="AL18" s="508">
        <v>1.6</v>
      </c>
      <c r="AM18" s="602">
        <v>5.5</v>
      </c>
      <c r="AN18" s="282"/>
      <c r="AO18" s="7"/>
      <c r="AP18" s="7"/>
      <c r="AQ18" s="7"/>
      <c r="AR18" s="8"/>
      <c r="AS18" s="8">
        <v>9.6999999999999993</v>
      </c>
      <c r="AT18" s="8">
        <v>17.5</v>
      </c>
      <c r="AU18" s="8"/>
      <c r="AV18" s="8">
        <v>6</v>
      </c>
      <c r="AW18" s="8"/>
      <c r="AX18" s="8"/>
      <c r="AY18" s="8"/>
    </row>
    <row r="19" spans="1:52">
      <c r="A19" s="247" t="s">
        <v>604</v>
      </c>
      <c r="B19" s="245"/>
      <c r="C19" s="245"/>
      <c r="D19" s="245"/>
      <c r="E19" s="245"/>
      <c r="F19" s="245"/>
      <c r="G19" s="245"/>
      <c r="H19" s="245"/>
      <c r="I19" s="245"/>
      <c r="J19" s="245"/>
      <c r="K19" s="245"/>
      <c r="L19" s="8"/>
      <c r="M19" s="245"/>
      <c r="N19" s="249"/>
      <c r="O19" s="8"/>
      <c r="P19" s="8"/>
      <c r="Q19" s="8"/>
      <c r="R19" s="8"/>
      <c r="S19" s="8"/>
      <c r="T19" s="8"/>
      <c r="U19" s="8"/>
      <c r="V19" s="8"/>
      <c r="W19" s="8"/>
      <c r="X19" s="8"/>
      <c r="Y19" s="8"/>
      <c r="Z19" s="8"/>
      <c r="AA19" s="8"/>
      <c r="AB19" s="8"/>
      <c r="AC19" s="8"/>
      <c r="AD19" s="8"/>
      <c r="AE19" s="8">
        <v>22</v>
      </c>
      <c r="AF19" s="8">
        <v>20.7</v>
      </c>
      <c r="AG19" s="8"/>
      <c r="AH19" s="8">
        <v>18.399999999999999</v>
      </c>
      <c r="AI19" s="8">
        <v>14.1</v>
      </c>
      <c r="AJ19" s="8">
        <v>12</v>
      </c>
      <c r="AK19" s="8">
        <v>9</v>
      </c>
      <c r="AL19" s="8">
        <v>7.8</v>
      </c>
      <c r="AM19" s="8"/>
      <c r="AN19" s="282"/>
      <c r="AO19" s="7"/>
      <c r="AP19" s="7"/>
      <c r="AQ19" s="7"/>
      <c r="AR19" s="7"/>
      <c r="AS19" s="6"/>
      <c r="AT19" s="6"/>
      <c r="AW19" s="504">
        <v>24</v>
      </c>
      <c r="AX19" s="504">
        <v>22.4</v>
      </c>
      <c r="AY19" s="504">
        <v>13.3</v>
      </c>
    </row>
    <row r="20" spans="1:52">
      <c r="A20" s="250"/>
      <c r="B20" s="245"/>
      <c r="C20" s="245"/>
      <c r="D20" s="245"/>
      <c r="E20" s="245"/>
      <c r="F20" s="245"/>
      <c r="G20" s="245"/>
      <c r="H20" s="245"/>
      <c r="I20" s="245"/>
      <c r="J20" s="245"/>
      <c r="K20" s="245"/>
      <c r="L20" s="245"/>
      <c r="M20" s="245"/>
      <c r="N20" s="245"/>
      <c r="O20" s="245"/>
      <c r="P20" s="245"/>
      <c r="Q20" s="245"/>
      <c r="R20" s="245"/>
      <c r="S20" s="245"/>
      <c r="T20" s="245"/>
      <c r="U20" s="245"/>
      <c r="V20" s="245"/>
      <c r="W20" s="245"/>
      <c r="X20" s="245"/>
      <c r="Y20" s="245"/>
      <c r="Z20" s="245"/>
      <c r="AA20" s="245"/>
      <c r="AB20" s="245"/>
      <c r="AC20" s="245"/>
      <c r="AD20" s="245"/>
      <c r="AE20" s="245"/>
      <c r="AF20" s="245"/>
      <c r="AG20" s="245"/>
      <c r="AH20" s="245"/>
      <c r="AI20" s="246">
        <f>AVERAGE(AH19:AI19)</f>
        <v>16.25</v>
      </c>
      <c r="AJ20" s="246">
        <f>AVERAGE(AI19:AJ19)</f>
        <v>13.05</v>
      </c>
      <c r="AK20" s="246">
        <f>AVERAGE(AJ19:AK19)</f>
        <v>10.5</v>
      </c>
      <c r="AL20" s="245"/>
      <c r="AM20" s="245"/>
      <c r="AN20" s="282"/>
      <c r="AO20" s="7"/>
      <c r="AP20" s="7"/>
      <c r="AQ20" s="7"/>
      <c r="AR20" s="7"/>
      <c r="AS20" s="7"/>
      <c r="AT20" s="6"/>
      <c r="AU20" s="6"/>
      <c r="AV20" s="6"/>
      <c r="AW20" s="6"/>
      <c r="AX20" s="6"/>
      <c r="AY20" s="6"/>
    </row>
    <row r="21" spans="1:52">
      <c r="A21" s="250"/>
      <c r="B21" s="245"/>
      <c r="C21" s="245"/>
      <c r="D21" s="245"/>
      <c r="E21" s="245"/>
      <c r="F21" s="245"/>
      <c r="G21" s="245"/>
      <c r="H21" s="245"/>
      <c r="I21" s="245"/>
      <c r="J21" s="245"/>
      <c r="K21" s="245"/>
      <c r="L21" s="245"/>
      <c r="M21" s="245"/>
      <c r="N21" s="245"/>
      <c r="O21" s="245"/>
      <c r="P21" s="245"/>
      <c r="Q21" s="245"/>
      <c r="R21" s="245"/>
      <c r="S21" s="245"/>
      <c r="T21" s="245"/>
      <c r="U21" s="245"/>
      <c r="V21" s="245"/>
      <c r="W21" s="245"/>
      <c r="X21" s="245"/>
      <c r="Y21" s="245"/>
      <c r="Z21" s="245"/>
      <c r="AA21" s="245"/>
      <c r="AB21" s="245"/>
      <c r="AC21" s="245"/>
      <c r="AD21" s="245"/>
      <c r="AE21" s="246">
        <f t="shared" ref="AE21:AH21" si="6">AA297</f>
        <v>40.695296523517378</v>
      </c>
      <c r="AF21" s="246">
        <f t="shared" si="6"/>
        <v>39.920159680638712</v>
      </c>
      <c r="AG21" s="246">
        <f t="shared" si="6"/>
        <v>38.46153846153846</v>
      </c>
      <c r="AH21" s="246">
        <f t="shared" si="6"/>
        <v>15.503875968992254</v>
      </c>
      <c r="AI21" s="246">
        <f>AE297</f>
        <v>16.569767441860471</v>
      </c>
      <c r="AJ21" s="246">
        <f>AF297</f>
        <v>19.971469329529246</v>
      </c>
      <c r="AK21" s="246">
        <f>AG297</f>
        <v>20.694444444444436</v>
      </c>
      <c r="AL21" s="246">
        <f t="shared" ref="AL21" si="7">AH297</f>
        <v>20.402684563758399</v>
      </c>
      <c r="AM21" s="246">
        <f>AI297</f>
        <v>16.583541147132163</v>
      </c>
      <c r="AN21" s="282"/>
      <c r="AO21" s="7"/>
      <c r="AP21" s="7"/>
      <c r="AQ21" s="7"/>
      <c r="AR21" s="7"/>
      <c r="AS21" s="7"/>
      <c r="AT21" s="6"/>
      <c r="AU21" s="6"/>
      <c r="AV21" s="6"/>
      <c r="AW21" s="6"/>
      <c r="AX21" s="6"/>
      <c r="AY21" s="6"/>
    </row>
    <row r="22" spans="1:52">
      <c r="A22" s="251" t="s">
        <v>607</v>
      </c>
      <c r="B22" s="252"/>
      <c r="C22" s="252"/>
      <c r="D22" s="252"/>
      <c r="E22" s="252"/>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1252"/>
      <c r="AO22" s="273"/>
      <c r="AP22" s="273"/>
      <c r="AQ22" s="273"/>
      <c r="AR22" s="273"/>
      <c r="AS22" s="273"/>
      <c r="AT22" s="273"/>
      <c r="AU22" s="273"/>
      <c r="AV22" s="273"/>
      <c r="AW22" s="273"/>
      <c r="AX22" s="273"/>
      <c r="AY22" s="273"/>
    </row>
    <row r="23" spans="1:52">
      <c r="A23" s="250" t="s">
        <v>608</v>
      </c>
      <c r="B23" s="245"/>
      <c r="C23" s="245"/>
      <c r="D23" s="245"/>
      <c r="E23" s="245"/>
      <c r="F23" s="245"/>
      <c r="G23" s="245"/>
      <c r="H23" s="245"/>
      <c r="I23" s="245"/>
      <c r="J23" s="245"/>
      <c r="K23" s="245"/>
      <c r="L23" s="245"/>
      <c r="M23" s="245"/>
      <c r="N23" s="245"/>
      <c r="O23" s="245"/>
      <c r="P23" s="245"/>
      <c r="Q23" s="245"/>
      <c r="R23" s="245"/>
      <c r="S23" s="245"/>
      <c r="T23" s="245"/>
      <c r="U23" s="245"/>
      <c r="V23" s="245"/>
      <c r="W23" s="245"/>
      <c r="X23" s="245"/>
      <c r="Y23" s="245"/>
      <c r="Z23" s="245"/>
      <c r="AA23" s="245"/>
      <c r="AB23" s="245"/>
      <c r="AC23" s="245"/>
      <c r="AD23" s="245"/>
      <c r="AE23" s="245"/>
      <c r="AF23" s="245"/>
      <c r="AG23" s="245"/>
      <c r="AH23" s="245"/>
      <c r="AI23" s="245"/>
      <c r="AJ23" s="245"/>
      <c r="AK23" s="245"/>
      <c r="AL23" s="245"/>
      <c r="AM23" s="245"/>
      <c r="AN23" s="282"/>
      <c r="AO23" s="7"/>
      <c r="AP23" s="7"/>
      <c r="AQ23" s="498"/>
      <c r="AR23" s="498"/>
      <c r="AS23" s="498">
        <v>0.24</v>
      </c>
      <c r="AT23" s="498">
        <v>0.28999999999999998</v>
      </c>
      <c r="AU23" s="498">
        <v>0.37</v>
      </c>
      <c r="AV23" s="498">
        <f>52.1%</f>
        <v>0.52100000000000002</v>
      </c>
      <c r="AW23" s="498">
        <v>0.71299999999999997</v>
      </c>
      <c r="AX23" s="498"/>
      <c r="AY23" s="498"/>
    </row>
    <row r="24" spans="1:52">
      <c r="A24" s="250" t="s">
        <v>368</v>
      </c>
      <c r="B24" s="245"/>
      <c r="C24" s="245"/>
      <c r="D24" s="245"/>
      <c r="E24" s="245"/>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82"/>
      <c r="AO24" s="7"/>
      <c r="AP24" s="7"/>
      <c r="AQ24" s="7"/>
      <c r="AR24" s="498"/>
      <c r="AS24" s="498">
        <v>0.27</v>
      </c>
      <c r="AT24" s="498">
        <v>0.43</v>
      </c>
      <c r="AU24" s="498">
        <v>0.47</v>
      </c>
      <c r="AV24" s="498"/>
      <c r="AW24" s="498">
        <v>0.245</v>
      </c>
      <c r="AX24" s="498"/>
      <c r="AY24" s="498"/>
    </row>
    <row r="25" spans="1:52">
      <c r="A25" s="250" t="s">
        <v>609</v>
      </c>
      <c r="B25" s="245"/>
      <c r="C25" s="245"/>
      <c r="D25" s="245"/>
      <c r="E25" s="245"/>
      <c r="F25" s="245"/>
      <c r="G25" s="245"/>
      <c r="H25" s="245"/>
      <c r="I25" s="245"/>
      <c r="J25" s="245"/>
      <c r="K25" s="245"/>
      <c r="L25" s="245"/>
      <c r="M25" s="245"/>
      <c r="N25" s="245"/>
      <c r="O25" s="245"/>
      <c r="P25" s="245"/>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82"/>
      <c r="AO25" s="7"/>
      <c r="AP25" s="7"/>
      <c r="AQ25" s="7"/>
      <c r="AR25" s="498"/>
      <c r="AS25" s="498"/>
      <c r="AT25" s="6"/>
      <c r="AU25" s="498">
        <v>0.06</v>
      </c>
      <c r="AV25" s="498"/>
      <c r="AW25" s="6"/>
      <c r="AX25" s="6"/>
      <c r="AY25" s="6"/>
    </row>
    <row r="26" spans="1:52">
      <c r="A26" s="250"/>
      <c r="B26" s="245"/>
      <c r="C26" s="245"/>
      <c r="D26" s="24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82"/>
      <c r="AO26" s="7"/>
      <c r="AP26" s="7"/>
      <c r="AQ26" s="7"/>
      <c r="AR26" s="7"/>
      <c r="AS26" s="7"/>
      <c r="AT26" s="6"/>
      <c r="AU26" s="6"/>
      <c r="AV26" s="6"/>
      <c r="AW26" s="6"/>
      <c r="AX26" s="6"/>
      <c r="AY26" s="6"/>
    </row>
    <row r="27" spans="1:52">
      <c r="A27" s="250"/>
      <c r="B27" s="245"/>
      <c r="C27" s="245"/>
      <c r="D27" s="245"/>
      <c r="E27" s="245"/>
      <c r="F27" s="245"/>
      <c r="G27" s="245"/>
      <c r="H27" s="245"/>
      <c r="I27" s="245"/>
      <c r="J27" s="245"/>
      <c r="K27" s="245"/>
      <c r="L27" s="245"/>
      <c r="M27" s="245"/>
      <c r="N27" s="245"/>
      <c r="O27" s="245"/>
      <c r="P27" s="245"/>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5"/>
      <c r="AN27" s="282"/>
      <c r="AO27" s="7"/>
      <c r="AP27" s="7"/>
      <c r="AQ27" s="7"/>
      <c r="AR27" s="7"/>
      <c r="AS27" s="7"/>
      <c r="AT27" s="6"/>
      <c r="AU27" s="6"/>
      <c r="AV27" s="6"/>
      <c r="AW27" s="6"/>
      <c r="AX27" s="6"/>
      <c r="AY27" s="6"/>
    </row>
    <row r="28" spans="1:52">
      <c r="A28" s="251" t="s">
        <v>610</v>
      </c>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1252"/>
      <c r="AO28" s="273"/>
      <c r="AP28" s="273"/>
      <c r="AQ28" s="273"/>
      <c r="AR28" s="273"/>
      <c r="AS28" s="273"/>
      <c r="AT28" s="273"/>
      <c r="AU28" s="273"/>
      <c r="AV28" s="273"/>
      <c r="AW28" s="273"/>
      <c r="AX28" s="273"/>
      <c r="AY28" s="273"/>
    </row>
    <row r="29" spans="1:52">
      <c r="A29" s="4" t="s">
        <v>360</v>
      </c>
      <c r="B29" s="9"/>
      <c r="C29" s="249"/>
      <c r="D29" s="249"/>
      <c r="E29" s="249"/>
      <c r="F29" s="249">
        <v>22</v>
      </c>
      <c r="G29" s="249">
        <v>23</v>
      </c>
      <c r="H29" s="249">
        <v>24</v>
      </c>
      <c r="I29" s="249">
        <v>24</v>
      </c>
      <c r="J29" s="249">
        <v>25</v>
      </c>
      <c r="K29" s="249">
        <v>25</v>
      </c>
      <c r="L29" s="249">
        <v>26</v>
      </c>
      <c r="M29" s="249">
        <v>28</v>
      </c>
      <c r="N29" s="249">
        <v>29</v>
      </c>
      <c r="O29" s="249">
        <v>29</v>
      </c>
      <c r="P29" s="249">
        <v>30</v>
      </c>
      <c r="Q29" s="249">
        <v>28</v>
      </c>
      <c r="R29" s="249">
        <v>29</v>
      </c>
      <c r="S29" s="249">
        <v>31</v>
      </c>
      <c r="T29" s="249">
        <v>30</v>
      </c>
      <c r="U29" s="249">
        <v>31</v>
      </c>
      <c r="V29" s="249">
        <v>33</v>
      </c>
      <c r="W29" s="249">
        <v>34.300000000000004</v>
      </c>
      <c r="X29" s="249">
        <v>31.5</v>
      </c>
      <c r="Y29" s="249">
        <v>31.2</v>
      </c>
      <c r="Z29" s="249">
        <v>30.8</v>
      </c>
      <c r="AA29" s="249">
        <v>29.2</v>
      </c>
      <c r="AB29" s="249">
        <v>27.800000000000004</v>
      </c>
      <c r="AC29" s="249">
        <v>25.7</v>
      </c>
      <c r="AD29" s="249">
        <v>23.1</v>
      </c>
      <c r="AE29" s="249">
        <v>23.2</v>
      </c>
      <c r="AF29" s="249">
        <v>22.1</v>
      </c>
      <c r="AG29" s="249">
        <v>22.2</v>
      </c>
      <c r="AH29" s="249">
        <v>22.6</v>
      </c>
      <c r="AI29" s="249">
        <v>22.6</v>
      </c>
      <c r="AJ29" s="249">
        <v>22</v>
      </c>
      <c r="AK29" s="249">
        <v>21.6</v>
      </c>
      <c r="AL29" s="249">
        <v>21.4</v>
      </c>
      <c r="AM29" s="249">
        <v>21.8</v>
      </c>
      <c r="AN29" s="308"/>
      <c r="AO29" s="256"/>
      <c r="AP29" s="256"/>
      <c r="AQ29" s="262"/>
      <c r="AR29" s="262"/>
      <c r="AS29" s="262">
        <v>26</v>
      </c>
      <c r="AT29" s="262">
        <v>29</v>
      </c>
      <c r="AU29" s="262">
        <v>30</v>
      </c>
      <c r="AV29" s="262">
        <v>32</v>
      </c>
      <c r="AW29" s="262">
        <v>28.3</v>
      </c>
      <c r="AX29" s="262">
        <v>22.6</v>
      </c>
      <c r="AY29" s="262">
        <v>22.2</v>
      </c>
    </row>
    <row r="30" spans="1:52">
      <c r="A30" s="4" t="s">
        <v>611</v>
      </c>
      <c r="B30" s="9"/>
      <c r="C30" s="249"/>
      <c r="D30" s="249"/>
      <c r="E30" s="249"/>
      <c r="F30" s="249">
        <v>20</v>
      </c>
      <c r="G30" s="249">
        <v>18</v>
      </c>
      <c r="H30" s="249">
        <v>18</v>
      </c>
      <c r="I30" s="249">
        <v>18</v>
      </c>
      <c r="J30" s="249">
        <v>17</v>
      </c>
      <c r="K30" s="249">
        <v>17</v>
      </c>
      <c r="L30" s="249">
        <v>17</v>
      </c>
      <c r="M30" s="249">
        <v>16</v>
      </c>
      <c r="N30" s="249">
        <v>17</v>
      </c>
      <c r="O30" s="249">
        <v>16</v>
      </c>
      <c r="P30" s="249">
        <v>15</v>
      </c>
      <c r="Q30" s="249">
        <v>16</v>
      </c>
      <c r="R30" s="249">
        <v>16</v>
      </c>
      <c r="S30" s="249">
        <v>17</v>
      </c>
      <c r="T30" s="249">
        <v>16</v>
      </c>
      <c r="U30" s="249">
        <v>15</v>
      </c>
      <c r="V30" s="249">
        <v>17.2</v>
      </c>
      <c r="W30" s="249">
        <v>17.100000000000001</v>
      </c>
      <c r="X30" s="249">
        <v>18.5</v>
      </c>
      <c r="Y30" s="249">
        <v>16.8</v>
      </c>
      <c r="Z30" s="249">
        <v>21.099999999999998</v>
      </c>
      <c r="AA30" s="249">
        <v>24.099999999999998</v>
      </c>
      <c r="AB30" s="249">
        <v>28.4</v>
      </c>
      <c r="AC30" s="249">
        <v>27.7</v>
      </c>
      <c r="AD30" s="249">
        <v>29.5</v>
      </c>
      <c r="AE30" s="249">
        <v>31.7</v>
      </c>
      <c r="AF30" s="249">
        <v>31.1</v>
      </c>
      <c r="AG30" s="249">
        <v>31</v>
      </c>
      <c r="AH30" s="249">
        <v>31.1</v>
      </c>
      <c r="AI30" s="249">
        <v>31.6</v>
      </c>
      <c r="AJ30" s="249">
        <v>32.200000000000003</v>
      </c>
      <c r="AK30" s="249">
        <v>33.700000000000003</v>
      </c>
      <c r="AL30" s="249">
        <v>31.8</v>
      </c>
      <c r="AM30" s="249">
        <v>31.3</v>
      </c>
      <c r="AN30" s="308"/>
      <c r="AO30" s="256"/>
      <c r="AP30" s="256"/>
      <c r="AQ30" s="262"/>
      <c r="AR30" s="262"/>
      <c r="AS30" s="262">
        <v>17</v>
      </c>
      <c r="AT30" s="262">
        <v>16</v>
      </c>
      <c r="AU30" s="262">
        <v>16</v>
      </c>
      <c r="AV30" s="262">
        <v>17</v>
      </c>
      <c r="AW30" s="262">
        <v>25.5</v>
      </c>
      <c r="AX30" s="262">
        <v>30.7</v>
      </c>
      <c r="AY30" s="262">
        <v>32.200000000000003</v>
      </c>
    </row>
    <row r="31" spans="1:52">
      <c r="A31" s="4" t="s">
        <v>612</v>
      </c>
      <c r="B31" s="9"/>
      <c r="C31" s="249"/>
      <c r="D31" s="249"/>
      <c r="E31" s="249"/>
      <c r="F31" s="249">
        <v>32</v>
      </c>
      <c r="G31" s="249">
        <v>33</v>
      </c>
      <c r="H31" s="249">
        <v>32</v>
      </c>
      <c r="I31" s="249">
        <v>31</v>
      </c>
      <c r="J31" s="249">
        <v>29</v>
      </c>
      <c r="K31" s="249">
        <v>27</v>
      </c>
      <c r="L31" s="249">
        <v>27</v>
      </c>
      <c r="M31" s="249">
        <v>26</v>
      </c>
      <c r="N31" s="249">
        <v>27</v>
      </c>
      <c r="O31" s="249">
        <v>27</v>
      </c>
      <c r="P31" s="249">
        <v>26</v>
      </c>
      <c r="Q31" s="249">
        <v>27</v>
      </c>
      <c r="R31" s="249">
        <v>28</v>
      </c>
      <c r="S31" s="249">
        <v>28</v>
      </c>
      <c r="T31" s="372">
        <v>29</v>
      </c>
      <c r="U31" s="249">
        <v>27</v>
      </c>
      <c r="V31" s="249">
        <v>19.400000000000002</v>
      </c>
      <c r="W31" s="249">
        <v>18.8</v>
      </c>
      <c r="X31" s="249">
        <v>20</v>
      </c>
      <c r="Y31" s="249">
        <v>18.899999999999999</v>
      </c>
      <c r="Z31" s="249">
        <v>18.899999999999999</v>
      </c>
      <c r="AA31" s="249">
        <v>18.600000000000001</v>
      </c>
      <c r="AB31" s="249">
        <v>18.3</v>
      </c>
      <c r="AC31" s="249">
        <v>20.100000000000001</v>
      </c>
      <c r="AD31" s="249">
        <v>19.399999999999999</v>
      </c>
      <c r="AE31" s="249">
        <v>19.3</v>
      </c>
      <c r="AF31" s="249">
        <v>19.3</v>
      </c>
      <c r="AG31" s="249">
        <v>18.8</v>
      </c>
      <c r="AH31" s="249">
        <v>18.5</v>
      </c>
      <c r="AI31" s="249">
        <v>18.5</v>
      </c>
      <c r="AJ31" s="249">
        <v>17.8</v>
      </c>
      <c r="AK31" s="249">
        <v>17.600000000000001</v>
      </c>
      <c r="AL31" s="249">
        <v>18.100000000000001</v>
      </c>
      <c r="AM31" s="249">
        <v>18</v>
      </c>
      <c r="AN31" s="308"/>
      <c r="AO31" s="256"/>
      <c r="AP31" s="256"/>
      <c r="AQ31" s="262"/>
      <c r="AR31" s="262"/>
      <c r="AS31" s="262">
        <v>27</v>
      </c>
      <c r="AT31" s="262">
        <v>27</v>
      </c>
      <c r="AU31" s="262">
        <v>28</v>
      </c>
      <c r="AV31" s="262">
        <v>19</v>
      </c>
      <c r="AW31" s="262">
        <v>19</v>
      </c>
      <c r="AX31" s="262">
        <v>19.100000000000001</v>
      </c>
      <c r="AY31" s="262">
        <v>18</v>
      </c>
      <c r="AZ31" s="363"/>
    </row>
    <row r="32" spans="1:52">
      <c r="A32" s="4" t="s">
        <v>614</v>
      </c>
      <c r="B32" s="9"/>
      <c r="C32" s="249"/>
      <c r="D32" s="249"/>
      <c r="E32" s="249"/>
      <c r="F32" s="249"/>
      <c r="G32" s="249"/>
      <c r="H32" s="249"/>
      <c r="I32" s="249"/>
      <c r="J32" s="249"/>
      <c r="K32" s="249"/>
      <c r="L32" s="249"/>
      <c r="M32" s="249"/>
      <c r="N32" s="249"/>
      <c r="O32" s="249"/>
      <c r="P32" s="249"/>
      <c r="Q32" s="249"/>
      <c r="R32" s="249"/>
      <c r="S32" s="249"/>
      <c r="T32" s="372"/>
      <c r="U32" s="249"/>
      <c r="V32" s="249"/>
      <c r="W32" s="249"/>
      <c r="X32" s="249"/>
      <c r="Y32" s="249"/>
      <c r="Z32" s="249"/>
      <c r="AA32" s="249"/>
      <c r="AB32" s="249"/>
      <c r="AC32" s="249"/>
      <c r="AD32" s="249"/>
      <c r="AE32" s="249"/>
      <c r="AF32" s="249"/>
      <c r="AG32" s="249"/>
      <c r="AH32" s="249">
        <v>7.6</v>
      </c>
      <c r="AI32" s="249">
        <v>7.6</v>
      </c>
      <c r="AJ32" s="249"/>
      <c r="AK32" s="249">
        <v>7.6</v>
      </c>
      <c r="AL32" s="249">
        <v>7.8</v>
      </c>
      <c r="AM32" s="249">
        <v>7.8</v>
      </c>
      <c r="AN32" s="308"/>
      <c r="AO32" s="256"/>
      <c r="AP32" s="256"/>
      <c r="AQ32" s="262"/>
      <c r="AR32" s="262"/>
      <c r="AS32" s="262"/>
      <c r="AT32" s="262"/>
      <c r="AU32" s="262"/>
      <c r="AV32" s="262"/>
      <c r="AW32" s="262"/>
      <c r="AX32" s="262"/>
      <c r="AY32" s="262"/>
      <c r="AZ32" s="363"/>
    </row>
    <row r="33" spans="1:51">
      <c r="A33" s="4" t="s">
        <v>85</v>
      </c>
      <c r="B33" s="9"/>
      <c r="C33" s="249"/>
      <c r="D33" s="249"/>
      <c r="E33" s="249"/>
      <c r="F33" s="249">
        <v>26</v>
      </c>
      <c r="G33" s="249">
        <v>26</v>
      </c>
      <c r="H33" s="249">
        <v>26</v>
      </c>
      <c r="I33" s="249">
        <v>27</v>
      </c>
      <c r="J33" s="249">
        <v>29</v>
      </c>
      <c r="K33" s="249">
        <v>31</v>
      </c>
      <c r="L33" s="249">
        <v>30</v>
      </c>
      <c r="M33" s="249">
        <v>30</v>
      </c>
      <c r="N33" s="249">
        <v>28</v>
      </c>
      <c r="O33" s="249">
        <v>28</v>
      </c>
      <c r="P33" s="249">
        <v>29</v>
      </c>
      <c r="Q33" s="249">
        <v>29</v>
      </c>
      <c r="R33" s="249">
        <v>27</v>
      </c>
      <c r="S33" s="249">
        <v>24</v>
      </c>
      <c r="T33" s="249">
        <v>25</v>
      </c>
      <c r="U33" s="249">
        <v>27</v>
      </c>
      <c r="V33" s="249">
        <v>30.4</v>
      </c>
      <c r="W33" s="249">
        <v>29.8</v>
      </c>
      <c r="X33" s="249">
        <v>30</v>
      </c>
      <c r="Y33" s="249">
        <v>33.1</v>
      </c>
      <c r="Z33" s="249">
        <v>29.2</v>
      </c>
      <c r="AA33" s="249">
        <v>28.1</v>
      </c>
      <c r="AB33" s="249">
        <v>25.4</v>
      </c>
      <c r="AC33" s="249">
        <v>26.5</v>
      </c>
      <c r="AD33" s="249">
        <v>28</v>
      </c>
      <c r="AE33" s="249">
        <v>25.8</v>
      </c>
      <c r="AF33" s="249">
        <v>27.4</v>
      </c>
      <c r="AG33" s="249">
        <v>28</v>
      </c>
      <c r="AH33" s="249">
        <v>20.2</v>
      </c>
      <c r="AI33" s="249">
        <v>27.3</v>
      </c>
      <c r="AJ33" s="249">
        <v>28.1</v>
      </c>
      <c r="AK33" s="249">
        <v>19.5</v>
      </c>
      <c r="AL33" s="249">
        <v>21</v>
      </c>
      <c r="AM33" s="249">
        <v>21.1</v>
      </c>
      <c r="AN33" s="308"/>
      <c r="AO33" s="256"/>
      <c r="AP33" s="256"/>
      <c r="AQ33" s="262"/>
      <c r="AR33" s="262"/>
      <c r="AS33" s="262">
        <v>30</v>
      </c>
      <c r="AT33" s="262">
        <v>28</v>
      </c>
      <c r="AU33" s="262">
        <v>26</v>
      </c>
      <c r="AV33" s="262">
        <v>31</v>
      </c>
      <c r="AW33" s="262">
        <v>27.2</v>
      </c>
      <c r="AX33" s="262">
        <v>27.5</v>
      </c>
      <c r="AY33" s="262">
        <v>27.6</v>
      </c>
    </row>
    <row r="34" spans="1:51">
      <c r="A34" s="10" t="s">
        <v>279</v>
      </c>
      <c r="B34" s="254">
        <f t="shared" ref="B34:AM34" si="8">SUM(B29:B33)</f>
        <v>0</v>
      </c>
      <c r="C34" s="255">
        <f t="shared" si="8"/>
        <v>0</v>
      </c>
      <c r="D34" s="255">
        <f t="shared" si="8"/>
        <v>0</v>
      </c>
      <c r="E34" s="255">
        <f t="shared" si="8"/>
        <v>0</v>
      </c>
      <c r="F34" s="255">
        <f t="shared" si="8"/>
        <v>100</v>
      </c>
      <c r="G34" s="255">
        <f t="shared" si="8"/>
        <v>100</v>
      </c>
      <c r="H34" s="255">
        <f t="shared" si="8"/>
        <v>100</v>
      </c>
      <c r="I34" s="255">
        <f t="shared" si="8"/>
        <v>100</v>
      </c>
      <c r="J34" s="255">
        <f t="shared" si="8"/>
        <v>100</v>
      </c>
      <c r="K34" s="255">
        <f t="shared" si="8"/>
        <v>100</v>
      </c>
      <c r="L34" s="255">
        <f t="shared" si="8"/>
        <v>100</v>
      </c>
      <c r="M34" s="255">
        <f t="shared" si="8"/>
        <v>100</v>
      </c>
      <c r="N34" s="255">
        <f t="shared" si="8"/>
        <v>101</v>
      </c>
      <c r="O34" s="255">
        <f t="shared" si="8"/>
        <v>100</v>
      </c>
      <c r="P34" s="255">
        <f t="shared" si="8"/>
        <v>100</v>
      </c>
      <c r="Q34" s="255">
        <f t="shared" si="8"/>
        <v>100</v>
      </c>
      <c r="R34" s="255">
        <f t="shared" si="8"/>
        <v>100</v>
      </c>
      <c r="S34" s="255">
        <f t="shared" si="8"/>
        <v>100</v>
      </c>
      <c r="T34" s="255">
        <f t="shared" si="8"/>
        <v>100</v>
      </c>
      <c r="U34" s="255">
        <f t="shared" si="8"/>
        <v>100</v>
      </c>
      <c r="V34" s="255">
        <f t="shared" si="8"/>
        <v>100</v>
      </c>
      <c r="W34" s="255">
        <f t="shared" si="8"/>
        <v>100</v>
      </c>
      <c r="X34" s="255">
        <f t="shared" si="8"/>
        <v>100</v>
      </c>
      <c r="Y34" s="255">
        <f t="shared" si="8"/>
        <v>100</v>
      </c>
      <c r="Z34" s="255">
        <f t="shared" si="8"/>
        <v>100</v>
      </c>
      <c r="AA34" s="255">
        <f t="shared" si="8"/>
        <v>100</v>
      </c>
      <c r="AB34" s="255">
        <f t="shared" si="8"/>
        <v>99.9</v>
      </c>
      <c r="AC34" s="255">
        <f t="shared" si="8"/>
        <v>100</v>
      </c>
      <c r="AD34" s="255">
        <f t="shared" si="8"/>
        <v>100</v>
      </c>
      <c r="AE34" s="255">
        <f t="shared" si="8"/>
        <v>100</v>
      </c>
      <c r="AF34" s="255">
        <f t="shared" si="8"/>
        <v>99.9</v>
      </c>
      <c r="AG34" s="255">
        <f t="shared" si="8"/>
        <v>100</v>
      </c>
      <c r="AH34" s="255">
        <f t="shared" si="8"/>
        <v>100</v>
      </c>
      <c r="AI34" s="255">
        <f t="shared" si="8"/>
        <v>107.6</v>
      </c>
      <c r="AJ34" s="255">
        <f t="shared" si="8"/>
        <v>100.1</v>
      </c>
      <c r="AK34" s="255">
        <f t="shared" si="8"/>
        <v>100</v>
      </c>
      <c r="AL34" s="255">
        <f t="shared" si="8"/>
        <v>100.10000000000001</v>
      </c>
      <c r="AM34" s="255">
        <f t="shared" si="8"/>
        <v>100</v>
      </c>
      <c r="AN34" s="1253"/>
      <c r="AO34" s="274"/>
      <c r="AP34" s="274"/>
      <c r="AQ34" s="274"/>
      <c r="AR34" s="274"/>
      <c r="AS34" s="274">
        <f t="shared" ref="AS34:AY34" si="9">SUM(AS29:AS33)</f>
        <v>100</v>
      </c>
      <c r="AT34" s="274">
        <f t="shared" si="9"/>
        <v>100</v>
      </c>
      <c r="AU34" s="274">
        <f t="shared" si="9"/>
        <v>100</v>
      </c>
      <c r="AV34" s="274">
        <f t="shared" si="9"/>
        <v>99</v>
      </c>
      <c r="AW34" s="274">
        <f t="shared" si="9"/>
        <v>100</v>
      </c>
      <c r="AX34" s="274">
        <f t="shared" si="9"/>
        <v>99.9</v>
      </c>
      <c r="AY34" s="274">
        <f t="shared" si="9"/>
        <v>100</v>
      </c>
    </row>
    <row r="35" spans="1:51">
      <c r="A35" s="4"/>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282"/>
      <c r="AO35" s="7"/>
      <c r="AP35" s="7"/>
      <c r="AQ35" s="7"/>
      <c r="AR35" s="7"/>
      <c r="AS35" s="7"/>
      <c r="AT35" s="4"/>
      <c r="AU35" s="4"/>
      <c r="AV35" s="4"/>
      <c r="AW35" s="4"/>
      <c r="AX35" s="4"/>
      <c r="AY35" s="4"/>
    </row>
    <row r="36" spans="1:51">
      <c r="A36" s="251" t="s">
        <v>615</v>
      </c>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1252"/>
      <c r="AO36" s="273"/>
      <c r="AP36" s="273"/>
      <c r="AQ36" s="273"/>
      <c r="AR36" s="273"/>
      <c r="AS36" s="273"/>
      <c r="AT36" s="273"/>
      <c r="AU36" s="273"/>
      <c r="AV36" s="273"/>
      <c r="AW36" s="273"/>
      <c r="AX36" s="273"/>
      <c r="AY36" s="273"/>
    </row>
    <row r="37" spans="1:51">
      <c r="A37" s="4" t="s">
        <v>616</v>
      </c>
      <c r="B37" s="9"/>
      <c r="C37" s="249"/>
      <c r="D37" s="249"/>
      <c r="E37" s="249"/>
      <c r="F37" s="249"/>
      <c r="G37" s="249"/>
      <c r="H37" s="249"/>
      <c r="I37" s="249">
        <v>48</v>
      </c>
      <c r="J37" s="249"/>
      <c r="K37" s="249"/>
      <c r="L37" s="249"/>
      <c r="M37" s="249">
        <v>48</v>
      </c>
      <c r="N37" s="249"/>
      <c r="O37" s="249"/>
      <c r="P37" s="249"/>
      <c r="Q37" s="249">
        <v>49</v>
      </c>
      <c r="R37" s="249">
        <v>49</v>
      </c>
      <c r="S37" s="249">
        <v>49</v>
      </c>
      <c r="T37" s="249">
        <v>48</v>
      </c>
      <c r="U37" s="249">
        <v>46</v>
      </c>
      <c r="V37" s="249">
        <v>46.9</v>
      </c>
      <c r="W37" s="249">
        <v>48</v>
      </c>
      <c r="X37" s="249">
        <v>49.4</v>
      </c>
      <c r="Y37" s="249">
        <v>46.400000000000006</v>
      </c>
      <c r="Z37" s="249">
        <v>52</v>
      </c>
      <c r="AA37" s="249">
        <v>52.2</v>
      </c>
      <c r="AB37" s="249">
        <v>53.300000000000004</v>
      </c>
      <c r="AC37" s="249">
        <v>49.9</v>
      </c>
      <c r="AD37" s="249">
        <v>51.3</v>
      </c>
      <c r="AE37" s="249">
        <v>51.3</v>
      </c>
      <c r="AF37" s="249">
        <v>49.2</v>
      </c>
      <c r="AG37" s="249">
        <v>48.3</v>
      </c>
      <c r="AH37" s="249">
        <v>49.7</v>
      </c>
      <c r="AI37" s="249">
        <v>49.4</v>
      </c>
      <c r="AJ37" s="249">
        <v>46.6</v>
      </c>
      <c r="AK37" s="249">
        <v>47.7</v>
      </c>
      <c r="AL37" s="249">
        <v>49.9</v>
      </c>
      <c r="AM37" s="249">
        <v>49.8</v>
      </c>
      <c r="AN37" s="308"/>
      <c r="AO37" s="256"/>
      <c r="AP37" s="256"/>
      <c r="AQ37" s="256"/>
      <c r="AR37" s="262"/>
      <c r="AS37" s="262">
        <v>49</v>
      </c>
      <c r="AT37" s="262">
        <v>49</v>
      </c>
      <c r="AU37" s="262">
        <v>48</v>
      </c>
      <c r="AV37" s="262">
        <v>48</v>
      </c>
      <c r="AW37" s="262">
        <v>51.8</v>
      </c>
      <c r="AX37" s="262">
        <v>49.9</v>
      </c>
      <c r="AY37" s="262">
        <v>48.3</v>
      </c>
    </row>
    <row r="38" spans="1:51">
      <c r="A38" s="4" t="s">
        <v>617</v>
      </c>
      <c r="B38" s="9"/>
      <c r="C38" s="249"/>
      <c r="D38" s="249"/>
      <c r="E38" s="249"/>
      <c r="F38" s="249"/>
      <c r="G38" s="249"/>
      <c r="H38" s="249"/>
      <c r="I38" s="249">
        <v>33</v>
      </c>
      <c r="J38" s="249"/>
      <c r="K38" s="249"/>
      <c r="L38" s="249"/>
      <c r="M38" s="249">
        <v>32</v>
      </c>
      <c r="N38" s="249"/>
      <c r="O38" s="249"/>
      <c r="P38" s="249"/>
      <c r="Q38" s="249">
        <v>33</v>
      </c>
      <c r="R38" s="249">
        <v>35</v>
      </c>
      <c r="S38" s="249">
        <v>37</v>
      </c>
      <c r="T38" s="249">
        <v>37</v>
      </c>
      <c r="U38" s="249">
        <v>40</v>
      </c>
      <c r="V38" s="249">
        <v>36.199999999999996</v>
      </c>
      <c r="W38" s="249">
        <v>36</v>
      </c>
      <c r="X38" s="249">
        <v>35.799999999999997</v>
      </c>
      <c r="Y38" s="249">
        <v>39.6</v>
      </c>
      <c r="Z38" s="249">
        <v>35</v>
      </c>
      <c r="AA38" s="249">
        <v>32.5</v>
      </c>
      <c r="AB38" s="249">
        <v>33.700000000000003</v>
      </c>
      <c r="AC38" s="249">
        <v>39.799999999999997</v>
      </c>
      <c r="AD38" s="249">
        <v>36.9</v>
      </c>
      <c r="AE38" s="249">
        <v>38.5</v>
      </c>
      <c r="AF38" s="249">
        <v>40.299999999999997</v>
      </c>
      <c r="AG38" s="249">
        <v>39.6</v>
      </c>
      <c r="AH38" s="249">
        <v>38.6</v>
      </c>
      <c r="AI38" s="249">
        <v>38.799999999999997</v>
      </c>
      <c r="AJ38" s="249">
        <v>40</v>
      </c>
      <c r="AK38" s="249">
        <v>40.1</v>
      </c>
      <c r="AL38" s="249">
        <v>38.700000000000003</v>
      </c>
      <c r="AM38" s="249">
        <v>37.799999999999997</v>
      </c>
      <c r="AN38" s="308"/>
      <c r="AO38" s="256"/>
      <c r="AP38" s="256"/>
      <c r="AQ38" s="256"/>
      <c r="AR38" s="262"/>
      <c r="AS38" s="262">
        <v>31</v>
      </c>
      <c r="AT38" s="262">
        <v>33</v>
      </c>
      <c r="AU38" s="262">
        <v>37</v>
      </c>
      <c r="AV38" s="262">
        <v>37</v>
      </c>
      <c r="AW38" s="262">
        <v>35.4</v>
      </c>
      <c r="AX38" s="262">
        <v>38.9</v>
      </c>
      <c r="AY38" s="262">
        <v>39.4</v>
      </c>
    </row>
    <row r="39" spans="1:51">
      <c r="A39" s="4" t="s">
        <v>618</v>
      </c>
      <c r="B39" s="9"/>
      <c r="C39" s="249"/>
      <c r="D39" s="249"/>
      <c r="E39" s="249"/>
      <c r="F39" s="249"/>
      <c r="G39" s="249"/>
      <c r="H39" s="249"/>
      <c r="I39" s="249">
        <v>19</v>
      </c>
      <c r="J39" s="249"/>
      <c r="K39" s="249"/>
      <c r="L39" s="249"/>
      <c r="M39" s="249">
        <v>20</v>
      </c>
      <c r="N39" s="249"/>
      <c r="O39" s="249"/>
      <c r="P39" s="249"/>
      <c r="Q39" s="249">
        <v>18</v>
      </c>
      <c r="R39" s="249">
        <v>16</v>
      </c>
      <c r="S39" s="249">
        <v>14</v>
      </c>
      <c r="T39" s="249">
        <v>15</v>
      </c>
      <c r="U39" s="249">
        <v>14</v>
      </c>
      <c r="V39" s="249">
        <v>16.900000000000002</v>
      </c>
      <c r="W39" s="249">
        <v>16</v>
      </c>
      <c r="X39" s="249">
        <v>14.799999999999999</v>
      </c>
      <c r="Y39" s="249">
        <v>14.099999999999998</v>
      </c>
      <c r="Z39" s="249">
        <v>13</v>
      </c>
      <c r="AA39" s="249">
        <v>15.299999999999999</v>
      </c>
      <c r="AB39" s="249">
        <v>13</v>
      </c>
      <c r="AC39" s="249">
        <v>10.3</v>
      </c>
      <c r="AD39" s="249">
        <v>11.9</v>
      </c>
      <c r="AE39" s="249">
        <v>10.199999999999999</v>
      </c>
      <c r="AF39" s="249">
        <v>10.5</v>
      </c>
      <c r="AG39" s="249">
        <v>12.1</v>
      </c>
      <c r="AH39" s="249">
        <v>11.7</v>
      </c>
      <c r="AI39" s="249">
        <v>11.8</v>
      </c>
      <c r="AJ39" s="249">
        <v>13.4</v>
      </c>
      <c r="AK39" s="249">
        <v>12.2</v>
      </c>
      <c r="AL39" s="249">
        <v>11.4</v>
      </c>
      <c r="AM39" s="249">
        <v>12.4</v>
      </c>
      <c r="AN39" s="308"/>
      <c r="AO39" s="256"/>
      <c r="AP39" s="256"/>
      <c r="AQ39" s="256"/>
      <c r="AR39" s="262"/>
      <c r="AS39" s="262">
        <v>20</v>
      </c>
      <c r="AT39" s="262">
        <v>18</v>
      </c>
      <c r="AU39" s="262">
        <v>15</v>
      </c>
      <c r="AV39" s="262">
        <v>15</v>
      </c>
      <c r="AW39" s="262">
        <v>12.8</v>
      </c>
      <c r="AX39" s="262">
        <v>11.200000000000001</v>
      </c>
      <c r="AY39" s="262">
        <v>12.3</v>
      </c>
    </row>
    <row r="40" spans="1:51">
      <c r="A40" s="10" t="s">
        <v>279</v>
      </c>
      <c r="B40" s="254">
        <f t="shared" ref="B40:AM40" si="10">SUM(B37:B39)</f>
        <v>0</v>
      </c>
      <c r="C40" s="255">
        <f t="shared" si="10"/>
        <v>0</v>
      </c>
      <c r="D40" s="255">
        <f t="shared" si="10"/>
        <v>0</v>
      </c>
      <c r="E40" s="255">
        <f t="shared" si="10"/>
        <v>0</v>
      </c>
      <c r="F40" s="255">
        <f t="shared" si="10"/>
        <v>0</v>
      </c>
      <c r="G40" s="255">
        <f t="shared" si="10"/>
        <v>0</v>
      </c>
      <c r="H40" s="255">
        <f t="shared" si="10"/>
        <v>0</v>
      </c>
      <c r="I40" s="255">
        <f t="shared" si="10"/>
        <v>100</v>
      </c>
      <c r="J40" s="255">
        <f t="shared" si="10"/>
        <v>0</v>
      </c>
      <c r="K40" s="255">
        <f t="shared" si="10"/>
        <v>0</v>
      </c>
      <c r="L40" s="255">
        <f t="shared" si="10"/>
        <v>0</v>
      </c>
      <c r="M40" s="255">
        <f t="shared" si="10"/>
        <v>100</v>
      </c>
      <c r="N40" s="255">
        <f t="shared" si="10"/>
        <v>0</v>
      </c>
      <c r="O40" s="255">
        <f t="shared" si="10"/>
        <v>0</v>
      </c>
      <c r="P40" s="255">
        <f t="shared" si="10"/>
        <v>0</v>
      </c>
      <c r="Q40" s="255">
        <f t="shared" si="10"/>
        <v>100</v>
      </c>
      <c r="R40" s="255">
        <f t="shared" si="10"/>
        <v>100</v>
      </c>
      <c r="S40" s="255">
        <f t="shared" si="10"/>
        <v>100</v>
      </c>
      <c r="T40" s="255">
        <f t="shared" si="10"/>
        <v>100</v>
      </c>
      <c r="U40" s="255">
        <f t="shared" si="10"/>
        <v>100</v>
      </c>
      <c r="V40" s="255">
        <f t="shared" si="10"/>
        <v>100</v>
      </c>
      <c r="W40" s="255">
        <f t="shared" si="10"/>
        <v>100</v>
      </c>
      <c r="X40" s="255">
        <f t="shared" si="10"/>
        <v>99.999999999999986</v>
      </c>
      <c r="Y40" s="255">
        <f t="shared" si="10"/>
        <v>100.1</v>
      </c>
      <c r="Z40" s="255">
        <f t="shared" si="10"/>
        <v>100</v>
      </c>
      <c r="AA40" s="255">
        <f t="shared" si="10"/>
        <v>100</v>
      </c>
      <c r="AB40" s="255">
        <f t="shared" si="10"/>
        <v>100</v>
      </c>
      <c r="AC40" s="255">
        <f t="shared" si="10"/>
        <v>99.999999999999986</v>
      </c>
      <c r="AD40" s="255">
        <f t="shared" si="10"/>
        <v>100.1</v>
      </c>
      <c r="AE40" s="255">
        <f t="shared" si="10"/>
        <v>100</v>
      </c>
      <c r="AF40" s="255">
        <f t="shared" si="10"/>
        <v>100</v>
      </c>
      <c r="AG40" s="255">
        <f t="shared" si="10"/>
        <v>100</v>
      </c>
      <c r="AH40" s="255">
        <f t="shared" si="10"/>
        <v>100.00000000000001</v>
      </c>
      <c r="AI40" s="255">
        <f t="shared" si="10"/>
        <v>99.999999999999986</v>
      </c>
      <c r="AJ40" s="255">
        <f t="shared" si="10"/>
        <v>100</v>
      </c>
      <c r="AK40" s="255">
        <f t="shared" si="10"/>
        <v>100.00000000000001</v>
      </c>
      <c r="AL40" s="255">
        <f t="shared" si="10"/>
        <v>100</v>
      </c>
      <c r="AM40" s="255">
        <f t="shared" si="10"/>
        <v>100</v>
      </c>
      <c r="AN40" s="1253"/>
      <c r="AO40" s="274"/>
      <c r="AP40" s="274"/>
      <c r="AQ40" s="274"/>
      <c r="AR40" s="274"/>
      <c r="AS40" s="274">
        <f>SUM(AS37:AS39)</f>
        <v>100</v>
      </c>
      <c r="AT40" s="274">
        <f t="shared" ref="AT40:AW40" si="11">SUM(AT37:AT39)</f>
        <v>100</v>
      </c>
      <c r="AU40" s="274">
        <f t="shared" si="11"/>
        <v>100</v>
      </c>
      <c r="AV40" s="274">
        <f t="shared" si="11"/>
        <v>100</v>
      </c>
      <c r="AW40" s="274">
        <f t="shared" si="11"/>
        <v>99.999999999999986</v>
      </c>
      <c r="AX40" s="274"/>
      <c r="AY40" s="274"/>
    </row>
    <row r="41" spans="1:51">
      <c r="A41" s="4" t="s">
        <v>619</v>
      </c>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249">
        <v>3.8</v>
      </c>
      <c r="AM41" s="249"/>
      <c r="AN41" s="282"/>
      <c r="AO41" s="7"/>
      <c r="AP41" s="7"/>
      <c r="AQ41" s="7"/>
      <c r="AR41" s="7"/>
      <c r="AS41" s="7"/>
      <c r="AT41" s="4"/>
      <c r="AU41" s="4"/>
      <c r="AV41" s="4"/>
      <c r="AW41" s="4"/>
      <c r="AX41" s="4"/>
      <c r="AY41" s="4"/>
    </row>
    <row r="42" spans="1:51">
      <c r="A42" s="4"/>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282"/>
      <c r="AO42" s="7"/>
      <c r="AP42" s="7"/>
      <c r="AQ42" s="7"/>
      <c r="AR42" s="7"/>
      <c r="AS42" s="7"/>
      <c r="AT42" s="4"/>
      <c r="AU42" s="4"/>
      <c r="AV42" s="4"/>
      <c r="AW42" s="4"/>
      <c r="AX42" s="4"/>
      <c r="AY42" s="4"/>
    </row>
    <row r="43" spans="1:51">
      <c r="A43" s="4"/>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282"/>
      <c r="AO43" s="7"/>
      <c r="AP43" s="7"/>
      <c r="AQ43" s="7"/>
      <c r="AR43" s="7"/>
      <c r="AS43" s="7"/>
      <c r="AT43" s="4"/>
      <c r="AU43" s="4"/>
      <c r="AV43" s="4"/>
      <c r="AW43" s="4"/>
      <c r="AX43" s="4"/>
      <c r="AY43" s="4"/>
    </row>
    <row r="44" spans="1:51">
      <c r="A44" s="251" t="s">
        <v>620</v>
      </c>
      <c r="B44" s="252"/>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2"/>
      <c r="AN44" s="1252"/>
      <c r="AO44" s="273"/>
      <c r="AP44" s="273"/>
      <c r="AQ44" s="273"/>
      <c r="AR44" s="273"/>
      <c r="AS44" s="273"/>
      <c r="AT44" s="273"/>
      <c r="AU44" s="273"/>
      <c r="AV44" s="273"/>
      <c r="AW44" s="273"/>
      <c r="AX44" s="273"/>
      <c r="AY44" s="273"/>
    </row>
    <row r="45" spans="1:51">
      <c r="A45" s="4" t="s">
        <v>621</v>
      </c>
      <c r="B45" s="9"/>
      <c r="C45" s="249"/>
      <c r="D45" s="249"/>
      <c r="E45" s="249"/>
      <c r="F45" s="249"/>
      <c r="G45" s="249"/>
      <c r="H45" s="249"/>
      <c r="I45" s="249"/>
      <c r="J45" s="249"/>
      <c r="K45" s="249"/>
      <c r="L45" s="249"/>
      <c r="M45" s="249"/>
      <c r="N45" s="249"/>
      <c r="O45" s="249"/>
      <c r="P45" s="249"/>
      <c r="Q45" s="249"/>
      <c r="R45" s="249"/>
      <c r="S45" s="249"/>
      <c r="T45" s="249"/>
      <c r="U45" s="249">
        <v>16</v>
      </c>
      <c r="V45" s="249">
        <v>16</v>
      </c>
      <c r="W45" s="249">
        <v>16.400000000000002</v>
      </c>
      <c r="X45" s="249">
        <v>16.600000000000001</v>
      </c>
      <c r="Y45" s="249">
        <v>16</v>
      </c>
      <c r="Z45" s="249">
        <v>14.000000000000002</v>
      </c>
      <c r="AA45" s="249">
        <v>12.7</v>
      </c>
      <c r="AB45" s="249">
        <v>10.8</v>
      </c>
      <c r="AC45" s="249">
        <v>10.7</v>
      </c>
      <c r="AD45" s="249">
        <v>10.5</v>
      </c>
      <c r="AE45" s="249">
        <v>10.5</v>
      </c>
      <c r="AF45" s="249">
        <v>9.9</v>
      </c>
      <c r="AG45" s="249">
        <v>9.5</v>
      </c>
      <c r="AH45" s="249">
        <v>9.4</v>
      </c>
      <c r="AI45" s="249">
        <v>8.9</v>
      </c>
      <c r="AJ45" s="249">
        <v>7.8</v>
      </c>
      <c r="AK45" s="249">
        <v>7.8</v>
      </c>
      <c r="AL45" s="605"/>
      <c r="AM45" s="605"/>
      <c r="AN45" s="308"/>
      <c r="AO45" s="249"/>
      <c r="AP45" s="249"/>
      <c r="AQ45" s="249"/>
      <c r="AR45" s="249"/>
      <c r="AS45" s="249"/>
      <c r="AT45" s="14"/>
      <c r="AU45" s="14">
        <v>15</v>
      </c>
      <c r="AV45" s="508">
        <v>15.7</v>
      </c>
      <c r="AW45" s="333">
        <v>12</v>
      </c>
      <c r="AX45" s="333">
        <v>10.100000000000001</v>
      </c>
      <c r="AY45" s="333">
        <v>8.5</v>
      </c>
    </row>
    <row r="46" spans="1:51">
      <c r="A46" s="4" t="s">
        <v>622</v>
      </c>
      <c r="B46" s="9"/>
      <c r="C46" s="249"/>
      <c r="D46" s="249"/>
      <c r="E46" s="249"/>
      <c r="F46" s="249"/>
      <c r="G46" s="249"/>
      <c r="H46" s="249"/>
      <c r="I46" s="249"/>
      <c r="J46" s="249"/>
      <c r="K46" s="249"/>
      <c r="L46" s="249"/>
      <c r="M46" s="249"/>
      <c r="N46" s="249"/>
      <c r="O46" s="249"/>
      <c r="P46" s="249"/>
      <c r="Q46" s="249"/>
      <c r="R46" s="249"/>
      <c r="S46" s="249"/>
      <c r="T46" s="249"/>
      <c r="U46" s="249">
        <v>14</v>
      </c>
      <c r="V46" s="249">
        <v>14.6</v>
      </c>
      <c r="W46" s="249">
        <v>14.899999999999999</v>
      </c>
      <c r="X46" s="249">
        <v>15.299999999999999</v>
      </c>
      <c r="Y46" s="249">
        <v>15</v>
      </c>
      <c r="Z46" s="249">
        <v>14.499999999999998</v>
      </c>
      <c r="AA46" s="249">
        <v>14.299999999999999</v>
      </c>
      <c r="AB46" s="249">
        <v>14.000000000000002</v>
      </c>
      <c r="AC46" s="249">
        <v>12.7</v>
      </c>
      <c r="AD46" s="249">
        <v>12.6</v>
      </c>
      <c r="AE46" s="249">
        <v>12.6</v>
      </c>
      <c r="AF46" s="249">
        <v>11.8</v>
      </c>
      <c r="AG46" s="249">
        <v>11.1</v>
      </c>
      <c r="AH46" s="249">
        <v>11.5</v>
      </c>
      <c r="AI46" s="249">
        <v>12.1</v>
      </c>
      <c r="AJ46" s="249">
        <v>11.3</v>
      </c>
      <c r="AK46" s="249">
        <v>11.2</v>
      </c>
      <c r="AL46" s="605"/>
      <c r="AM46" s="605"/>
      <c r="AN46" s="308"/>
      <c r="AO46" s="249"/>
      <c r="AP46" s="249"/>
      <c r="AQ46" s="249"/>
      <c r="AR46" s="249"/>
      <c r="AS46" s="249"/>
      <c r="AT46" s="14"/>
      <c r="AU46" s="14">
        <v>15</v>
      </c>
      <c r="AV46" s="508">
        <v>15.1</v>
      </c>
      <c r="AW46" s="333">
        <v>13.8</v>
      </c>
      <c r="AX46" s="333">
        <v>12</v>
      </c>
      <c r="AY46" s="333">
        <v>11.5</v>
      </c>
    </row>
    <row r="47" spans="1:51">
      <c r="A47" s="4" t="s">
        <v>623</v>
      </c>
      <c r="B47" s="9"/>
      <c r="C47" s="249"/>
      <c r="D47" s="249"/>
      <c r="E47" s="249"/>
      <c r="F47" s="249"/>
      <c r="G47" s="249"/>
      <c r="H47" s="249"/>
      <c r="I47" s="249"/>
      <c r="J47" s="249"/>
      <c r="K47" s="249"/>
      <c r="L47" s="249"/>
      <c r="M47" s="249"/>
      <c r="N47" s="249"/>
      <c r="O47" s="249"/>
      <c r="P47" s="249"/>
      <c r="Q47" s="249"/>
      <c r="R47" s="249"/>
      <c r="S47" s="249"/>
      <c r="T47" s="249"/>
      <c r="U47" s="249">
        <v>21</v>
      </c>
      <c r="V47" s="249">
        <v>19</v>
      </c>
      <c r="W47" s="249">
        <v>19.2</v>
      </c>
      <c r="X47" s="249">
        <v>19.2</v>
      </c>
      <c r="Y47" s="249">
        <v>23</v>
      </c>
      <c r="Z47" s="249">
        <v>20.200000000000003</v>
      </c>
      <c r="AA47" s="249">
        <v>20.599999999999998</v>
      </c>
      <c r="AB47" s="249">
        <v>20.5</v>
      </c>
      <c r="AC47" s="249">
        <v>22</v>
      </c>
      <c r="AD47" s="249">
        <v>23.3</v>
      </c>
      <c r="AE47" s="249">
        <v>23.1</v>
      </c>
      <c r="AF47" s="249">
        <v>23.9</v>
      </c>
      <c r="AG47" s="249">
        <v>23.6</v>
      </c>
      <c r="AH47" s="249">
        <v>24</v>
      </c>
      <c r="AI47" s="249">
        <v>24.5</v>
      </c>
      <c r="AJ47" s="249">
        <v>25.7</v>
      </c>
      <c r="AK47" s="249">
        <v>25.2</v>
      </c>
      <c r="AL47" s="605"/>
      <c r="AM47" s="605"/>
      <c r="AN47" s="308"/>
      <c r="AO47" s="249"/>
      <c r="AP47" s="249"/>
      <c r="AQ47" s="249"/>
      <c r="AR47" s="249"/>
      <c r="AS47" s="249"/>
      <c r="AT47" s="14"/>
      <c r="AU47" s="14">
        <v>18</v>
      </c>
      <c r="AV47" s="333">
        <v>20</v>
      </c>
      <c r="AW47" s="333">
        <v>20.8</v>
      </c>
      <c r="AX47" s="333">
        <v>23.5</v>
      </c>
      <c r="AY47" s="333">
        <v>24.9</v>
      </c>
    </row>
    <row r="48" spans="1:51">
      <c r="A48" s="4" t="s">
        <v>624</v>
      </c>
      <c r="B48" s="9"/>
      <c r="C48" s="249"/>
      <c r="D48" s="249"/>
      <c r="E48" s="249"/>
      <c r="F48" s="249"/>
      <c r="G48" s="249"/>
      <c r="H48" s="249"/>
      <c r="I48" s="249"/>
      <c r="J48" s="249"/>
      <c r="K48" s="249"/>
      <c r="L48" s="249"/>
      <c r="M48" s="249"/>
      <c r="N48" s="249"/>
      <c r="O48" s="249"/>
      <c r="P48" s="249"/>
      <c r="Q48" s="249"/>
      <c r="R48" s="249"/>
      <c r="S48" s="249"/>
      <c r="T48" s="249"/>
      <c r="U48" s="249">
        <v>18</v>
      </c>
      <c r="V48" s="249">
        <v>19.2</v>
      </c>
      <c r="W48" s="249">
        <v>20.8</v>
      </c>
      <c r="X48" s="249">
        <v>19.7</v>
      </c>
      <c r="Y48" s="249">
        <v>19</v>
      </c>
      <c r="Z48" s="249">
        <v>17.100000000000001</v>
      </c>
      <c r="AA48" s="249">
        <v>17</v>
      </c>
      <c r="AB48" s="249">
        <v>18.600000000000001</v>
      </c>
      <c r="AC48" s="249">
        <v>18</v>
      </c>
      <c r="AD48" s="249">
        <v>18.2</v>
      </c>
      <c r="AE48" s="249">
        <v>17.5</v>
      </c>
      <c r="AF48" s="249">
        <v>18.600000000000001</v>
      </c>
      <c r="AG48" s="249">
        <v>19</v>
      </c>
      <c r="AH48" s="249">
        <v>20</v>
      </c>
      <c r="AI48" s="249">
        <v>18.5</v>
      </c>
      <c r="AJ48" s="249">
        <v>18.899999999999999</v>
      </c>
      <c r="AK48" s="249">
        <v>19.100000000000001</v>
      </c>
      <c r="AL48" s="605"/>
      <c r="AM48" s="605"/>
      <c r="AN48" s="308"/>
      <c r="AO48" s="249"/>
      <c r="AP48" s="249"/>
      <c r="AQ48" s="249"/>
      <c r="AR48" s="249"/>
      <c r="AS48" s="249"/>
      <c r="AT48" s="14"/>
      <c r="AU48" s="14">
        <v>18</v>
      </c>
      <c r="AV48" s="508">
        <v>20.7</v>
      </c>
      <c r="AW48" s="14">
        <v>17.899999999999999</v>
      </c>
      <c r="AX48" s="14">
        <v>18.3</v>
      </c>
      <c r="AY48" s="14">
        <v>19.100000000000001</v>
      </c>
    </row>
    <row r="49" spans="1:51">
      <c r="A49" s="4" t="s">
        <v>625</v>
      </c>
      <c r="B49" s="9"/>
      <c r="C49" s="249"/>
      <c r="D49" s="249"/>
      <c r="E49" s="249"/>
      <c r="F49" s="249"/>
      <c r="G49" s="249"/>
      <c r="H49" s="249"/>
      <c r="I49" s="249"/>
      <c r="J49" s="249"/>
      <c r="K49" s="249"/>
      <c r="L49" s="249"/>
      <c r="M49" s="249"/>
      <c r="N49" s="249"/>
      <c r="O49" s="249"/>
      <c r="P49" s="249"/>
      <c r="Q49" s="249"/>
      <c r="R49" s="249"/>
      <c r="S49" s="249"/>
      <c r="T49" s="249"/>
      <c r="U49" s="249">
        <v>29</v>
      </c>
      <c r="V49" s="249">
        <v>28.9</v>
      </c>
      <c r="W49" s="249">
        <v>26.8</v>
      </c>
      <c r="X49" s="249">
        <v>27.700000000000003</v>
      </c>
      <c r="Y49" s="249">
        <v>26</v>
      </c>
      <c r="Z49" s="249">
        <v>25.900000000000002</v>
      </c>
      <c r="AA49" s="249">
        <v>23.9</v>
      </c>
      <c r="AB49" s="249">
        <v>24.7</v>
      </c>
      <c r="AC49" s="249">
        <v>25.3</v>
      </c>
      <c r="AD49" s="249">
        <v>24.2</v>
      </c>
      <c r="AE49" s="249">
        <v>25.8</v>
      </c>
      <c r="AF49" s="249">
        <v>26.7</v>
      </c>
      <c r="AG49" s="249">
        <v>27.7</v>
      </c>
      <c r="AH49" s="249">
        <v>25.6</v>
      </c>
      <c r="AI49" s="249">
        <v>26.6</v>
      </c>
      <c r="AJ49" s="249">
        <v>27.1</v>
      </c>
      <c r="AK49" s="249">
        <v>27.3</v>
      </c>
      <c r="AL49" s="605"/>
      <c r="AM49" s="605"/>
      <c r="AN49" s="308"/>
      <c r="AO49" s="249"/>
      <c r="AP49" s="249"/>
      <c r="AQ49" s="249"/>
      <c r="AR49" s="249"/>
      <c r="AS49" s="249"/>
      <c r="AT49" s="14"/>
      <c r="AU49" s="14">
        <v>32</v>
      </c>
      <c r="AV49" s="14">
        <v>27</v>
      </c>
      <c r="AW49" s="14">
        <v>24.8</v>
      </c>
      <c r="AX49" s="14">
        <v>26.200000000000003</v>
      </c>
      <c r="AY49" s="14">
        <v>26.700000000000003</v>
      </c>
    </row>
    <row r="50" spans="1:51">
      <c r="A50" s="4" t="s">
        <v>626</v>
      </c>
      <c r="B50" s="9"/>
      <c r="C50" s="249"/>
      <c r="D50" s="249"/>
      <c r="E50" s="249"/>
      <c r="F50" s="249"/>
      <c r="G50" s="249"/>
      <c r="H50" s="249"/>
      <c r="I50" s="249"/>
      <c r="J50" s="249"/>
      <c r="K50" s="249"/>
      <c r="L50" s="249"/>
      <c r="M50" s="249"/>
      <c r="N50" s="249"/>
      <c r="O50" s="249"/>
      <c r="P50" s="249"/>
      <c r="Q50" s="249"/>
      <c r="R50" s="249"/>
      <c r="S50" s="249"/>
      <c r="T50" s="249"/>
      <c r="U50" s="249">
        <v>2</v>
      </c>
      <c r="V50" s="249">
        <v>2.2999999999999998</v>
      </c>
      <c r="W50" s="249">
        <v>1.9</v>
      </c>
      <c r="X50" s="249">
        <v>1.5</v>
      </c>
      <c r="Y50" s="249">
        <v>1</v>
      </c>
      <c r="Z50" s="249">
        <v>8.3000000000000007</v>
      </c>
      <c r="AA50" s="249">
        <v>11.5</v>
      </c>
      <c r="AB50" s="249">
        <v>11.4</v>
      </c>
      <c r="AC50" s="249">
        <v>11.2</v>
      </c>
      <c r="AD50" s="249">
        <v>11.1</v>
      </c>
      <c r="AE50" s="249">
        <v>10.4</v>
      </c>
      <c r="AF50" s="249">
        <v>9.1</v>
      </c>
      <c r="AG50" s="249">
        <v>9</v>
      </c>
      <c r="AH50" s="249">
        <v>9.5</v>
      </c>
      <c r="AI50" s="249">
        <v>9.5</v>
      </c>
      <c r="AJ50" s="249">
        <v>9.1999999999999993</v>
      </c>
      <c r="AK50" s="249">
        <v>9.4</v>
      </c>
      <c r="AL50" s="605"/>
      <c r="AM50" s="605"/>
      <c r="AN50" s="308"/>
      <c r="AO50" s="249"/>
      <c r="AP50" s="249"/>
      <c r="AQ50" s="249"/>
      <c r="AR50" s="249"/>
      <c r="AS50" s="249"/>
      <c r="AT50" s="14"/>
      <c r="AU50" s="14">
        <v>2</v>
      </c>
      <c r="AV50" s="14">
        <v>2</v>
      </c>
      <c r="AW50" s="14">
        <v>10.7</v>
      </c>
      <c r="AX50" s="14">
        <v>9.9</v>
      </c>
      <c r="AY50" s="14">
        <v>9.4</v>
      </c>
    </row>
    <row r="51" spans="1:51">
      <c r="A51" s="10" t="s">
        <v>279</v>
      </c>
      <c r="B51" s="254"/>
      <c r="C51" s="255"/>
      <c r="D51" s="255"/>
      <c r="E51" s="255"/>
      <c r="F51" s="255"/>
      <c r="G51" s="255"/>
      <c r="H51" s="255"/>
      <c r="I51" s="255"/>
      <c r="J51" s="255"/>
      <c r="K51" s="255"/>
      <c r="L51" s="255"/>
      <c r="M51" s="255"/>
      <c r="N51" s="255">
        <f t="shared" ref="N51:AM51" si="12">N45+N46+N47+N48+N49+N50</f>
        <v>0</v>
      </c>
      <c r="O51" s="255">
        <f t="shared" si="12"/>
        <v>0</v>
      </c>
      <c r="P51" s="255">
        <f t="shared" si="12"/>
        <v>0</v>
      </c>
      <c r="Q51" s="255">
        <f t="shared" si="12"/>
        <v>0</v>
      </c>
      <c r="R51" s="255">
        <f t="shared" si="12"/>
        <v>0</v>
      </c>
      <c r="S51" s="255">
        <f t="shared" si="12"/>
        <v>0</v>
      </c>
      <c r="T51" s="255">
        <f t="shared" si="12"/>
        <v>0</v>
      </c>
      <c r="U51" s="255">
        <f t="shared" si="12"/>
        <v>100</v>
      </c>
      <c r="V51" s="255">
        <f t="shared" si="12"/>
        <v>99.999999999999986</v>
      </c>
      <c r="W51" s="255">
        <f t="shared" si="12"/>
        <v>100</v>
      </c>
      <c r="X51" s="255">
        <f t="shared" si="12"/>
        <v>100</v>
      </c>
      <c r="Y51" s="255">
        <f t="shared" si="12"/>
        <v>100</v>
      </c>
      <c r="Z51" s="255">
        <f t="shared" si="12"/>
        <v>100.00000000000001</v>
      </c>
      <c r="AA51" s="255">
        <f t="shared" si="12"/>
        <v>100</v>
      </c>
      <c r="AB51" s="255">
        <f t="shared" si="12"/>
        <v>100.00000000000001</v>
      </c>
      <c r="AC51" s="255">
        <f t="shared" si="12"/>
        <v>99.9</v>
      </c>
      <c r="AD51" s="255">
        <f t="shared" si="12"/>
        <v>99.9</v>
      </c>
      <c r="AE51" s="255">
        <f t="shared" si="12"/>
        <v>99.9</v>
      </c>
      <c r="AF51" s="255">
        <f t="shared" si="12"/>
        <v>100</v>
      </c>
      <c r="AG51" s="255">
        <f t="shared" si="12"/>
        <v>99.9</v>
      </c>
      <c r="AH51" s="255">
        <f t="shared" si="12"/>
        <v>100</v>
      </c>
      <c r="AI51" s="255">
        <f t="shared" si="12"/>
        <v>100.1</v>
      </c>
      <c r="AJ51" s="255">
        <f t="shared" si="12"/>
        <v>100</v>
      </c>
      <c r="AK51" s="255">
        <f t="shared" si="12"/>
        <v>100.00000000000001</v>
      </c>
      <c r="AL51" s="255">
        <f t="shared" si="12"/>
        <v>0</v>
      </c>
      <c r="AM51" s="255">
        <f t="shared" si="12"/>
        <v>0</v>
      </c>
      <c r="AN51" s="1253"/>
      <c r="AO51" s="274"/>
      <c r="AP51" s="274"/>
      <c r="AQ51" s="274"/>
      <c r="AR51" s="274"/>
      <c r="AS51" s="274">
        <f t="shared" ref="AS51:AT51" si="13">SUM(AS48:AS50)</f>
        <v>0</v>
      </c>
      <c r="AT51" s="274">
        <f t="shared" si="13"/>
        <v>0</v>
      </c>
      <c r="AU51" s="274">
        <f>SUM(AU45:AU50)</f>
        <v>100</v>
      </c>
      <c r="AV51" s="274">
        <f>SUM(AV45:AV50)</f>
        <v>100.5</v>
      </c>
      <c r="AW51" s="274">
        <f>SUM(AW45:AW50)</f>
        <v>100</v>
      </c>
      <c r="AX51" s="274">
        <f t="shared" ref="AX51:AY51" si="14">SUM(AX45:AX50)</f>
        <v>100.00000000000001</v>
      </c>
      <c r="AY51" s="274">
        <f t="shared" si="14"/>
        <v>100.10000000000001</v>
      </c>
    </row>
    <row r="52" spans="1:51">
      <c r="A52" s="4"/>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282"/>
      <c r="AO52" s="7"/>
      <c r="AP52" s="7"/>
      <c r="AQ52" s="7"/>
      <c r="AR52" s="7"/>
      <c r="AS52" s="7"/>
      <c r="AT52" s="4"/>
      <c r="AU52" s="4"/>
      <c r="AV52" s="4"/>
      <c r="AW52" s="4"/>
      <c r="AX52" s="4"/>
      <c r="AY52" s="4"/>
    </row>
    <row r="53" spans="1:51">
      <c r="A53" s="251" t="s">
        <v>620</v>
      </c>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1252"/>
      <c r="AO53" s="273"/>
      <c r="AP53" s="273"/>
      <c r="AQ53" s="273"/>
      <c r="AR53" s="273"/>
      <c r="AS53" s="273"/>
      <c r="AT53" s="273"/>
      <c r="AU53" s="273"/>
      <c r="AV53" s="273"/>
      <c r="AW53" s="273"/>
      <c r="AX53" s="273"/>
      <c r="AY53" s="273"/>
    </row>
    <row r="54" spans="1:51">
      <c r="A54" s="4" t="s">
        <v>621</v>
      </c>
      <c r="B54" s="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c r="AA54" s="249"/>
      <c r="AB54" s="249"/>
      <c r="AC54" s="249"/>
      <c r="AD54" s="249"/>
      <c r="AE54" s="249"/>
      <c r="AF54" s="249"/>
      <c r="AG54" s="249"/>
      <c r="AH54" s="249">
        <v>35</v>
      </c>
      <c r="AI54" s="249">
        <v>35.5</v>
      </c>
      <c r="AJ54" s="249"/>
      <c r="AK54" s="249">
        <v>35.1</v>
      </c>
      <c r="AL54" s="249">
        <v>32.1</v>
      </c>
      <c r="AM54" s="249">
        <v>31.2</v>
      </c>
      <c r="AN54" s="308"/>
      <c r="AO54" s="249"/>
      <c r="AP54" s="249"/>
      <c r="AQ54" s="249"/>
      <c r="AR54" s="249"/>
      <c r="AS54" s="249"/>
      <c r="AT54" s="14"/>
      <c r="AU54" s="601"/>
      <c r="AV54" s="602"/>
      <c r="AW54" s="601"/>
      <c r="AX54" s="601"/>
      <c r="AY54" s="601"/>
    </row>
    <row r="55" spans="1:51">
      <c r="A55" s="4" t="s">
        <v>622</v>
      </c>
      <c r="B55" s="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c r="AA55" s="249"/>
      <c r="AB55" s="249"/>
      <c r="AC55" s="249"/>
      <c r="AD55" s="249"/>
      <c r="AE55" s="249"/>
      <c r="AF55" s="249"/>
      <c r="AG55" s="249"/>
      <c r="AH55" s="249">
        <v>11.5</v>
      </c>
      <c r="AI55" s="249">
        <v>12.1</v>
      </c>
      <c r="AJ55" s="249"/>
      <c r="AK55" s="249">
        <v>11.2</v>
      </c>
      <c r="AL55" s="249">
        <v>11.7</v>
      </c>
      <c r="AM55" s="249">
        <v>10.9</v>
      </c>
      <c r="AN55" s="308"/>
      <c r="AO55" s="249"/>
      <c r="AP55" s="249"/>
      <c r="AQ55" s="249"/>
      <c r="AR55" s="249"/>
      <c r="AS55" s="249"/>
      <c r="AT55" s="14"/>
      <c r="AU55" s="601"/>
      <c r="AV55" s="602"/>
      <c r="AW55" s="601"/>
      <c r="AX55" s="601"/>
      <c r="AY55" s="601"/>
    </row>
    <row r="56" spans="1:51">
      <c r="A56" s="4" t="s">
        <v>623</v>
      </c>
      <c r="B56" s="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c r="AB56" s="249"/>
      <c r="AC56" s="249"/>
      <c r="AD56" s="249"/>
      <c r="AE56" s="249"/>
      <c r="AF56" s="249"/>
      <c r="AG56" s="249"/>
      <c r="AH56" s="249">
        <v>24</v>
      </c>
      <c r="AI56" s="249">
        <v>24.5</v>
      </c>
      <c r="AJ56" s="249"/>
      <c r="AK56" s="249">
        <v>25.2</v>
      </c>
      <c r="AL56" s="249">
        <v>27.4</v>
      </c>
      <c r="AM56" s="249">
        <v>27.7</v>
      </c>
      <c r="AN56" s="308"/>
      <c r="AO56" s="249"/>
      <c r="AP56" s="249"/>
      <c r="AQ56" s="249"/>
      <c r="AR56" s="249"/>
      <c r="AS56" s="249"/>
      <c r="AT56" s="14"/>
      <c r="AU56" s="601"/>
      <c r="AV56" s="601"/>
      <c r="AW56" s="601"/>
      <c r="AX56" s="601"/>
      <c r="AY56" s="601"/>
    </row>
    <row r="57" spans="1:51">
      <c r="A57" s="4" t="s">
        <v>624</v>
      </c>
      <c r="B57" s="9"/>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c r="AA57" s="249"/>
      <c r="AB57" s="249"/>
      <c r="AC57" s="249"/>
      <c r="AD57" s="249"/>
      <c r="AE57" s="249"/>
      <c r="AF57" s="249"/>
      <c r="AG57" s="249"/>
      <c r="AH57" s="249">
        <v>20</v>
      </c>
      <c r="AI57" s="249">
        <v>18.5</v>
      </c>
      <c r="AJ57" s="249"/>
      <c r="AK57" s="249">
        <v>19.100000000000001</v>
      </c>
      <c r="AL57" s="249">
        <v>19.2</v>
      </c>
      <c r="AM57" s="249">
        <v>20.5</v>
      </c>
      <c r="AN57" s="308"/>
      <c r="AO57" s="249"/>
      <c r="AP57" s="249"/>
      <c r="AQ57" s="249"/>
      <c r="AR57" s="249"/>
      <c r="AS57" s="249"/>
      <c r="AT57" s="14"/>
      <c r="AU57" s="601"/>
      <c r="AV57" s="602"/>
      <c r="AW57" s="601"/>
      <c r="AX57" s="601"/>
      <c r="AY57" s="601"/>
    </row>
    <row r="58" spans="1:51">
      <c r="A58" s="4" t="s">
        <v>626</v>
      </c>
      <c r="B58" s="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c r="AB58" s="249"/>
      <c r="AC58" s="249"/>
      <c r="AD58" s="249"/>
      <c r="AE58" s="249"/>
      <c r="AF58" s="249"/>
      <c r="AG58" s="249"/>
      <c r="AH58" s="249">
        <v>9.5</v>
      </c>
      <c r="AI58" s="249">
        <v>9.5</v>
      </c>
      <c r="AJ58" s="249"/>
      <c r="AK58" s="249">
        <v>9.4</v>
      </c>
      <c r="AL58" s="249">
        <v>9.4</v>
      </c>
      <c r="AM58" s="249">
        <v>9.6999999999999993</v>
      </c>
      <c r="AN58" s="308"/>
      <c r="AO58" s="249"/>
      <c r="AP58" s="249"/>
      <c r="AQ58" s="249"/>
      <c r="AR58" s="249"/>
      <c r="AS58" s="249"/>
      <c r="AT58" s="14"/>
      <c r="AU58" s="601"/>
      <c r="AV58" s="601"/>
      <c r="AW58" s="601"/>
      <c r="AX58" s="601"/>
      <c r="AY58" s="601"/>
    </row>
    <row r="59" spans="1:51">
      <c r="A59" s="10" t="s">
        <v>279</v>
      </c>
      <c r="B59" s="254"/>
      <c r="C59" s="255"/>
      <c r="D59" s="255"/>
      <c r="E59" s="255"/>
      <c r="F59" s="255"/>
      <c r="G59" s="255"/>
      <c r="H59" s="255"/>
      <c r="I59" s="255"/>
      <c r="J59" s="255"/>
      <c r="K59" s="255"/>
      <c r="L59" s="255"/>
      <c r="M59" s="255"/>
      <c r="N59" s="255">
        <f t="shared" ref="N59:AK59" si="15">SUM(N54:N58)</f>
        <v>0</v>
      </c>
      <c r="O59" s="255">
        <f t="shared" si="15"/>
        <v>0</v>
      </c>
      <c r="P59" s="255">
        <f t="shared" si="15"/>
        <v>0</v>
      </c>
      <c r="Q59" s="255">
        <f t="shared" si="15"/>
        <v>0</v>
      </c>
      <c r="R59" s="255">
        <f t="shared" si="15"/>
        <v>0</v>
      </c>
      <c r="S59" s="255">
        <f t="shared" si="15"/>
        <v>0</v>
      </c>
      <c r="T59" s="255">
        <f t="shared" si="15"/>
        <v>0</v>
      </c>
      <c r="U59" s="255">
        <f t="shared" si="15"/>
        <v>0</v>
      </c>
      <c r="V59" s="255">
        <f t="shared" si="15"/>
        <v>0</v>
      </c>
      <c r="W59" s="255">
        <f t="shared" si="15"/>
        <v>0</v>
      </c>
      <c r="X59" s="255">
        <f t="shared" si="15"/>
        <v>0</v>
      </c>
      <c r="Y59" s="255">
        <f t="shared" si="15"/>
        <v>0</v>
      </c>
      <c r="Z59" s="255">
        <f t="shared" si="15"/>
        <v>0</v>
      </c>
      <c r="AA59" s="255">
        <f t="shared" si="15"/>
        <v>0</v>
      </c>
      <c r="AB59" s="255">
        <f t="shared" si="15"/>
        <v>0</v>
      </c>
      <c r="AC59" s="255">
        <f t="shared" si="15"/>
        <v>0</v>
      </c>
      <c r="AD59" s="255">
        <f t="shared" si="15"/>
        <v>0</v>
      </c>
      <c r="AE59" s="255">
        <f t="shared" si="15"/>
        <v>0</v>
      </c>
      <c r="AF59" s="255">
        <f t="shared" si="15"/>
        <v>0</v>
      </c>
      <c r="AG59" s="255">
        <f t="shared" si="15"/>
        <v>0</v>
      </c>
      <c r="AH59" s="255">
        <f t="shared" si="15"/>
        <v>100</v>
      </c>
      <c r="AI59" s="255">
        <f t="shared" si="15"/>
        <v>100.1</v>
      </c>
      <c r="AJ59" s="255">
        <f t="shared" si="15"/>
        <v>0</v>
      </c>
      <c r="AK59" s="255">
        <f t="shared" si="15"/>
        <v>100</v>
      </c>
      <c r="AL59" s="255">
        <f>SUM(AL54:AL58)</f>
        <v>99.8</v>
      </c>
      <c r="AM59" s="255">
        <f>SUM(AM54:AM58)</f>
        <v>100</v>
      </c>
      <c r="AN59" s="1253"/>
      <c r="AO59" s="255"/>
      <c r="AP59" s="255"/>
      <c r="AQ59" s="255"/>
      <c r="AR59" s="255"/>
      <c r="AS59" s="255">
        <f t="shared" ref="AS59:AY59" si="16">SUM(AS54:AS58)</f>
        <v>0</v>
      </c>
      <c r="AT59" s="255">
        <f t="shared" si="16"/>
        <v>0</v>
      </c>
      <c r="AU59" s="255">
        <f t="shared" si="16"/>
        <v>0</v>
      </c>
      <c r="AV59" s="255">
        <f t="shared" si="16"/>
        <v>0</v>
      </c>
      <c r="AW59" s="255">
        <f t="shared" si="16"/>
        <v>0</v>
      </c>
      <c r="AX59" s="255">
        <f t="shared" si="16"/>
        <v>0</v>
      </c>
      <c r="AY59" s="255">
        <f t="shared" si="16"/>
        <v>0</v>
      </c>
    </row>
    <row r="60" spans="1:51">
      <c r="A60" s="4"/>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282"/>
      <c r="AO60" s="7"/>
      <c r="AP60" s="7"/>
      <c r="AQ60" s="7"/>
      <c r="AR60" s="7"/>
      <c r="AS60" s="7"/>
      <c r="AT60" s="4"/>
      <c r="AU60" s="4"/>
      <c r="AV60" s="4"/>
      <c r="AW60" s="4"/>
      <c r="AX60" s="4"/>
      <c r="AY60" s="4"/>
    </row>
    <row r="61" spans="1:51">
      <c r="A61" s="251" t="s">
        <v>627</v>
      </c>
      <c r="B61" s="252"/>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c r="AA61" s="252"/>
      <c r="AB61" s="252"/>
      <c r="AC61" s="252"/>
      <c r="AD61" s="252"/>
      <c r="AE61" s="252"/>
      <c r="AF61" s="252"/>
      <c r="AG61" s="252"/>
      <c r="AH61" s="252"/>
      <c r="AI61" s="252"/>
      <c r="AJ61" s="252"/>
      <c r="AK61" s="252"/>
      <c r="AL61" s="252"/>
      <c r="AM61" s="252"/>
      <c r="AN61" s="1252"/>
      <c r="AO61" s="273"/>
      <c r="AP61" s="273"/>
      <c r="AQ61" s="273"/>
      <c r="AR61" s="273"/>
      <c r="AS61" s="273"/>
      <c r="AT61" s="273"/>
      <c r="AU61" s="273"/>
      <c r="AV61" s="273"/>
      <c r="AW61" s="273"/>
      <c r="AX61" s="273"/>
      <c r="AY61" s="273"/>
    </row>
    <row r="62" spans="1:51">
      <c r="A62" s="4" t="s">
        <v>309</v>
      </c>
      <c r="B62" s="9"/>
      <c r="C62" s="249"/>
      <c r="D62" s="249"/>
      <c r="E62" s="249"/>
      <c r="F62" s="249"/>
      <c r="G62" s="249"/>
      <c r="H62" s="249"/>
      <c r="I62" s="249">
        <v>59</v>
      </c>
      <c r="J62" s="249"/>
      <c r="K62" s="249"/>
      <c r="L62" s="249"/>
      <c r="M62" s="249">
        <v>61</v>
      </c>
      <c r="N62" s="249"/>
      <c r="O62" s="249"/>
      <c r="P62" s="249"/>
      <c r="Q62" s="249">
        <v>66</v>
      </c>
      <c r="R62" s="249">
        <v>66</v>
      </c>
      <c r="S62" s="249">
        <v>66</v>
      </c>
      <c r="T62" s="249">
        <v>64</v>
      </c>
      <c r="U62" s="249">
        <v>64</v>
      </c>
      <c r="V62" s="249">
        <v>61.7</v>
      </c>
      <c r="W62" s="249">
        <v>64</v>
      </c>
      <c r="X62" s="249">
        <v>62</v>
      </c>
      <c r="Y62" s="249">
        <v>60.8</v>
      </c>
      <c r="Z62" s="249">
        <v>60</v>
      </c>
      <c r="AA62" s="249">
        <v>56.000000000000007</v>
      </c>
      <c r="AB62" s="249">
        <v>54</v>
      </c>
      <c r="AC62" s="249">
        <v>53</v>
      </c>
      <c r="AD62" s="249">
        <v>52</v>
      </c>
      <c r="AE62" s="249">
        <v>50.2</v>
      </c>
      <c r="AF62" s="249">
        <v>49.5</v>
      </c>
      <c r="AG62" s="249">
        <v>49.3</v>
      </c>
      <c r="AH62" s="249">
        <v>49</v>
      </c>
      <c r="AI62" s="249">
        <v>48</v>
      </c>
      <c r="AJ62" s="249">
        <v>47.8</v>
      </c>
      <c r="AK62" s="249">
        <v>47.5</v>
      </c>
      <c r="AL62" s="249">
        <v>48</v>
      </c>
      <c r="AM62" s="249">
        <v>46.6</v>
      </c>
      <c r="AN62" s="308"/>
      <c r="AO62" s="12"/>
      <c r="AP62" s="12"/>
      <c r="AQ62" s="12"/>
      <c r="AR62" s="262"/>
      <c r="AS62" s="262">
        <v>61</v>
      </c>
      <c r="AT62" s="262">
        <v>65</v>
      </c>
      <c r="AU62" s="262">
        <v>64</v>
      </c>
      <c r="AV62" s="262">
        <v>62</v>
      </c>
      <c r="AW62" s="262">
        <v>56</v>
      </c>
      <c r="AX62" s="262">
        <v>50.1</v>
      </c>
      <c r="AY62" s="262">
        <v>48.3</v>
      </c>
    </row>
    <row r="63" spans="1:51">
      <c r="A63" s="4" t="s">
        <v>310</v>
      </c>
      <c r="B63" s="9"/>
      <c r="C63" s="249"/>
      <c r="D63" s="249"/>
      <c r="E63" s="249"/>
      <c r="F63" s="249"/>
      <c r="G63" s="249"/>
      <c r="H63" s="249"/>
      <c r="I63" s="249">
        <v>41</v>
      </c>
      <c r="J63" s="249"/>
      <c r="K63" s="249"/>
      <c r="L63" s="249"/>
      <c r="M63" s="249">
        <v>39</v>
      </c>
      <c r="N63" s="249"/>
      <c r="O63" s="249"/>
      <c r="P63" s="249"/>
      <c r="Q63" s="249">
        <v>34</v>
      </c>
      <c r="R63" s="249">
        <v>34</v>
      </c>
      <c r="S63" s="249">
        <v>34</v>
      </c>
      <c r="T63" s="249">
        <v>36</v>
      </c>
      <c r="U63" s="249">
        <v>36</v>
      </c>
      <c r="V63" s="249">
        <v>38.299999999999997</v>
      </c>
      <c r="W63" s="249">
        <v>36</v>
      </c>
      <c r="X63" s="249">
        <v>38</v>
      </c>
      <c r="Y63" s="249">
        <v>39.200000000000003</v>
      </c>
      <c r="Z63" s="249">
        <v>40</v>
      </c>
      <c r="AA63" s="249">
        <v>44</v>
      </c>
      <c r="AB63" s="249">
        <v>46</v>
      </c>
      <c r="AC63" s="249">
        <v>47</v>
      </c>
      <c r="AD63" s="249">
        <v>48</v>
      </c>
      <c r="AE63" s="249">
        <v>49.8</v>
      </c>
      <c r="AF63" s="249">
        <v>50.5</v>
      </c>
      <c r="AG63" s="249">
        <v>50.7</v>
      </c>
      <c r="AH63" s="249">
        <v>51</v>
      </c>
      <c r="AI63" s="249">
        <v>52</v>
      </c>
      <c r="AJ63" s="249">
        <v>52.2</v>
      </c>
      <c r="AK63" s="249">
        <v>52.5</v>
      </c>
      <c r="AL63" s="249">
        <v>52</v>
      </c>
      <c r="AM63" s="372">
        <v>53.4</v>
      </c>
      <c r="AN63" s="308"/>
      <c r="AO63" s="12"/>
      <c r="AP63" s="12"/>
      <c r="AQ63" s="12"/>
      <c r="AR63" s="262"/>
      <c r="AS63" s="262">
        <v>39</v>
      </c>
      <c r="AT63" s="262">
        <v>35</v>
      </c>
      <c r="AU63" s="262">
        <v>36</v>
      </c>
      <c r="AV63" s="509">
        <v>38</v>
      </c>
      <c r="AW63" s="509">
        <v>44</v>
      </c>
      <c r="AX63" s="509">
        <v>49.9</v>
      </c>
      <c r="AY63" s="509">
        <v>51.7</v>
      </c>
    </row>
    <row r="64" spans="1:51">
      <c r="A64" s="10" t="s">
        <v>279</v>
      </c>
      <c r="B64" s="254"/>
      <c r="C64" s="255">
        <f>SUM(C62:C63)</f>
        <v>0</v>
      </c>
      <c r="D64" s="255">
        <f>SUM(D62:D63)</f>
        <v>0</v>
      </c>
      <c r="E64" s="255"/>
      <c r="F64" s="255">
        <f t="shared" ref="F64:AM64" si="17">SUM(F62:F63)</f>
        <v>0</v>
      </c>
      <c r="G64" s="255">
        <f t="shared" si="17"/>
        <v>0</v>
      </c>
      <c r="H64" s="255">
        <f t="shared" si="17"/>
        <v>0</v>
      </c>
      <c r="I64" s="255">
        <f t="shared" si="17"/>
        <v>100</v>
      </c>
      <c r="J64" s="255">
        <f t="shared" si="17"/>
        <v>0</v>
      </c>
      <c r="K64" s="255">
        <f t="shared" si="17"/>
        <v>0</v>
      </c>
      <c r="L64" s="255">
        <f t="shared" si="17"/>
        <v>0</v>
      </c>
      <c r="M64" s="255">
        <f t="shared" si="17"/>
        <v>100</v>
      </c>
      <c r="N64" s="255">
        <f t="shared" si="17"/>
        <v>0</v>
      </c>
      <c r="O64" s="255">
        <f t="shared" si="17"/>
        <v>0</v>
      </c>
      <c r="P64" s="255">
        <f t="shared" si="17"/>
        <v>0</v>
      </c>
      <c r="Q64" s="255">
        <f t="shared" si="17"/>
        <v>100</v>
      </c>
      <c r="R64" s="255">
        <f t="shared" si="17"/>
        <v>100</v>
      </c>
      <c r="S64" s="255">
        <f t="shared" si="17"/>
        <v>100</v>
      </c>
      <c r="T64" s="255">
        <f t="shared" si="17"/>
        <v>100</v>
      </c>
      <c r="U64" s="255">
        <f t="shared" si="17"/>
        <v>100</v>
      </c>
      <c r="V64" s="255">
        <f t="shared" si="17"/>
        <v>100</v>
      </c>
      <c r="W64" s="255">
        <f t="shared" si="17"/>
        <v>100</v>
      </c>
      <c r="X64" s="255">
        <f t="shared" si="17"/>
        <v>100</v>
      </c>
      <c r="Y64" s="255">
        <f t="shared" si="17"/>
        <v>100</v>
      </c>
      <c r="Z64" s="255">
        <f t="shared" si="17"/>
        <v>100</v>
      </c>
      <c r="AA64" s="255">
        <f t="shared" si="17"/>
        <v>100</v>
      </c>
      <c r="AB64" s="255">
        <f t="shared" si="17"/>
        <v>100</v>
      </c>
      <c r="AC64" s="255">
        <f t="shared" si="17"/>
        <v>100</v>
      </c>
      <c r="AD64" s="255">
        <f t="shared" si="17"/>
        <v>100</v>
      </c>
      <c r="AE64" s="255">
        <f t="shared" si="17"/>
        <v>100</v>
      </c>
      <c r="AF64" s="255">
        <f t="shared" si="17"/>
        <v>100</v>
      </c>
      <c r="AG64" s="255">
        <f t="shared" si="17"/>
        <v>100</v>
      </c>
      <c r="AH64" s="255">
        <f t="shared" si="17"/>
        <v>100</v>
      </c>
      <c r="AI64" s="255">
        <f t="shared" si="17"/>
        <v>100</v>
      </c>
      <c r="AJ64" s="255">
        <f t="shared" si="17"/>
        <v>100</v>
      </c>
      <c r="AK64" s="255">
        <f t="shared" si="17"/>
        <v>100</v>
      </c>
      <c r="AL64" s="255">
        <f t="shared" si="17"/>
        <v>100</v>
      </c>
      <c r="AM64" s="255">
        <f t="shared" si="17"/>
        <v>100</v>
      </c>
      <c r="AN64" s="1253"/>
      <c r="AO64" s="274"/>
      <c r="AP64" s="274"/>
      <c r="AQ64" s="274"/>
      <c r="AR64" s="274"/>
      <c r="AS64" s="274">
        <f t="shared" ref="AS64:AY64" si="18">SUM(AS62:AS63)</f>
        <v>100</v>
      </c>
      <c r="AT64" s="274">
        <f t="shared" si="18"/>
        <v>100</v>
      </c>
      <c r="AU64" s="274">
        <f t="shared" si="18"/>
        <v>100</v>
      </c>
      <c r="AV64" s="274">
        <f t="shared" si="18"/>
        <v>100</v>
      </c>
      <c r="AW64" s="274">
        <f t="shared" si="18"/>
        <v>100</v>
      </c>
      <c r="AX64" s="274">
        <f t="shared" si="18"/>
        <v>100</v>
      </c>
      <c r="AY64" s="274">
        <f t="shared" si="18"/>
        <v>100</v>
      </c>
    </row>
    <row r="65" spans="1:52" ht="15.75" customHeight="1">
      <c r="A65" s="6"/>
      <c r="B65" s="257"/>
      <c r="C65" s="257"/>
      <c r="D65" s="257"/>
      <c r="E65" s="257"/>
      <c r="F65" s="257"/>
      <c r="G65" s="257"/>
      <c r="H65" s="257"/>
      <c r="I65" s="257"/>
      <c r="J65" s="257"/>
      <c r="K65" s="257"/>
      <c r="L65" s="257"/>
      <c r="M65" s="257"/>
      <c r="N65" s="257"/>
      <c r="O65" s="257"/>
      <c r="P65" s="257"/>
      <c r="Q65" s="257"/>
      <c r="R65" s="257"/>
      <c r="S65" s="257"/>
      <c r="T65" s="257"/>
      <c r="U65" s="257"/>
      <c r="V65" s="257"/>
      <c r="W65" s="257"/>
      <c r="X65" s="257"/>
      <c r="Y65" s="257"/>
      <c r="Z65" s="257"/>
      <c r="AA65" s="257"/>
      <c r="AB65" s="257"/>
      <c r="AC65" s="257"/>
      <c r="AD65" s="257"/>
      <c r="AE65" s="257"/>
      <c r="AF65" s="257"/>
      <c r="AG65" s="257"/>
      <c r="AH65" s="257"/>
      <c r="AI65" s="257"/>
      <c r="AJ65" s="257"/>
      <c r="AK65" s="257"/>
      <c r="AL65" s="257"/>
      <c r="AM65" s="257"/>
      <c r="AN65" s="1155"/>
      <c r="AO65" s="257"/>
      <c r="AP65" s="257"/>
      <c r="AQ65" s="257"/>
      <c r="AR65" s="257"/>
      <c r="AS65" s="257"/>
      <c r="AT65" s="4"/>
      <c r="AU65" s="4"/>
      <c r="AV65" s="4"/>
      <c r="AW65" s="4"/>
      <c r="AX65" s="4"/>
      <c r="AY65" s="4"/>
    </row>
    <row r="66" spans="1:52">
      <c r="A66" s="251" t="s">
        <v>628</v>
      </c>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c r="AA66" s="252"/>
      <c r="AB66" s="252"/>
      <c r="AC66" s="252"/>
      <c r="AD66" s="252"/>
      <c r="AE66" s="252"/>
      <c r="AF66" s="252"/>
      <c r="AG66" s="252"/>
      <c r="AH66" s="252"/>
      <c r="AI66" s="252"/>
      <c r="AJ66" s="252"/>
      <c r="AK66" s="252"/>
      <c r="AL66" s="252"/>
      <c r="AM66" s="252"/>
      <c r="AN66" s="1252"/>
      <c r="AO66" s="273"/>
      <c r="AP66" s="273"/>
      <c r="AQ66" s="273"/>
      <c r="AR66" s="273"/>
      <c r="AS66" s="273"/>
      <c r="AT66" s="273"/>
      <c r="AU66" s="273"/>
      <c r="AV66" s="273"/>
      <c r="AW66" s="273"/>
      <c r="AX66" s="273"/>
      <c r="AY66" s="273"/>
    </row>
    <row r="67" spans="1:52">
      <c r="A67" s="4" t="s">
        <v>629</v>
      </c>
      <c r="B67" s="9"/>
      <c r="C67" s="249"/>
      <c r="D67" s="249"/>
      <c r="E67" s="249"/>
      <c r="F67" s="249"/>
      <c r="G67" s="249"/>
      <c r="H67" s="249"/>
      <c r="I67" s="249">
        <v>48</v>
      </c>
      <c r="J67" s="249"/>
      <c r="K67" s="249"/>
      <c r="L67" s="249"/>
      <c r="M67" s="249">
        <v>46</v>
      </c>
      <c r="N67" s="249"/>
      <c r="O67" s="249"/>
      <c r="P67" s="249"/>
      <c r="Q67" s="249">
        <v>47</v>
      </c>
      <c r="R67" s="249">
        <v>48</v>
      </c>
      <c r="S67" s="249">
        <v>46</v>
      </c>
      <c r="T67" s="249">
        <v>46</v>
      </c>
      <c r="U67" s="249">
        <v>51</v>
      </c>
      <c r="V67" s="249">
        <v>52.4</v>
      </c>
      <c r="W67" s="249">
        <v>53</v>
      </c>
      <c r="X67" s="249">
        <v>55.000000000000007</v>
      </c>
      <c r="Y67" s="249">
        <v>54.2</v>
      </c>
      <c r="Z67" s="249">
        <v>55</v>
      </c>
      <c r="AA67" s="249">
        <v>53.5</v>
      </c>
      <c r="AB67" s="249">
        <v>53.900000000000006</v>
      </c>
      <c r="AC67" s="249">
        <v>53.1</v>
      </c>
      <c r="AD67" s="249">
        <v>51.9</v>
      </c>
      <c r="AE67" s="249">
        <v>49.8</v>
      </c>
      <c r="AF67" s="249">
        <v>50.4</v>
      </c>
      <c r="AG67" s="249">
        <v>50.2</v>
      </c>
      <c r="AH67" s="249">
        <v>48.9</v>
      </c>
      <c r="AI67" s="249">
        <v>49.3</v>
      </c>
      <c r="AJ67" s="249">
        <v>51</v>
      </c>
      <c r="AK67" s="249">
        <v>51.5</v>
      </c>
      <c r="AL67" s="249">
        <v>50.4</v>
      </c>
      <c r="AM67" s="249">
        <v>49</v>
      </c>
      <c r="AN67" s="308"/>
      <c r="AO67" s="9"/>
      <c r="AP67" s="9"/>
      <c r="AQ67" s="256"/>
      <c r="AR67" s="262"/>
      <c r="AS67" s="262">
        <v>46</v>
      </c>
      <c r="AT67" s="262">
        <v>47</v>
      </c>
      <c r="AU67" s="262">
        <v>48</v>
      </c>
      <c r="AV67" s="262">
        <v>54</v>
      </c>
      <c r="AW67" s="262">
        <v>54</v>
      </c>
      <c r="AX67" s="262">
        <v>52</v>
      </c>
      <c r="AY67" s="262">
        <v>50.4</v>
      </c>
    </row>
    <row r="68" spans="1:52">
      <c r="A68" s="4" t="s">
        <v>630</v>
      </c>
      <c r="B68" s="9"/>
      <c r="C68" s="249"/>
      <c r="D68" s="249"/>
      <c r="E68" s="249"/>
      <c r="F68" s="249"/>
      <c r="G68" s="249"/>
      <c r="H68" s="249"/>
      <c r="I68" s="249">
        <v>52</v>
      </c>
      <c r="J68" s="249"/>
      <c r="K68" s="249"/>
      <c r="L68" s="249"/>
      <c r="M68" s="249">
        <v>54</v>
      </c>
      <c r="N68" s="249"/>
      <c r="O68" s="249"/>
      <c r="P68" s="249"/>
      <c r="Q68" s="249">
        <v>53</v>
      </c>
      <c r="R68" s="249">
        <v>52</v>
      </c>
      <c r="S68" s="249">
        <v>54</v>
      </c>
      <c r="T68" s="249">
        <v>54</v>
      </c>
      <c r="U68" s="249">
        <v>49</v>
      </c>
      <c r="V68" s="249">
        <v>47.6</v>
      </c>
      <c r="W68" s="249">
        <v>47</v>
      </c>
      <c r="X68" s="249">
        <v>45</v>
      </c>
      <c r="Y68" s="249">
        <v>45.8</v>
      </c>
      <c r="Z68" s="249">
        <v>45</v>
      </c>
      <c r="AA68" s="249">
        <v>46.5</v>
      </c>
      <c r="AB68" s="249">
        <v>46.1</v>
      </c>
      <c r="AC68" s="249">
        <v>46.9</v>
      </c>
      <c r="AD68" s="249">
        <v>48.1</v>
      </c>
      <c r="AE68" s="249">
        <v>50.2</v>
      </c>
      <c r="AF68" s="249">
        <v>49.6</v>
      </c>
      <c r="AG68" s="249">
        <v>49.8</v>
      </c>
      <c r="AH68" s="249">
        <v>51.1</v>
      </c>
      <c r="AI68" s="249">
        <v>50.7</v>
      </c>
      <c r="AJ68" s="249">
        <v>49</v>
      </c>
      <c r="AK68" s="249">
        <v>48.5</v>
      </c>
      <c r="AL68" s="249">
        <v>49.6</v>
      </c>
      <c r="AM68" s="249">
        <v>51</v>
      </c>
      <c r="AN68" s="308"/>
      <c r="AO68" s="9"/>
      <c r="AP68" s="9"/>
      <c r="AQ68" s="256"/>
      <c r="AR68" s="262"/>
      <c r="AS68" s="262">
        <v>54</v>
      </c>
      <c r="AT68" s="262">
        <v>53</v>
      </c>
      <c r="AU68" s="262">
        <v>52</v>
      </c>
      <c r="AV68" s="262">
        <v>46</v>
      </c>
      <c r="AW68" s="262">
        <v>46</v>
      </c>
      <c r="AX68" s="262">
        <v>48</v>
      </c>
      <c r="AY68" s="262">
        <v>49.6</v>
      </c>
    </row>
    <row r="69" spans="1:52">
      <c r="A69" s="10" t="s">
        <v>279</v>
      </c>
      <c r="B69" s="254"/>
      <c r="C69" s="255">
        <f t="shared" ref="C69:AM69" si="19">SUM(C67:C68)</f>
        <v>0</v>
      </c>
      <c r="D69" s="255">
        <f t="shared" si="19"/>
        <v>0</v>
      </c>
      <c r="E69" s="255">
        <f t="shared" si="19"/>
        <v>0</v>
      </c>
      <c r="F69" s="255">
        <f t="shared" si="19"/>
        <v>0</v>
      </c>
      <c r="G69" s="255">
        <f t="shared" si="19"/>
        <v>0</v>
      </c>
      <c r="H69" s="255">
        <f t="shared" si="19"/>
        <v>0</v>
      </c>
      <c r="I69" s="255">
        <f t="shared" si="19"/>
        <v>100</v>
      </c>
      <c r="J69" s="255">
        <f t="shared" si="19"/>
        <v>0</v>
      </c>
      <c r="K69" s="255">
        <f t="shared" si="19"/>
        <v>0</v>
      </c>
      <c r="L69" s="255">
        <f t="shared" si="19"/>
        <v>0</v>
      </c>
      <c r="M69" s="255">
        <f t="shared" si="19"/>
        <v>100</v>
      </c>
      <c r="N69" s="255">
        <f t="shared" si="19"/>
        <v>0</v>
      </c>
      <c r="O69" s="255">
        <f t="shared" si="19"/>
        <v>0</v>
      </c>
      <c r="P69" s="255">
        <f t="shared" si="19"/>
        <v>0</v>
      </c>
      <c r="Q69" s="255">
        <f t="shared" si="19"/>
        <v>100</v>
      </c>
      <c r="R69" s="255">
        <f t="shared" si="19"/>
        <v>100</v>
      </c>
      <c r="S69" s="255">
        <f t="shared" si="19"/>
        <v>100</v>
      </c>
      <c r="T69" s="255">
        <f t="shared" si="19"/>
        <v>100</v>
      </c>
      <c r="U69" s="255">
        <f t="shared" si="19"/>
        <v>100</v>
      </c>
      <c r="V69" s="255">
        <f t="shared" si="19"/>
        <v>100</v>
      </c>
      <c r="W69" s="255">
        <f t="shared" si="19"/>
        <v>100</v>
      </c>
      <c r="X69" s="255">
        <f t="shared" si="19"/>
        <v>100</v>
      </c>
      <c r="Y69" s="255">
        <f t="shared" si="19"/>
        <v>100</v>
      </c>
      <c r="Z69" s="255">
        <f t="shared" si="19"/>
        <v>100</v>
      </c>
      <c r="AA69" s="255">
        <f t="shared" si="19"/>
        <v>100</v>
      </c>
      <c r="AB69" s="255">
        <f t="shared" si="19"/>
        <v>100</v>
      </c>
      <c r="AC69" s="255">
        <f t="shared" si="19"/>
        <v>100</v>
      </c>
      <c r="AD69" s="255">
        <f t="shared" si="19"/>
        <v>100</v>
      </c>
      <c r="AE69" s="255">
        <f t="shared" si="19"/>
        <v>100</v>
      </c>
      <c r="AF69" s="255">
        <f t="shared" si="19"/>
        <v>100</v>
      </c>
      <c r="AG69" s="255">
        <f t="shared" si="19"/>
        <v>100</v>
      </c>
      <c r="AH69" s="255">
        <f t="shared" si="19"/>
        <v>100</v>
      </c>
      <c r="AI69" s="255">
        <f t="shared" si="19"/>
        <v>100</v>
      </c>
      <c r="AJ69" s="255">
        <f t="shared" si="19"/>
        <v>100</v>
      </c>
      <c r="AK69" s="255">
        <f t="shared" si="19"/>
        <v>100</v>
      </c>
      <c r="AL69" s="255">
        <f t="shared" si="19"/>
        <v>100</v>
      </c>
      <c r="AM69" s="255">
        <f t="shared" si="19"/>
        <v>100</v>
      </c>
      <c r="AN69" s="1253"/>
      <c r="AO69" s="274"/>
      <c r="AP69" s="274"/>
      <c r="AQ69" s="274"/>
      <c r="AR69" s="274"/>
      <c r="AS69" s="274"/>
      <c r="AT69" s="274"/>
      <c r="AU69" s="274"/>
      <c r="AV69" s="274"/>
      <c r="AW69" s="274"/>
      <c r="AX69" s="274"/>
      <c r="AY69" s="274"/>
    </row>
    <row r="70" spans="1:52">
      <c r="A70" s="4"/>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155"/>
      <c r="AO70" s="257"/>
      <c r="AP70" s="257"/>
      <c r="AQ70" s="257"/>
      <c r="AR70" s="257"/>
      <c r="AS70" s="257"/>
      <c r="AT70" s="4"/>
      <c r="AU70" s="4"/>
      <c r="AV70" s="4"/>
      <c r="AW70" s="4"/>
      <c r="AX70" s="4"/>
      <c r="AY70" s="4"/>
    </row>
    <row r="71" spans="1:52">
      <c r="A71" s="251" t="s">
        <v>631</v>
      </c>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2"/>
      <c r="AK71" s="252"/>
      <c r="AL71" s="252"/>
      <c r="AM71" s="252"/>
      <c r="AN71" s="1252"/>
      <c r="AO71" s="273"/>
      <c r="AP71" s="273"/>
      <c r="AQ71" s="273"/>
      <c r="AR71" s="273"/>
      <c r="AS71" s="273"/>
      <c r="AT71" s="273"/>
      <c r="AU71" s="273"/>
      <c r="AV71" s="273"/>
      <c r="AW71" s="273"/>
      <c r="AX71" s="273"/>
      <c r="AY71" s="273"/>
    </row>
    <row r="72" spans="1:52">
      <c r="A72" s="4" t="s">
        <v>360</v>
      </c>
      <c r="B72" s="13"/>
      <c r="C72" s="13"/>
      <c r="D72" s="13"/>
      <c r="E72" s="13"/>
      <c r="F72" s="13" t="e">
        <f t="shared" ref="F72:AL76" si="20">F$4*(F29/100)</f>
        <v>#REF!</v>
      </c>
      <c r="G72" s="13" t="e">
        <f t="shared" si="20"/>
        <v>#REF!</v>
      </c>
      <c r="H72" s="13" t="e">
        <f t="shared" si="20"/>
        <v>#REF!</v>
      </c>
      <c r="I72" s="13" t="e">
        <f t="shared" si="20"/>
        <v>#REF!</v>
      </c>
      <c r="J72" s="13">
        <f t="shared" si="20"/>
        <v>27.515137401024688</v>
      </c>
      <c r="K72" s="13" t="e">
        <f t="shared" si="20"/>
        <v>#REF!</v>
      </c>
      <c r="L72" s="13" t="e">
        <f t="shared" si="20"/>
        <v>#REF!</v>
      </c>
      <c r="M72" s="13" t="e">
        <f t="shared" si="20"/>
        <v>#REF!</v>
      </c>
      <c r="N72" s="13">
        <f t="shared" si="20"/>
        <v>34.381664691943129</v>
      </c>
      <c r="O72" s="13">
        <f t="shared" si="20"/>
        <v>35.876755070202805</v>
      </c>
      <c r="P72" s="13">
        <f t="shared" si="20"/>
        <v>38.720346078704992</v>
      </c>
      <c r="Q72" s="13">
        <f t="shared" si="20"/>
        <v>37.663394919168596</v>
      </c>
      <c r="R72" s="13">
        <f t="shared" si="20"/>
        <v>40.629635036496353</v>
      </c>
      <c r="S72" s="13">
        <f t="shared" si="20"/>
        <v>45.56113784319276</v>
      </c>
      <c r="T72" s="13">
        <f t="shared" si="20"/>
        <v>45.374101733126672</v>
      </c>
      <c r="U72" s="13">
        <f t="shared" si="20"/>
        <v>47.988138431482</v>
      </c>
      <c r="V72" s="13">
        <f t="shared" si="20"/>
        <v>46.167000000000002</v>
      </c>
      <c r="W72" s="13">
        <f t="shared" si="20"/>
        <v>53.130700000000004</v>
      </c>
      <c r="X72" s="13">
        <f t="shared" si="20"/>
        <v>50.652000000000001</v>
      </c>
      <c r="Y72" s="13">
        <f t="shared" si="20"/>
        <v>53.6952</v>
      </c>
      <c r="Z72" s="13">
        <f t="shared" si="20"/>
        <v>61.507599999999996</v>
      </c>
      <c r="AA72" s="13">
        <f t="shared" si="20"/>
        <v>62.137599999999999</v>
      </c>
      <c r="AB72" s="13">
        <f t="shared" si="20"/>
        <v>61.604800000000004</v>
      </c>
      <c r="AC72" s="13">
        <f t="shared" si="20"/>
        <v>59.726800000000004</v>
      </c>
      <c r="AD72" s="13">
        <f t="shared" si="20"/>
        <v>55.139699999999998</v>
      </c>
      <c r="AE72" s="13">
        <f t="shared" si="20"/>
        <v>57.280799999999999</v>
      </c>
      <c r="AF72" s="13">
        <f t="shared" si="20"/>
        <v>55.625699999999995</v>
      </c>
      <c r="AG72" s="13">
        <f t="shared" si="20"/>
        <v>58.696799999999996</v>
      </c>
      <c r="AH72" s="13">
        <f t="shared" si="20"/>
        <v>61.426800000000007</v>
      </c>
      <c r="AI72" s="13">
        <f t="shared" si="20"/>
        <v>62.850600000000007</v>
      </c>
      <c r="AJ72" s="13">
        <f t="shared" si="20"/>
        <v>62.04</v>
      </c>
      <c r="AK72" s="13">
        <f t="shared" si="20"/>
        <v>60.674400000000006</v>
      </c>
      <c r="AL72" s="13">
        <f t="shared" si="20"/>
        <v>61.289599999999993</v>
      </c>
      <c r="AM72" s="13">
        <f>AM$4*(AM29/100)</f>
        <v>67.58</v>
      </c>
      <c r="AN72" s="308"/>
      <c r="AO72" s="13"/>
      <c r="AP72" s="14"/>
      <c r="AQ72" s="13"/>
      <c r="AR72" s="13"/>
      <c r="AS72" s="13">
        <f t="shared" ref="AS72:AY76" si="21">AS$4*(AS29/100)</f>
        <v>118.3</v>
      </c>
      <c r="AT72" s="13">
        <f t="shared" si="21"/>
        <v>152.82999999999998</v>
      </c>
      <c r="AU72" s="13">
        <f t="shared" si="21"/>
        <v>177.65094339622644</v>
      </c>
      <c r="AV72" s="13">
        <f t="shared" si="21"/>
        <v>200.86400000000003</v>
      </c>
      <c r="AW72" s="13">
        <f t="shared" si="21"/>
        <v>245.21950000000004</v>
      </c>
      <c r="AX72" s="13">
        <f t="shared" si="21"/>
        <v>226.38419999999999</v>
      </c>
      <c r="AY72" s="13">
        <f t="shared" si="21"/>
        <v>244.0446</v>
      </c>
    </row>
    <row r="73" spans="1:52">
      <c r="A73" s="4" t="s">
        <v>611</v>
      </c>
      <c r="B73" s="13"/>
      <c r="C73" s="13"/>
      <c r="D73" s="13"/>
      <c r="E73" s="13"/>
      <c r="F73" s="13" t="e">
        <f t="shared" si="20"/>
        <v>#REF!</v>
      </c>
      <c r="G73" s="13" t="e">
        <f t="shared" si="20"/>
        <v>#REF!</v>
      </c>
      <c r="H73" s="13" t="e">
        <f t="shared" si="20"/>
        <v>#REF!</v>
      </c>
      <c r="I73" s="13" t="e">
        <f t="shared" si="20"/>
        <v>#REF!</v>
      </c>
      <c r="J73" s="13">
        <f t="shared" si="20"/>
        <v>18.71029343269679</v>
      </c>
      <c r="K73" s="13" t="e">
        <f t="shared" si="20"/>
        <v>#REF!</v>
      </c>
      <c r="L73" s="13" t="e">
        <f t="shared" si="20"/>
        <v>#REF!</v>
      </c>
      <c r="M73" s="13" t="e">
        <f t="shared" si="20"/>
        <v>#REF!</v>
      </c>
      <c r="N73" s="13">
        <f t="shared" si="20"/>
        <v>20.154768957345976</v>
      </c>
      <c r="O73" s="13">
        <f t="shared" si="20"/>
        <v>19.794071762870512</v>
      </c>
      <c r="P73" s="13">
        <f t="shared" si="20"/>
        <v>19.360173039352496</v>
      </c>
      <c r="Q73" s="13">
        <f t="shared" si="20"/>
        <v>21.521939953810627</v>
      </c>
      <c r="R73" s="13">
        <f t="shared" si="20"/>
        <v>22.416350364963506</v>
      </c>
      <c r="S73" s="13">
        <f t="shared" si="20"/>
        <v>24.985140107557321</v>
      </c>
      <c r="T73" s="13">
        <f t="shared" si="20"/>
        <v>24.199520924334223</v>
      </c>
      <c r="U73" s="13">
        <f t="shared" si="20"/>
        <v>23.220066982975162</v>
      </c>
      <c r="V73" s="299">
        <f t="shared" si="20"/>
        <v>24.062799999999999</v>
      </c>
      <c r="W73" s="13">
        <f t="shared" si="20"/>
        <v>26.487900000000003</v>
      </c>
      <c r="X73" s="13">
        <f t="shared" si="20"/>
        <v>29.748000000000001</v>
      </c>
      <c r="Y73" s="13">
        <f t="shared" si="20"/>
        <v>28.912800000000001</v>
      </c>
      <c r="Z73" s="13">
        <f t="shared" si="20"/>
        <v>42.13669999999999</v>
      </c>
      <c r="AA73" s="13">
        <f t="shared" si="20"/>
        <v>51.284800000000004</v>
      </c>
      <c r="AB73" s="13">
        <f t="shared" si="20"/>
        <v>62.934399999999989</v>
      </c>
      <c r="AC73" s="13">
        <f t="shared" si="20"/>
        <v>64.374799999999993</v>
      </c>
      <c r="AD73" s="13">
        <f t="shared" si="20"/>
        <v>70.416499999999999</v>
      </c>
      <c r="AE73" s="13">
        <f t="shared" si="20"/>
        <v>78.267300000000006</v>
      </c>
      <c r="AF73" s="13">
        <f t="shared" si="20"/>
        <v>78.278700000000001</v>
      </c>
      <c r="AG73" s="13">
        <f t="shared" si="20"/>
        <v>81.963999999999999</v>
      </c>
      <c r="AH73" s="13">
        <f t="shared" si="20"/>
        <v>84.529800000000009</v>
      </c>
      <c r="AI73" s="13">
        <f t="shared" si="20"/>
        <v>87.879600000000011</v>
      </c>
      <c r="AJ73" s="13">
        <f t="shared" si="20"/>
        <v>90.804000000000002</v>
      </c>
      <c r="AK73" s="13">
        <f t="shared" si="20"/>
        <v>94.663299999999992</v>
      </c>
      <c r="AL73" s="13">
        <f t="shared" si="20"/>
        <v>91.075199999999995</v>
      </c>
      <c r="AM73" s="13">
        <f>AM$4*(AM30/100)</f>
        <v>97.03</v>
      </c>
      <c r="AN73" s="308"/>
      <c r="AO73" s="13"/>
      <c r="AP73" s="14"/>
      <c r="AQ73" s="13"/>
      <c r="AR73" s="13"/>
      <c r="AS73" s="13">
        <f t="shared" si="21"/>
        <v>77.350000000000009</v>
      </c>
      <c r="AT73" s="13">
        <f t="shared" si="21"/>
        <v>84.320000000000007</v>
      </c>
      <c r="AU73" s="13">
        <f t="shared" si="21"/>
        <v>94.747169811320759</v>
      </c>
      <c r="AV73" s="13">
        <f t="shared" si="21"/>
        <v>106.70900000000002</v>
      </c>
      <c r="AW73" s="13">
        <f t="shared" si="21"/>
        <v>220.95750000000001</v>
      </c>
      <c r="AX73" s="13">
        <f t="shared" si="21"/>
        <v>307.52189999999996</v>
      </c>
      <c r="AY73" s="13">
        <f t="shared" si="21"/>
        <v>353.97460000000001</v>
      </c>
    </row>
    <row r="74" spans="1:52">
      <c r="A74" s="4" t="s">
        <v>612</v>
      </c>
      <c r="B74" s="13"/>
      <c r="C74" s="13"/>
      <c r="D74" s="13"/>
      <c r="E74" s="13"/>
      <c r="F74" s="299" t="e">
        <f t="shared" si="20"/>
        <v>#REF!</v>
      </c>
      <c r="G74" s="299" t="e">
        <f t="shared" si="20"/>
        <v>#REF!</v>
      </c>
      <c r="H74" s="299" t="e">
        <f t="shared" si="20"/>
        <v>#REF!</v>
      </c>
      <c r="I74" s="299" t="e">
        <f t="shared" si="20"/>
        <v>#REF!</v>
      </c>
      <c r="J74" s="299">
        <f t="shared" si="20"/>
        <v>31.917559385188635</v>
      </c>
      <c r="K74" s="299" t="e">
        <f t="shared" si="20"/>
        <v>#REF!</v>
      </c>
      <c r="L74" s="299" t="e">
        <f t="shared" si="20"/>
        <v>#REF!</v>
      </c>
      <c r="M74" s="13" t="e">
        <f t="shared" si="20"/>
        <v>#REF!</v>
      </c>
      <c r="N74" s="13">
        <f t="shared" si="20"/>
        <v>32.010515402843609</v>
      </c>
      <c r="O74" s="13">
        <f t="shared" si="20"/>
        <v>33.402496099843994</v>
      </c>
      <c r="P74" s="13">
        <f t="shared" si="20"/>
        <v>33.557633268210999</v>
      </c>
      <c r="Q74" s="299">
        <f t="shared" si="20"/>
        <v>36.318273672055433</v>
      </c>
      <c r="R74" s="299">
        <f t="shared" si="20"/>
        <v>39.228613138686136</v>
      </c>
      <c r="S74" s="299">
        <f t="shared" si="20"/>
        <v>41.15199547127088</v>
      </c>
      <c r="T74" s="299">
        <f t="shared" si="20"/>
        <v>43.861631675355781</v>
      </c>
      <c r="U74" s="13">
        <f t="shared" si="20"/>
        <v>41.796120569355296</v>
      </c>
      <c r="V74" s="13">
        <f t="shared" si="20"/>
        <v>27.140600000000006</v>
      </c>
      <c r="W74" s="13">
        <f t="shared" si="20"/>
        <v>29.121200000000002</v>
      </c>
      <c r="X74" s="13">
        <f t="shared" si="20"/>
        <v>32.160000000000004</v>
      </c>
      <c r="Y74" s="13">
        <f t="shared" si="20"/>
        <v>32.526899999999998</v>
      </c>
      <c r="Z74" s="13">
        <f t="shared" si="20"/>
        <v>37.743299999999991</v>
      </c>
      <c r="AA74" s="13">
        <f t="shared" si="20"/>
        <v>39.580800000000011</v>
      </c>
      <c r="AB74" s="13">
        <f t="shared" si="20"/>
        <v>40.552799999999998</v>
      </c>
      <c r="AC74" s="13">
        <f t="shared" si="20"/>
        <v>46.712400000000002</v>
      </c>
      <c r="AD74" s="13">
        <f t="shared" si="20"/>
        <v>46.307799999999993</v>
      </c>
      <c r="AE74" s="13">
        <f t="shared" si="20"/>
        <v>47.651700000000005</v>
      </c>
      <c r="AF74" s="13">
        <f t="shared" si="20"/>
        <v>48.578099999999999</v>
      </c>
      <c r="AG74" s="13">
        <f t="shared" si="20"/>
        <v>49.707199999999993</v>
      </c>
      <c r="AH74" s="13">
        <f t="shared" si="20"/>
        <v>50.283000000000001</v>
      </c>
      <c r="AI74" s="13">
        <f t="shared" si="20"/>
        <v>51.448500000000003</v>
      </c>
      <c r="AJ74" s="13">
        <f t="shared" si="20"/>
        <v>50.196000000000005</v>
      </c>
      <c r="AK74" s="13">
        <f t="shared" si="20"/>
        <v>49.438400000000001</v>
      </c>
      <c r="AL74" s="13">
        <f t="shared" si="20"/>
        <v>51.8384</v>
      </c>
      <c r="AM74" s="13">
        <f>AM$4*(AM31/100)</f>
        <v>55.8</v>
      </c>
      <c r="AN74" s="308"/>
      <c r="AO74" s="13"/>
      <c r="AP74" s="14"/>
      <c r="AQ74" s="13"/>
      <c r="AR74" s="13"/>
      <c r="AS74" s="13">
        <f t="shared" si="21"/>
        <v>122.85000000000001</v>
      </c>
      <c r="AT74" s="13">
        <f t="shared" si="21"/>
        <v>142.29000000000002</v>
      </c>
      <c r="AU74" s="13">
        <f t="shared" si="21"/>
        <v>165.80754716981136</v>
      </c>
      <c r="AV74" s="13">
        <f t="shared" si="21"/>
        <v>119.26300000000001</v>
      </c>
      <c r="AW74" s="13">
        <f t="shared" si="21"/>
        <v>164.63499999999999</v>
      </c>
      <c r="AX74" s="13">
        <f t="shared" si="21"/>
        <v>191.32469999999998</v>
      </c>
      <c r="AY74" s="13">
        <f t="shared" si="21"/>
        <v>197.874</v>
      </c>
      <c r="AZ74" s="9"/>
    </row>
    <row r="75" spans="1:52">
      <c r="A75" s="4" t="s">
        <v>632</v>
      </c>
      <c r="B75" s="13"/>
      <c r="C75" s="13"/>
      <c r="D75" s="13"/>
      <c r="E75" s="13"/>
      <c r="F75" s="13" t="e">
        <f t="shared" si="20"/>
        <v>#REF!</v>
      </c>
      <c r="G75" s="13" t="e">
        <f t="shared" si="20"/>
        <v>#REF!</v>
      </c>
      <c r="H75" s="13" t="e">
        <f t="shared" si="20"/>
        <v>#REF!</v>
      </c>
      <c r="I75" s="13" t="e">
        <f t="shared" si="20"/>
        <v>#REF!</v>
      </c>
      <c r="J75" s="13">
        <f t="shared" si="20"/>
        <v>0</v>
      </c>
      <c r="K75" s="13" t="e">
        <f t="shared" si="20"/>
        <v>#REF!</v>
      </c>
      <c r="L75" s="13" t="e">
        <f t="shared" si="20"/>
        <v>#REF!</v>
      </c>
      <c r="M75" s="13" t="e">
        <f t="shared" si="20"/>
        <v>#REF!</v>
      </c>
      <c r="N75" s="13">
        <f t="shared" si="20"/>
        <v>0</v>
      </c>
      <c r="O75" s="13">
        <f t="shared" si="20"/>
        <v>0</v>
      </c>
      <c r="P75" s="13">
        <f t="shared" si="20"/>
        <v>0</v>
      </c>
      <c r="Q75" s="13">
        <f t="shared" si="20"/>
        <v>0</v>
      </c>
      <c r="R75" s="13">
        <f t="shared" si="20"/>
        <v>0</v>
      </c>
      <c r="S75" s="13">
        <f t="shared" si="20"/>
        <v>0</v>
      </c>
      <c r="T75" s="13">
        <f t="shared" si="20"/>
        <v>0</v>
      </c>
      <c r="U75" s="13">
        <f t="shared" si="20"/>
        <v>0</v>
      </c>
      <c r="V75" s="13">
        <f t="shared" si="20"/>
        <v>0</v>
      </c>
      <c r="W75" s="13">
        <f t="shared" si="20"/>
        <v>0</v>
      </c>
      <c r="X75" s="13">
        <f t="shared" si="20"/>
        <v>0</v>
      </c>
      <c r="Y75" s="13">
        <f t="shared" si="20"/>
        <v>0</v>
      </c>
      <c r="Z75" s="13">
        <f t="shared" si="20"/>
        <v>0</v>
      </c>
      <c r="AA75" s="13">
        <f t="shared" si="20"/>
        <v>0</v>
      </c>
      <c r="AB75" s="13">
        <f t="shared" si="20"/>
        <v>0</v>
      </c>
      <c r="AC75" s="13">
        <f t="shared" si="20"/>
        <v>0</v>
      </c>
      <c r="AD75" s="13">
        <f t="shared" si="20"/>
        <v>0</v>
      </c>
      <c r="AE75" s="13">
        <f t="shared" si="20"/>
        <v>0</v>
      </c>
      <c r="AF75" s="13">
        <f t="shared" si="20"/>
        <v>0</v>
      </c>
      <c r="AG75" s="13">
        <f t="shared" si="20"/>
        <v>0</v>
      </c>
      <c r="AH75" s="13">
        <f t="shared" si="20"/>
        <v>20.6568</v>
      </c>
      <c r="AI75" s="13">
        <f t="shared" si="20"/>
        <v>21.1356</v>
      </c>
      <c r="AJ75" s="13">
        <f t="shared" si="20"/>
        <v>0</v>
      </c>
      <c r="AK75" s="13">
        <f t="shared" si="20"/>
        <v>21.348399999999998</v>
      </c>
      <c r="AL75" s="13">
        <f t="shared" si="20"/>
        <v>22.339199999999998</v>
      </c>
      <c r="AM75" s="13">
        <f>AM$4*(AM32/100)</f>
        <v>24.18</v>
      </c>
      <c r="AN75" s="308"/>
      <c r="AO75" s="14"/>
      <c r="AP75" s="14"/>
      <c r="AQ75" s="13"/>
      <c r="AR75" s="13"/>
      <c r="AS75" s="13">
        <f t="shared" si="21"/>
        <v>0</v>
      </c>
      <c r="AT75" s="13">
        <f t="shared" si="21"/>
        <v>0</v>
      </c>
      <c r="AU75" s="13">
        <f t="shared" si="21"/>
        <v>0</v>
      </c>
      <c r="AV75" s="13">
        <f t="shared" si="21"/>
        <v>0</v>
      </c>
      <c r="AW75" s="13">
        <f t="shared" si="21"/>
        <v>0</v>
      </c>
      <c r="AX75" s="13">
        <f t="shared" si="21"/>
        <v>0</v>
      </c>
      <c r="AY75" s="13">
        <f t="shared" si="21"/>
        <v>0</v>
      </c>
    </row>
    <row r="76" spans="1:52">
      <c r="A76" s="4" t="s">
        <v>85</v>
      </c>
      <c r="B76" s="13"/>
      <c r="C76" s="13"/>
      <c r="D76" s="13"/>
      <c r="E76" s="13"/>
      <c r="F76" s="13" t="e">
        <f t="shared" si="20"/>
        <v>#REF!</v>
      </c>
      <c r="G76" s="13" t="e">
        <f t="shared" si="20"/>
        <v>#REF!</v>
      </c>
      <c r="H76" s="13" t="e">
        <f t="shared" si="20"/>
        <v>#REF!</v>
      </c>
      <c r="I76" s="13" t="e">
        <f t="shared" si="20"/>
        <v>#REF!</v>
      </c>
      <c r="J76" s="13">
        <f t="shared" si="20"/>
        <v>31.917559385188635</v>
      </c>
      <c r="K76" s="13" t="e">
        <f t="shared" si="20"/>
        <v>#REF!</v>
      </c>
      <c r="L76" s="13" t="e">
        <f t="shared" si="20"/>
        <v>#REF!</v>
      </c>
      <c r="M76" s="13" t="e">
        <f t="shared" si="20"/>
        <v>#REF!</v>
      </c>
      <c r="N76" s="13">
        <f t="shared" si="20"/>
        <v>33.196090047393369</v>
      </c>
      <c r="O76" s="13">
        <f t="shared" si="20"/>
        <v>34.639625585023403</v>
      </c>
      <c r="P76" s="13">
        <f t="shared" si="20"/>
        <v>37.429667876081496</v>
      </c>
      <c r="Q76" s="13">
        <f t="shared" si="20"/>
        <v>39.008516166281751</v>
      </c>
      <c r="R76" s="13">
        <f t="shared" si="20"/>
        <v>37.827591240875918</v>
      </c>
      <c r="S76" s="13">
        <f t="shared" si="20"/>
        <v>35.273138975375041</v>
      </c>
      <c r="T76" s="13">
        <f t="shared" si="20"/>
        <v>37.811751444272225</v>
      </c>
      <c r="U76" s="13">
        <f t="shared" si="20"/>
        <v>41.796120569355296</v>
      </c>
      <c r="V76" s="13">
        <f t="shared" si="20"/>
        <v>42.529600000000002</v>
      </c>
      <c r="W76" s="13">
        <f t="shared" si="20"/>
        <v>46.160200000000003</v>
      </c>
      <c r="X76" s="13">
        <f t="shared" si="20"/>
        <v>48.24</v>
      </c>
      <c r="Y76" s="13">
        <f t="shared" si="20"/>
        <v>56.9651</v>
      </c>
      <c r="Z76" s="13">
        <f t="shared" si="20"/>
        <v>58.31239999999999</v>
      </c>
      <c r="AA76" s="13">
        <f t="shared" si="20"/>
        <v>59.796800000000012</v>
      </c>
      <c r="AB76" s="13">
        <f t="shared" si="20"/>
        <v>56.2864</v>
      </c>
      <c r="AC76" s="13">
        <f t="shared" si="20"/>
        <v>61.586000000000006</v>
      </c>
      <c r="AD76" s="13">
        <f t="shared" si="20"/>
        <v>66.835999999999999</v>
      </c>
      <c r="AE76" s="13">
        <f t="shared" si="20"/>
        <v>63.700200000000002</v>
      </c>
      <c r="AF76" s="13">
        <f t="shared" si="20"/>
        <v>68.965799999999987</v>
      </c>
      <c r="AG76" s="13">
        <f t="shared" si="20"/>
        <v>74.031999999999996</v>
      </c>
      <c r="AH76" s="13">
        <f t="shared" si="20"/>
        <v>54.903599999999997</v>
      </c>
      <c r="AI76" s="13">
        <f t="shared" si="20"/>
        <v>75.921300000000016</v>
      </c>
      <c r="AJ76" s="13">
        <f t="shared" si="20"/>
        <v>79.242000000000004</v>
      </c>
      <c r="AK76" s="13">
        <f t="shared" si="20"/>
        <v>54.775500000000001</v>
      </c>
      <c r="AL76" s="13">
        <f t="shared" si="20"/>
        <v>60.143999999999991</v>
      </c>
      <c r="AM76" s="13">
        <f>AM$4*(AM33/100)</f>
        <v>65.410000000000011</v>
      </c>
      <c r="AN76" s="308"/>
      <c r="AO76" s="14"/>
      <c r="AP76" s="14"/>
      <c r="AQ76" s="13"/>
      <c r="AR76" s="13"/>
      <c r="AS76" s="13">
        <f t="shared" si="21"/>
        <v>136.5</v>
      </c>
      <c r="AT76" s="13">
        <f t="shared" si="21"/>
        <v>147.56</v>
      </c>
      <c r="AU76" s="13">
        <f t="shared" si="21"/>
        <v>153.96415094339625</v>
      </c>
      <c r="AV76" s="13">
        <f t="shared" si="21"/>
        <v>194.58700000000002</v>
      </c>
      <c r="AW76" s="13">
        <f t="shared" si="21"/>
        <v>235.68800000000002</v>
      </c>
      <c r="AX76" s="13">
        <f t="shared" si="21"/>
        <v>275.46750000000003</v>
      </c>
      <c r="AY76" s="13">
        <f t="shared" si="21"/>
        <v>303.40680000000003</v>
      </c>
    </row>
    <row r="77" spans="1:52">
      <c r="A77" s="4"/>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308"/>
      <c r="AO77" s="13"/>
      <c r="AP77" s="14"/>
      <c r="AQ77" s="14"/>
      <c r="AR77" s="14"/>
      <c r="AS77" s="14"/>
      <c r="AT77" s="14"/>
      <c r="AU77" s="14"/>
      <c r="AV77" s="14"/>
      <c r="AW77" s="14"/>
      <c r="AX77" s="14"/>
      <c r="AY77" s="14"/>
    </row>
    <row r="78" spans="1:52">
      <c r="A78" s="10" t="s">
        <v>279</v>
      </c>
      <c r="B78" s="254"/>
      <c r="C78" s="255">
        <f t="shared" ref="C78:AL78" si="22">SUM(C72:C77)</f>
        <v>0</v>
      </c>
      <c r="D78" s="255">
        <f t="shared" si="22"/>
        <v>0</v>
      </c>
      <c r="E78" s="255">
        <f t="shared" si="22"/>
        <v>0</v>
      </c>
      <c r="F78" s="255" t="e">
        <f t="shared" si="22"/>
        <v>#REF!</v>
      </c>
      <c r="G78" s="255" t="e">
        <f t="shared" si="22"/>
        <v>#REF!</v>
      </c>
      <c r="H78" s="255" t="e">
        <f t="shared" si="22"/>
        <v>#REF!</v>
      </c>
      <c r="I78" s="255" t="e">
        <f t="shared" si="22"/>
        <v>#REF!</v>
      </c>
      <c r="J78" s="255">
        <f t="shared" si="22"/>
        <v>110.06054960409875</v>
      </c>
      <c r="K78" s="255" t="e">
        <f t="shared" si="22"/>
        <v>#REF!</v>
      </c>
      <c r="L78" s="255" t="e">
        <f t="shared" si="22"/>
        <v>#REF!</v>
      </c>
      <c r="M78" s="255" t="e">
        <f t="shared" si="22"/>
        <v>#REF!</v>
      </c>
      <c r="N78" s="255">
        <f t="shared" si="22"/>
        <v>119.74303909952609</v>
      </c>
      <c r="O78" s="255">
        <f t="shared" si="22"/>
        <v>123.7129485179407</v>
      </c>
      <c r="P78" s="255">
        <f t="shared" si="22"/>
        <v>129.06782026234998</v>
      </c>
      <c r="Q78" s="255">
        <f t="shared" si="22"/>
        <v>134.5121247113164</v>
      </c>
      <c r="R78" s="255">
        <f t="shared" si="22"/>
        <v>140.10218978102193</v>
      </c>
      <c r="S78" s="255">
        <f t="shared" si="22"/>
        <v>146.97141239739599</v>
      </c>
      <c r="T78" s="255">
        <f t="shared" si="22"/>
        <v>151.2470057770889</v>
      </c>
      <c r="U78" s="255">
        <f t="shared" si="22"/>
        <v>154.80044655316775</v>
      </c>
      <c r="V78" s="255">
        <f t="shared" si="22"/>
        <v>139.9</v>
      </c>
      <c r="W78" s="255">
        <f t="shared" si="22"/>
        <v>154.90000000000003</v>
      </c>
      <c r="X78" s="255">
        <f t="shared" si="22"/>
        <v>160.80000000000001</v>
      </c>
      <c r="Y78" s="255">
        <f t="shared" si="22"/>
        <v>172.1</v>
      </c>
      <c r="Z78" s="255">
        <f t="shared" si="22"/>
        <v>199.69999999999996</v>
      </c>
      <c r="AA78" s="255">
        <f t="shared" si="22"/>
        <v>212.80000000000004</v>
      </c>
      <c r="AB78" s="255">
        <f t="shared" si="22"/>
        <v>221.3784</v>
      </c>
      <c r="AC78" s="255">
        <f t="shared" si="22"/>
        <v>232.4</v>
      </c>
      <c r="AD78" s="255">
        <f t="shared" si="22"/>
        <v>238.7</v>
      </c>
      <c r="AE78" s="255">
        <f t="shared" si="22"/>
        <v>246.9</v>
      </c>
      <c r="AF78" s="255">
        <f t="shared" si="22"/>
        <v>251.44830000000002</v>
      </c>
      <c r="AG78" s="255">
        <f t="shared" si="22"/>
        <v>264.39999999999998</v>
      </c>
      <c r="AH78" s="255">
        <f t="shared" si="22"/>
        <v>271.8</v>
      </c>
      <c r="AI78" s="255">
        <f t="shared" si="22"/>
        <v>299.23560000000003</v>
      </c>
      <c r="AJ78" s="255">
        <f t="shared" si="22"/>
        <v>282.28199999999998</v>
      </c>
      <c r="AK78" s="255">
        <f t="shared" si="22"/>
        <v>280.89999999999998</v>
      </c>
      <c r="AL78" s="255">
        <f t="shared" si="22"/>
        <v>286.68639999999999</v>
      </c>
      <c r="AM78" s="255">
        <f t="shared" ref="AM78" si="23">SUM(AM72:AM77)</f>
        <v>310.00000000000006</v>
      </c>
      <c r="AN78" s="564"/>
      <c r="AO78" s="274"/>
      <c r="AP78" s="274"/>
      <c r="AQ78" s="274"/>
      <c r="AR78" s="274"/>
      <c r="AS78" s="274">
        <f t="shared" ref="AS78:AV78" si="24">SUM(AS72:AS76)</f>
        <v>455</v>
      </c>
      <c r="AT78" s="274">
        <f t="shared" si="24"/>
        <v>527</v>
      </c>
      <c r="AU78" s="274">
        <f t="shared" si="24"/>
        <v>592.16981132075489</v>
      </c>
      <c r="AV78" s="274">
        <f t="shared" si="24"/>
        <v>621.423</v>
      </c>
      <c r="AW78" s="274">
        <f>SUM(AW72:AW77)</f>
        <v>866.5</v>
      </c>
      <c r="AX78" s="274">
        <f>SUM(AX72:AX77)</f>
        <v>1000.6983</v>
      </c>
      <c r="AY78" s="274">
        <f>SUM(AY72:AY77)</f>
        <v>1099.3</v>
      </c>
    </row>
    <row r="79" spans="1:52">
      <c r="A79" s="4"/>
      <c r="B79" s="13"/>
      <c r="C79" s="13"/>
      <c r="D79" s="13"/>
      <c r="E79" s="13"/>
      <c r="F79" s="13"/>
      <c r="G79" s="13"/>
      <c r="H79" s="13"/>
      <c r="I79" s="13"/>
      <c r="J79" s="13"/>
      <c r="K79" s="13"/>
      <c r="L79" s="13"/>
      <c r="M79" s="13"/>
      <c r="N79" s="13"/>
      <c r="O79" s="13"/>
      <c r="P79" s="13"/>
      <c r="Q79" s="13"/>
      <c r="R79" s="13"/>
      <c r="S79" s="13"/>
      <c r="T79" s="13"/>
      <c r="U79" s="13">
        <f>U78*0.13</f>
        <v>20.124058051911806</v>
      </c>
      <c r="V79" s="16">
        <f>U79/U74</f>
        <v>0.4814814814814814</v>
      </c>
      <c r="W79" s="13"/>
      <c r="X79" s="13"/>
      <c r="Y79" s="13"/>
      <c r="Z79" s="13"/>
      <c r="AA79" s="13">
        <f>AA74+Z74</f>
        <v>77.324100000000001</v>
      </c>
      <c r="AB79" s="13"/>
      <c r="AC79" s="13"/>
      <c r="AD79" s="13"/>
      <c r="AE79" s="13"/>
      <c r="AF79" s="13"/>
      <c r="AG79" s="13"/>
      <c r="AH79" s="13"/>
      <c r="AI79" s="13"/>
      <c r="AJ79" s="13"/>
      <c r="AK79" s="13"/>
      <c r="AL79" s="13"/>
      <c r="AM79" s="13"/>
      <c r="AN79" s="285"/>
      <c r="AO79" s="13"/>
      <c r="AP79" s="13"/>
      <c r="AQ79" s="13"/>
      <c r="AR79" s="13"/>
      <c r="AS79" s="13"/>
      <c r="AT79" s="4"/>
      <c r="AU79" s="340">
        <f>AU78-AU74</f>
        <v>426.36226415094353</v>
      </c>
      <c r="AV79" s="340">
        <f>AV78-AV74</f>
        <v>502.15999999999997</v>
      </c>
      <c r="AW79" s="340"/>
      <c r="AX79" s="340">
        <f>AV79/AU79-1</f>
        <v>0.17777777777777737</v>
      </c>
      <c r="AY79" s="340"/>
    </row>
    <row r="80" spans="1:52">
      <c r="A80" s="251" t="s">
        <v>633</v>
      </c>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c r="AA80" s="252"/>
      <c r="AB80" s="252"/>
      <c r="AC80" s="252"/>
      <c r="AD80" s="252"/>
      <c r="AE80" s="252"/>
      <c r="AF80" s="252"/>
      <c r="AG80" s="252"/>
      <c r="AH80" s="252"/>
      <c r="AI80" s="252"/>
      <c r="AJ80" s="252"/>
      <c r="AK80" s="252"/>
      <c r="AL80" s="252"/>
      <c r="AM80" s="252"/>
      <c r="AN80" s="1252"/>
      <c r="AO80" s="273"/>
      <c r="AP80" s="273"/>
      <c r="AQ80" s="273"/>
      <c r="AR80" s="273"/>
      <c r="AS80" s="273"/>
      <c r="AT80" s="273"/>
      <c r="AU80" s="273"/>
      <c r="AV80" s="273"/>
      <c r="AW80" s="273"/>
      <c r="AX80" s="273"/>
      <c r="AY80" s="273"/>
    </row>
    <row r="81" spans="1:51">
      <c r="A81" s="4" t="s">
        <v>360</v>
      </c>
      <c r="B81" s="13"/>
      <c r="C81" s="13"/>
      <c r="D81" s="260"/>
      <c r="E81" s="260"/>
      <c r="F81" s="260"/>
      <c r="G81" s="312" t="e">
        <f t="shared" ref="G81:AK83" si="25">(G72/F72-1)*100</f>
        <v>#REF!</v>
      </c>
      <c r="H81" s="312" t="e">
        <f t="shared" si="25"/>
        <v>#REF!</v>
      </c>
      <c r="I81" s="312" t="e">
        <f t="shared" si="25"/>
        <v>#REF!</v>
      </c>
      <c r="J81" s="312" t="e">
        <f t="shared" si="25"/>
        <v>#REF!</v>
      </c>
      <c r="K81" s="312" t="e">
        <f t="shared" si="25"/>
        <v>#REF!</v>
      </c>
      <c r="L81" s="312" t="e">
        <f t="shared" si="25"/>
        <v>#REF!</v>
      </c>
      <c r="M81" s="312" t="e">
        <f t="shared" si="25"/>
        <v>#REF!</v>
      </c>
      <c r="N81" s="312" t="e">
        <f t="shared" si="25"/>
        <v>#REF!</v>
      </c>
      <c r="O81" s="312">
        <f t="shared" si="25"/>
        <v>4.3485107299357395</v>
      </c>
      <c r="P81" s="312">
        <f t="shared" si="25"/>
        <v>7.925998332173334</v>
      </c>
      <c r="Q81" s="312">
        <f t="shared" si="25"/>
        <v>-2.7297048362842191</v>
      </c>
      <c r="R81" s="312">
        <f t="shared" si="25"/>
        <v>7.8756578468132332</v>
      </c>
      <c r="S81" s="312">
        <f t="shared" si="25"/>
        <v>12.137699002874601</v>
      </c>
      <c r="T81" s="312">
        <f t="shared" si="25"/>
        <v>-0.41051676696444162</v>
      </c>
      <c r="U81" s="312">
        <f t="shared" si="25"/>
        <v>5.7610764698552197</v>
      </c>
      <c r="V81" s="312">
        <f t="shared" si="25"/>
        <v>-3.7949761983000041</v>
      </c>
      <c r="W81" s="312">
        <f t="shared" si="25"/>
        <v>15.083717807091656</v>
      </c>
      <c r="X81" s="312">
        <f t="shared" si="25"/>
        <v>-4.6652876773692125</v>
      </c>
      <c r="Y81" s="312">
        <f t="shared" si="25"/>
        <v>6.0080549632788305</v>
      </c>
      <c r="Z81" s="312">
        <f t="shared" si="25"/>
        <v>14.549531429252504</v>
      </c>
      <c r="AA81" s="312">
        <f t="shared" si="25"/>
        <v>1.0242636682296302</v>
      </c>
      <c r="AB81" s="312">
        <f t="shared" si="25"/>
        <v>-0.85745184880007264</v>
      </c>
      <c r="AC81" s="312">
        <f t="shared" si="25"/>
        <v>-3.0484637560709515</v>
      </c>
      <c r="AD81" s="312">
        <f t="shared" si="25"/>
        <v>-7.6801368899723554</v>
      </c>
      <c r="AE81" s="312">
        <f t="shared" si="25"/>
        <v>3.8830461536787597</v>
      </c>
      <c r="AF81" s="312">
        <f t="shared" si="25"/>
        <v>-2.889449868018612</v>
      </c>
      <c r="AG81" s="312">
        <f t="shared" si="25"/>
        <v>5.5210091738171485</v>
      </c>
      <c r="AH81" s="312">
        <f t="shared" si="25"/>
        <v>4.6510201578280341</v>
      </c>
      <c r="AI81" s="312">
        <f t="shared" si="25"/>
        <v>2.3178807947019875</v>
      </c>
      <c r="AJ81" s="312">
        <f t="shared" si="25"/>
        <v>-1.2897251577550728</v>
      </c>
      <c r="AK81" s="312">
        <f t="shared" si="25"/>
        <v>-2.2011605415860669</v>
      </c>
      <c r="AL81" s="312">
        <f>(AL72/AK72-1)*100</f>
        <v>1.0139366849939879</v>
      </c>
      <c r="AM81" s="312">
        <f>(AM72/AL72-1)*100</f>
        <v>10.263405210671973</v>
      </c>
      <c r="AN81" s="285"/>
      <c r="AO81" s="13"/>
      <c r="AP81" s="13"/>
      <c r="AQ81" s="16"/>
      <c r="AR81" s="312"/>
      <c r="AS81" s="312" t="e">
        <f t="shared" ref="AS81:AT83" si="26">(AS72/AR72-1)*100</f>
        <v>#DIV/0!</v>
      </c>
      <c r="AT81" s="312">
        <f t="shared" si="26"/>
        <v>29.188503803888398</v>
      </c>
      <c r="AU81" s="507">
        <v>20.5</v>
      </c>
      <c r="AV81" s="312">
        <f>(AV72/AU72-1)*100</f>
        <v>13.06666666666667</v>
      </c>
      <c r="AW81" s="507">
        <v>20.2</v>
      </c>
      <c r="AX81" s="312">
        <f t="shared" ref="AX81:AY83" si="27">(AX72/AW72-1)*100</f>
        <v>-7.6809960056194786</v>
      </c>
      <c r="AY81" s="312">
        <f t="shared" si="27"/>
        <v>7.8010744566096024</v>
      </c>
    </row>
    <row r="82" spans="1:51">
      <c r="A82" s="4" t="s">
        <v>611</v>
      </c>
      <c r="B82" s="13"/>
      <c r="C82" s="13"/>
      <c r="D82" s="260"/>
      <c r="E82" s="260"/>
      <c r="F82" s="260"/>
      <c r="G82" s="312" t="e">
        <f t="shared" si="25"/>
        <v>#REF!</v>
      </c>
      <c r="H82" s="312" t="e">
        <f t="shared" si="25"/>
        <v>#REF!</v>
      </c>
      <c r="I82" s="312" t="e">
        <f t="shared" si="25"/>
        <v>#REF!</v>
      </c>
      <c r="J82" s="312" t="e">
        <f t="shared" si="25"/>
        <v>#REF!</v>
      </c>
      <c r="K82" s="312" t="e">
        <f t="shared" si="25"/>
        <v>#REF!</v>
      </c>
      <c r="L82" s="312" t="e">
        <f t="shared" si="25"/>
        <v>#REF!</v>
      </c>
      <c r="M82" s="312" t="e">
        <f t="shared" si="25"/>
        <v>#REF!</v>
      </c>
      <c r="N82" s="312" t="e">
        <f t="shared" si="25"/>
        <v>#REF!</v>
      </c>
      <c r="O82" s="312">
        <f t="shared" si="25"/>
        <v>-1.7896369600604922</v>
      </c>
      <c r="P82" s="312">
        <f t="shared" si="25"/>
        <v>-2.1920640114679091</v>
      </c>
      <c r="Q82" s="312">
        <f t="shared" si="25"/>
        <v>11.166051615675187</v>
      </c>
      <c r="R82" s="312">
        <f t="shared" si="25"/>
        <v>4.1558075762334612</v>
      </c>
      <c r="S82" s="312">
        <f t="shared" si="25"/>
        <v>11.459446791163664</v>
      </c>
      <c r="T82" s="312">
        <f t="shared" si="25"/>
        <v>-3.1443457184595514</v>
      </c>
      <c r="U82" s="312">
        <f t="shared" si="25"/>
        <v>-4.0474104608168364</v>
      </c>
      <c r="V82" s="312">
        <f t="shared" si="25"/>
        <v>3.6293306890230914</v>
      </c>
      <c r="W82" s="312">
        <f t="shared" si="25"/>
        <v>10.078212011902199</v>
      </c>
      <c r="X82" s="312">
        <f t="shared" si="25"/>
        <v>12.307883977212231</v>
      </c>
      <c r="Y82" s="312">
        <f t="shared" si="25"/>
        <v>-2.8075837031060868</v>
      </c>
      <c r="Z82" s="312">
        <f t="shared" si="25"/>
        <v>45.737182147699265</v>
      </c>
      <c r="AA82" s="312">
        <f t="shared" si="25"/>
        <v>21.710527877123774</v>
      </c>
      <c r="AB82" s="312">
        <f t="shared" si="25"/>
        <v>22.715502449068701</v>
      </c>
      <c r="AC82" s="312">
        <f t="shared" si="25"/>
        <v>2.2887323943661997</v>
      </c>
      <c r="AD82" s="312">
        <f t="shared" si="25"/>
        <v>9.3851942064286042</v>
      </c>
      <c r="AE82" s="312">
        <f t="shared" si="25"/>
        <v>11.149091477139606</v>
      </c>
      <c r="AF82" s="312">
        <f t="shared" si="25"/>
        <v>1.4565469870553294E-2</v>
      </c>
      <c r="AG82" s="312">
        <f t="shared" si="25"/>
        <v>4.7079218229224562</v>
      </c>
      <c r="AH82" s="312">
        <f t="shared" si="25"/>
        <v>3.1303987116295007</v>
      </c>
      <c r="AI82" s="312">
        <f t="shared" si="25"/>
        <v>3.962862801047673</v>
      </c>
      <c r="AJ82" s="312">
        <f t="shared" si="25"/>
        <v>3.3277347643821731</v>
      </c>
      <c r="AK82" s="312">
        <f t="shared" si="25"/>
        <v>4.2501431654992983</v>
      </c>
      <c r="AL82" s="312">
        <f t="shared" ref="AL82:AM83" si="28">(AL73/AK73-1)*100</f>
        <v>-3.7903812776440282</v>
      </c>
      <c r="AM82" s="312">
        <f t="shared" si="28"/>
        <v>6.5383331576543302</v>
      </c>
      <c r="AN82" s="285"/>
      <c r="AO82" s="13"/>
      <c r="AP82" s="13"/>
      <c r="AQ82" s="16"/>
      <c r="AR82" s="312"/>
      <c r="AS82" s="312" t="e">
        <f t="shared" si="26"/>
        <v>#DIV/0!</v>
      </c>
      <c r="AT82" s="312">
        <f t="shared" si="26"/>
        <v>9.0109890109890003</v>
      </c>
      <c r="AU82" s="507">
        <v>13.9</v>
      </c>
      <c r="AV82" s="312">
        <f>(AV73/AU73-1)*100</f>
        <v>12.62500000000002</v>
      </c>
      <c r="AW82" s="507">
        <v>102</v>
      </c>
      <c r="AX82" s="312">
        <f t="shared" si="27"/>
        <v>39.176945792742934</v>
      </c>
      <c r="AY82" s="312">
        <f t="shared" si="27"/>
        <v>15.105493299826801</v>
      </c>
    </row>
    <row r="83" spans="1:51">
      <c r="A83" s="4" t="s">
        <v>612</v>
      </c>
      <c r="B83" s="13"/>
      <c r="C83" s="13"/>
      <c r="D83" s="260"/>
      <c r="E83" s="260"/>
      <c r="F83" s="260"/>
      <c r="G83" s="497" t="e">
        <f t="shared" si="25"/>
        <v>#REF!</v>
      </c>
      <c r="H83" s="497" t="e">
        <f t="shared" si="25"/>
        <v>#REF!</v>
      </c>
      <c r="I83" s="497" t="e">
        <f t="shared" si="25"/>
        <v>#REF!</v>
      </c>
      <c r="J83" s="497" t="e">
        <f t="shared" si="25"/>
        <v>#REF!</v>
      </c>
      <c r="K83" s="497" t="e">
        <f t="shared" si="25"/>
        <v>#REF!</v>
      </c>
      <c r="L83" s="497" t="e">
        <f t="shared" si="25"/>
        <v>#REF!</v>
      </c>
      <c r="M83" s="497" t="e">
        <f t="shared" si="25"/>
        <v>#REF!</v>
      </c>
      <c r="N83" s="497" t="e">
        <f t="shared" si="25"/>
        <v>#REF!</v>
      </c>
      <c r="O83" s="497">
        <f t="shared" si="25"/>
        <v>4.3485107299357395</v>
      </c>
      <c r="P83" s="497">
        <f t="shared" si="25"/>
        <v>0.46444783019592428</v>
      </c>
      <c r="Q83" s="497">
        <f t="shared" si="25"/>
        <v>8.2265646739145168</v>
      </c>
      <c r="R83" s="497">
        <f t="shared" si="25"/>
        <v>8.0134300790569277</v>
      </c>
      <c r="S83" s="497">
        <f t="shared" si="25"/>
        <v>4.9030087446246151</v>
      </c>
      <c r="T83" s="497">
        <f t="shared" si="25"/>
        <v>6.5844588410701954</v>
      </c>
      <c r="U83" s="497">
        <f t="shared" si="25"/>
        <v>-4.7091524576387762</v>
      </c>
      <c r="V83" s="497">
        <f t="shared" si="25"/>
        <v>-35.064308289178022</v>
      </c>
      <c r="W83" s="497">
        <f t="shared" si="25"/>
        <v>7.2975542176665131</v>
      </c>
      <c r="X83" s="497">
        <f t="shared" si="25"/>
        <v>10.435009546309914</v>
      </c>
      <c r="Y83" s="497">
        <f t="shared" si="25"/>
        <v>1.1408582089551977</v>
      </c>
      <c r="Z83" s="497">
        <f t="shared" si="25"/>
        <v>16.037187681580466</v>
      </c>
      <c r="AA83" s="497">
        <f t="shared" si="25"/>
        <v>4.8684137317087206</v>
      </c>
      <c r="AB83" s="497">
        <f t="shared" si="25"/>
        <v>2.4557361144797119</v>
      </c>
      <c r="AC83" s="497">
        <f t="shared" si="25"/>
        <v>15.189086820145592</v>
      </c>
      <c r="AD83" s="497">
        <f t="shared" si="25"/>
        <v>-0.86615117185160351</v>
      </c>
      <c r="AE83" s="497">
        <f t="shared" si="25"/>
        <v>2.902102885475033</v>
      </c>
      <c r="AF83" s="497">
        <f t="shared" si="25"/>
        <v>1.9441069258809174</v>
      </c>
      <c r="AG83" s="497">
        <f t="shared" si="25"/>
        <v>2.3242983978376985</v>
      </c>
      <c r="AH83" s="497">
        <f t="shared" si="25"/>
        <v>1.1583834937393567</v>
      </c>
      <c r="AI83" s="497">
        <f t="shared" si="25"/>
        <v>2.3178807947019875</v>
      </c>
      <c r="AJ83" s="497">
        <f t="shared" si="25"/>
        <v>-2.4344733082597103</v>
      </c>
      <c r="AK83" s="497">
        <f t="shared" si="25"/>
        <v>-1.5092836082556405</v>
      </c>
      <c r="AL83" s="497">
        <f t="shared" si="28"/>
        <v>4.8545260364412979</v>
      </c>
      <c r="AM83" s="497">
        <f t="shared" si="28"/>
        <v>7.6422111793573722</v>
      </c>
      <c r="AN83" s="285"/>
      <c r="AO83" s="13"/>
      <c r="AP83" s="13"/>
      <c r="AQ83" s="16"/>
      <c r="AR83" s="312"/>
      <c r="AS83" s="312" t="e">
        <f t="shared" si="26"/>
        <v>#DIV/0!</v>
      </c>
      <c r="AT83" s="312">
        <f t="shared" si="26"/>
        <v>15.824175824175835</v>
      </c>
      <c r="AU83" s="507">
        <v>18</v>
      </c>
      <c r="AV83" s="312">
        <f>(AV74/AU74-1)*100</f>
        <v>-28.07142857142858</v>
      </c>
      <c r="AW83" s="507">
        <v>36</v>
      </c>
      <c r="AX83" s="312">
        <f t="shared" si="27"/>
        <v>16.211437422176324</v>
      </c>
      <c r="AY83" s="312">
        <f t="shared" si="27"/>
        <v>3.423133552541846</v>
      </c>
    </row>
    <row r="84" spans="1:51">
      <c r="A84" s="4" t="s">
        <v>632</v>
      </c>
      <c r="B84" s="13"/>
      <c r="C84" s="13"/>
      <c r="D84" s="260"/>
      <c r="E84" s="260"/>
      <c r="F84" s="260"/>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f>(AL75/AK75-1)*100</f>
        <v>4.6410972250847893</v>
      </c>
      <c r="AM84" s="312">
        <f>(AM75/AL75-1)*100</f>
        <v>8.2402234636871583</v>
      </c>
      <c r="AN84" s="285"/>
      <c r="AO84" s="13"/>
      <c r="AP84" s="13"/>
      <c r="AQ84" s="16"/>
      <c r="AR84" s="312"/>
      <c r="AS84" s="312"/>
      <c r="AT84" s="312"/>
      <c r="AU84" s="312"/>
      <c r="AV84" s="312"/>
      <c r="AW84" s="312"/>
      <c r="AX84" s="312"/>
      <c r="AY84" s="312"/>
    </row>
    <row r="85" spans="1:51">
      <c r="A85" s="4" t="s">
        <v>85</v>
      </c>
      <c r="B85" s="13"/>
      <c r="C85" s="13"/>
      <c r="D85" s="260"/>
      <c r="E85" s="260"/>
      <c r="F85" s="260"/>
      <c r="G85" s="312" t="e">
        <f t="shared" ref="G85:AK85" si="29">(G76/F76-1)*100</f>
        <v>#REF!</v>
      </c>
      <c r="H85" s="312" t="e">
        <f t="shared" si="29"/>
        <v>#REF!</v>
      </c>
      <c r="I85" s="312" t="e">
        <f t="shared" si="29"/>
        <v>#REF!</v>
      </c>
      <c r="J85" s="312" t="e">
        <f t="shared" si="29"/>
        <v>#REF!</v>
      </c>
      <c r="K85" s="312" t="e">
        <f t="shared" si="29"/>
        <v>#REF!</v>
      </c>
      <c r="L85" s="312" t="e">
        <f t="shared" si="29"/>
        <v>#REF!</v>
      </c>
      <c r="M85" s="312" t="e">
        <f t="shared" si="29"/>
        <v>#REF!</v>
      </c>
      <c r="N85" s="312" t="e">
        <f t="shared" si="29"/>
        <v>#REF!</v>
      </c>
      <c r="O85" s="312">
        <f t="shared" si="29"/>
        <v>4.3485107299357395</v>
      </c>
      <c r="P85" s="312">
        <f t="shared" si="29"/>
        <v>8.0544816635211625</v>
      </c>
      <c r="Q85" s="312">
        <f t="shared" si="29"/>
        <v>4.2181733896954565</v>
      </c>
      <c r="R85" s="312">
        <f t="shared" si="29"/>
        <v>-3.0273515669550166</v>
      </c>
      <c r="S85" s="312">
        <f t="shared" si="29"/>
        <v>-6.752881115889231</v>
      </c>
      <c r="T85" s="312">
        <f t="shared" si="29"/>
        <v>7.197013202225766</v>
      </c>
      <c r="U85" s="312">
        <f t="shared" si="29"/>
        <v>10.537383149139012</v>
      </c>
      <c r="V85" s="312">
        <f t="shared" si="29"/>
        <v>1.7548983509787508</v>
      </c>
      <c r="W85" s="312">
        <f t="shared" si="29"/>
        <v>8.5366427147210544</v>
      </c>
      <c r="X85" s="312">
        <f t="shared" si="29"/>
        <v>4.5056130606019984</v>
      </c>
      <c r="Y85" s="312">
        <f t="shared" si="29"/>
        <v>18.086857379767828</v>
      </c>
      <c r="Z85" s="312">
        <f t="shared" si="29"/>
        <v>2.3651323354123566</v>
      </c>
      <c r="AA85" s="312">
        <f t="shared" si="29"/>
        <v>2.545599220748973</v>
      </c>
      <c r="AB85" s="312">
        <f t="shared" si="29"/>
        <v>-5.8705482567629197</v>
      </c>
      <c r="AC85" s="312">
        <f t="shared" si="29"/>
        <v>9.415418289320332</v>
      </c>
      <c r="AD85" s="312">
        <f t="shared" si="29"/>
        <v>8.524664696521933</v>
      </c>
      <c r="AE85" s="312">
        <f t="shared" si="29"/>
        <v>-4.6917828715063674</v>
      </c>
      <c r="AF85" s="312">
        <f t="shared" si="29"/>
        <v>8.2662220840750589</v>
      </c>
      <c r="AG85" s="312">
        <f t="shared" si="29"/>
        <v>7.3459598815645011</v>
      </c>
      <c r="AH85" s="312">
        <f t="shared" si="29"/>
        <v>-25.838015993084074</v>
      </c>
      <c r="AI85" s="312">
        <f t="shared" si="29"/>
        <v>38.281096321552724</v>
      </c>
      <c r="AJ85" s="312">
        <f t="shared" si="29"/>
        <v>4.373871364162607</v>
      </c>
      <c r="AK85" s="312">
        <f t="shared" si="29"/>
        <v>-30.875671992125387</v>
      </c>
      <c r="AL85" s="312">
        <f>(AL76/AK76-1)*100</f>
        <v>9.8009146424952611</v>
      </c>
      <c r="AM85" s="312">
        <f>(AM76/AL76-1)*100</f>
        <v>8.7556530992285442</v>
      </c>
      <c r="AN85" s="285"/>
      <c r="AO85" s="13"/>
      <c r="AP85" s="13"/>
      <c r="AQ85" s="16"/>
      <c r="AR85" s="312"/>
      <c r="AS85" s="312" t="e">
        <f t="shared" ref="AS85:AY85" si="30">(AS76/AR76-1)*100</f>
        <v>#DIV/0!</v>
      </c>
      <c r="AT85" s="312">
        <f t="shared" si="30"/>
        <v>8.1025641025641129</v>
      </c>
      <c r="AU85" s="312">
        <f t="shared" si="30"/>
        <v>4.3400318130904392</v>
      </c>
      <c r="AV85" s="312">
        <f t="shared" si="30"/>
        <v>26.384615384615383</v>
      </c>
      <c r="AW85" s="312">
        <f t="shared" si="30"/>
        <v>21.122171573640578</v>
      </c>
      <c r="AX85" s="312">
        <f t="shared" si="30"/>
        <v>16.878033671633695</v>
      </c>
      <c r="AY85" s="312">
        <f t="shared" si="30"/>
        <v>10.142503199106967</v>
      </c>
    </row>
    <row r="86" spans="1:51">
      <c r="A86" s="4"/>
      <c r="B86" s="13"/>
      <c r="C86" s="13"/>
      <c r="D86" s="260"/>
      <c r="E86" s="260"/>
      <c r="F86" s="260"/>
      <c r="G86" s="260"/>
      <c r="H86" s="260"/>
      <c r="I86" s="260"/>
      <c r="J86" s="260"/>
      <c r="K86" s="260"/>
      <c r="L86" s="260"/>
      <c r="M86" s="260"/>
      <c r="N86" s="260"/>
      <c r="O86" s="260"/>
      <c r="P86" s="260"/>
      <c r="Q86" s="260"/>
      <c r="R86" s="260"/>
      <c r="S86" s="260"/>
      <c r="T86" s="260"/>
      <c r="U86" s="260"/>
      <c r="V86" s="260"/>
      <c r="W86" s="260"/>
      <c r="X86" s="312">
        <f>SUM(X81:X82)</f>
        <v>7.642596299843019</v>
      </c>
      <c r="Y86" s="312">
        <f t="shared" ref="Y86" si="31">SUM(Y81:Y82)</f>
        <v>3.2004712601727436</v>
      </c>
      <c r="Z86" s="312"/>
      <c r="AA86" s="312"/>
      <c r="AB86" s="312"/>
      <c r="AC86" s="312"/>
      <c r="AD86" s="312"/>
      <c r="AE86" s="312"/>
      <c r="AF86" s="312"/>
      <c r="AG86" s="312"/>
      <c r="AH86" s="312"/>
      <c r="AI86" s="312"/>
      <c r="AJ86" s="312"/>
      <c r="AK86" s="312"/>
      <c r="AL86" s="312"/>
      <c r="AM86" s="312"/>
      <c r="AN86" s="285"/>
      <c r="AO86" s="13"/>
      <c r="AP86" s="13"/>
      <c r="AQ86" s="16"/>
      <c r="AR86" s="16"/>
      <c r="AS86" s="16"/>
      <c r="AT86" s="16"/>
      <c r="AU86" s="16"/>
      <c r="AV86" s="312"/>
      <c r="AW86" s="312"/>
      <c r="AX86" s="312"/>
      <c r="AY86" s="312"/>
    </row>
    <row r="87" spans="1:51">
      <c r="A87" s="251" t="s">
        <v>634</v>
      </c>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c r="AA87" s="252"/>
      <c r="AB87" s="252"/>
      <c r="AC87" s="252"/>
      <c r="AD87" s="252"/>
      <c r="AE87" s="252"/>
      <c r="AF87" s="252"/>
      <c r="AG87" s="252"/>
      <c r="AH87" s="252"/>
      <c r="AI87" s="252"/>
      <c r="AJ87" s="252"/>
      <c r="AK87" s="252"/>
      <c r="AL87" s="252"/>
      <c r="AM87" s="252"/>
      <c r="AN87" s="1252"/>
      <c r="AO87" s="273"/>
      <c r="AP87" s="273"/>
      <c r="AQ87" s="273"/>
      <c r="AR87" s="273"/>
      <c r="AS87" s="273"/>
      <c r="AT87" s="273"/>
      <c r="AU87" s="273"/>
      <c r="AV87" s="273"/>
      <c r="AW87" s="273"/>
      <c r="AX87" s="273"/>
      <c r="AY87" s="273"/>
    </row>
    <row r="88" spans="1:51">
      <c r="A88" s="4" t="s">
        <v>360</v>
      </c>
      <c r="B88" s="13"/>
      <c r="C88" s="13"/>
      <c r="D88" s="260"/>
      <c r="E88" s="260"/>
      <c r="F88" s="260"/>
      <c r="G88" s="16"/>
      <c r="H88" s="16"/>
      <c r="I88" s="16"/>
      <c r="J88" s="604" t="e">
        <f t="shared" ref="J88:AM90" si="32">J72/F72-1</f>
        <v>#REF!</v>
      </c>
      <c r="K88" s="604" t="e">
        <f t="shared" si="32"/>
        <v>#REF!</v>
      </c>
      <c r="L88" s="604" t="e">
        <f t="shared" si="32"/>
        <v>#REF!</v>
      </c>
      <c r="M88" s="604" t="e">
        <f t="shared" si="32"/>
        <v>#REF!</v>
      </c>
      <c r="N88" s="604">
        <f t="shared" si="32"/>
        <v>0.24955453395855942</v>
      </c>
      <c r="O88" s="604" t="e">
        <f t="shared" si="32"/>
        <v>#REF!</v>
      </c>
      <c r="P88" s="604" t="e">
        <f t="shared" si="32"/>
        <v>#REF!</v>
      </c>
      <c r="Q88" s="604" t="e">
        <f t="shared" si="32"/>
        <v>#REF!</v>
      </c>
      <c r="R88" s="604">
        <f t="shared" si="32"/>
        <v>0.1817239043116301</v>
      </c>
      <c r="S88" s="604">
        <f t="shared" si="32"/>
        <v>0.26993474616195856</v>
      </c>
      <c r="T88" s="604">
        <f t="shared" si="32"/>
        <v>0.17184132706089228</v>
      </c>
      <c r="U88" s="604">
        <f t="shared" si="32"/>
        <v>0.27413204610131081</v>
      </c>
      <c r="V88" s="604">
        <f t="shared" si="32"/>
        <v>0.13628881870412091</v>
      </c>
      <c r="W88" s="604">
        <f t="shared" si="32"/>
        <v>0.16614076195505301</v>
      </c>
      <c r="X88" s="604">
        <f t="shared" si="32"/>
        <v>0.11631961989938522</v>
      </c>
      <c r="Y88" s="604">
        <f t="shared" si="32"/>
        <v>0.11892650465419918</v>
      </c>
      <c r="Z88" s="604">
        <f t="shared" si="32"/>
        <v>0.33228496545151276</v>
      </c>
      <c r="AA88" s="604">
        <f t="shared" si="32"/>
        <v>0.16952345818895664</v>
      </c>
      <c r="AB88" s="604">
        <f t="shared" si="32"/>
        <v>0.21623627892284625</v>
      </c>
      <c r="AC88" s="604">
        <f t="shared" si="32"/>
        <v>0.11233033865224451</v>
      </c>
      <c r="AD88" s="604">
        <f t="shared" si="32"/>
        <v>-0.10353029544316472</v>
      </c>
      <c r="AE88" s="604">
        <f t="shared" si="32"/>
        <v>-7.8162014625605125E-2</v>
      </c>
      <c r="AF88" s="604">
        <f t="shared" si="32"/>
        <v>-9.7055748902683092E-2</v>
      </c>
      <c r="AG88" s="604">
        <f t="shared" si="32"/>
        <v>-1.7245189764059199E-2</v>
      </c>
      <c r="AH88" s="604">
        <f t="shared" si="32"/>
        <v>0.11402129500160529</v>
      </c>
      <c r="AI88" s="604">
        <f t="shared" si="32"/>
        <v>9.7236770436167186E-2</v>
      </c>
      <c r="AJ88" s="604">
        <f t="shared" si="32"/>
        <v>0.11531180731208779</v>
      </c>
      <c r="AK88" s="604">
        <f t="shared" si="32"/>
        <v>3.369178558285979E-2</v>
      </c>
      <c r="AL88" s="604">
        <f t="shared" si="32"/>
        <v>-2.2335527815222633E-3</v>
      </c>
      <c r="AM88" s="415">
        <f t="shared" si="32"/>
        <v>7.5248287208077524E-2</v>
      </c>
      <c r="AN88" s="285"/>
      <c r="AO88" s="13"/>
      <c r="AP88" s="13"/>
      <c r="AQ88" s="16"/>
      <c r="AR88" s="16"/>
      <c r="AS88" s="16"/>
      <c r="AT88" s="16"/>
      <c r="AU88" s="16"/>
      <c r="AV88" s="16"/>
      <c r="AW88" s="16"/>
      <c r="AX88" s="16"/>
      <c r="AY88" s="16"/>
    </row>
    <row r="89" spans="1:51">
      <c r="A89" s="4" t="s">
        <v>611</v>
      </c>
      <c r="B89" s="13"/>
      <c r="C89" s="13"/>
      <c r="D89" s="260"/>
      <c r="E89" s="260"/>
      <c r="F89" s="260"/>
      <c r="G89" s="16"/>
      <c r="H89" s="16"/>
      <c r="I89" s="16"/>
      <c r="J89" s="604" t="e">
        <f t="shared" si="32"/>
        <v>#REF!</v>
      </c>
      <c r="K89" s="604" t="e">
        <f t="shared" si="32"/>
        <v>#REF!</v>
      </c>
      <c r="L89" s="604" t="e">
        <f t="shared" si="32"/>
        <v>#REF!</v>
      </c>
      <c r="M89" s="604" t="e">
        <f t="shared" si="32"/>
        <v>#REF!</v>
      </c>
      <c r="N89" s="604">
        <f t="shared" si="32"/>
        <v>7.7202184447033861E-2</v>
      </c>
      <c r="O89" s="604" t="e">
        <f t="shared" si="32"/>
        <v>#REF!</v>
      </c>
      <c r="P89" s="604" t="e">
        <f t="shared" si="32"/>
        <v>#REF!</v>
      </c>
      <c r="Q89" s="604" t="e">
        <f t="shared" si="32"/>
        <v>#REF!</v>
      </c>
      <c r="R89" s="604">
        <f t="shared" si="32"/>
        <v>0.11221073346976929</v>
      </c>
      <c r="S89" s="604">
        <f t="shared" si="32"/>
        <v>0.26225368922952752</v>
      </c>
      <c r="T89" s="604">
        <f t="shared" si="32"/>
        <v>0.24996408219828492</v>
      </c>
      <c r="U89" s="604">
        <f t="shared" si="32"/>
        <v>7.8902135811593999E-2</v>
      </c>
      <c r="V89" s="604">
        <f t="shared" si="32"/>
        <v>7.3448603730332351E-2</v>
      </c>
      <c r="W89" s="604">
        <f t="shared" si="32"/>
        <v>6.0146146308306614E-2</v>
      </c>
      <c r="X89" s="604">
        <f t="shared" si="32"/>
        <v>0.22928053381777547</v>
      </c>
      <c r="Y89" s="604">
        <f t="shared" si="32"/>
        <v>0.24516436671774988</v>
      </c>
      <c r="Z89" s="604">
        <f t="shared" si="32"/>
        <v>0.75111375234802225</v>
      </c>
      <c r="AA89" s="604">
        <f t="shared" si="32"/>
        <v>0.93615952944552028</v>
      </c>
      <c r="AB89" s="604">
        <f t="shared" si="32"/>
        <v>1.1155842409573751</v>
      </c>
      <c r="AC89" s="604">
        <f t="shared" si="32"/>
        <v>1.2265155917102457</v>
      </c>
      <c r="AD89" s="604">
        <f t="shared" si="32"/>
        <v>0.67114415699378482</v>
      </c>
      <c r="AE89" s="604">
        <f t="shared" si="32"/>
        <v>0.52613054940255211</v>
      </c>
      <c r="AF89" s="604">
        <f t="shared" si="32"/>
        <v>0.24381419382722358</v>
      </c>
      <c r="AG89" s="604">
        <f t="shared" si="32"/>
        <v>0.27323114013558114</v>
      </c>
      <c r="AH89" s="604">
        <f t="shared" si="32"/>
        <v>0.20042603651132906</v>
      </c>
      <c r="AI89" s="604">
        <f t="shared" si="32"/>
        <v>0.12281374213752105</v>
      </c>
      <c r="AJ89" s="604">
        <f t="shared" si="32"/>
        <v>0.16000904460600385</v>
      </c>
      <c r="AK89" s="604">
        <f t="shared" si="32"/>
        <v>0.15493753355131523</v>
      </c>
      <c r="AL89" s="604">
        <f t="shared" si="32"/>
        <v>7.7433047280367262E-2</v>
      </c>
      <c r="AM89" s="415">
        <f t="shared" si="32"/>
        <v>0.10412427912735134</v>
      </c>
      <c r="AN89" s="285"/>
      <c r="AO89" s="13"/>
      <c r="AP89" s="13"/>
      <c r="AQ89" s="16"/>
      <c r="AR89" s="16"/>
      <c r="AS89" s="16"/>
      <c r="AT89" s="16"/>
      <c r="AU89" s="16"/>
      <c r="AV89" s="16"/>
      <c r="AW89" s="16"/>
      <c r="AX89" s="16"/>
      <c r="AY89" s="16"/>
    </row>
    <row r="90" spans="1:51">
      <c r="A90" s="4" t="s">
        <v>612</v>
      </c>
      <c r="B90" s="13"/>
      <c r="C90" s="13"/>
      <c r="D90" s="260"/>
      <c r="E90" s="260"/>
      <c r="F90" s="260"/>
      <c r="G90" s="16"/>
      <c r="H90" s="16"/>
      <c r="I90" s="16"/>
      <c r="J90" s="604" t="e">
        <f t="shared" si="32"/>
        <v>#REF!</v>
      </c>
      <c r="K90" s="604" t="e">
        <f t="shared" si="32"/>
        <v>#REF!</v>
      </c>
      <c r="L90" s="604" t="e">
        <f t="shared" si="32"/>
        <v>#REF!</v>
      </c>
      <c r="M90" s="604" t="e">
        <f t="shared" si="32"/>
        <v>#REF!</v>
      </c>
      <c r="N90" s="604">
        <f t="shared" si="32"/>
        <v>2.9123786231008975E-3</v>
      </c>
      <c r="O90" s="604" t="e">
        <f t="shared" si="32"/>
        <v>#REF!</v>
      </c>
      <c r="P90" s="604" t="e">
        <f t="shared" si="32"/>
        <v>#REF!</v>
      </c>
      <c r="Q90" s="604" t="e">
        <f t="shared" si="32"/>
        <v>#REF!</v>
      </c>
      <c r="R90" s="604">
        <f t="shared" si="32"/>
        <v>0.2254914563231718</v>
      </c>
      <c r="S90" s="604">
        <f t="shared" si="32"/>
        <v>0.2320036008166193</v>
      </c>
      <c r="T90" s="604">
        <f t="shared" si="32"/>
        <v>0.30705378787561033</v>
      </c>
      <c r="U90" s="604">
        <f t="shared" si="32"/>
        <v>0.15082894486570031</v>
      </c>
      <c r="V90" s="604">
        <f t="shared" si="32"/>
        <v>-0.30814276038643018</v>
      </c>
      <c r="W90" s="604">
        <f t="shared" si="32"/>
        <v>-0.29235023316596742</v>
      </c>
      <c r="X90" s="604">
        <f t="shared" si="32"/>
        <v>-0.26678514292322797</v>
      </c>
      <c r="Y90" s="604">
        <f t="shared" si="32"/>
        <v>-0.22177227080140649</v>
      </c>
      <c r="Z90" s="604">
        <f t="shared" si="32"/>
        <v>0.39065827579346002</v>
      </c>
      <c r="AA90" s="604">
        <f t="shared" si="32"/>
        <v>0.3591747592818979</v>
      </c>
      <c r="AB90" s="604">
        <f t="shared" si="32"/>
        <v>0.26097014925373108</v>
      </c>
      <c r="AC90" s="604">
        <f t="shared" si="32"/>
        <v>0.43611595325715036</v>
      </c>
      <c r="AD90" s="604">
        <f t="shared" si="32"/>
        <v>0.22691444574268815</v>
      </c>
      <c r="AE90" s="604">
        <f t="shared" si="32"/>
        <v>0.20390947125879189</v>
      </c>
      <c r="AF90" s="604">
        <f t="shared" si="32"/>
        <v>0.19789755577913248</v>
      </c>
      <c r="AG90" s="604">
        <f t="shared" si="32"/>
        <v>6.4111456486928287E-2</v>
      </c>
      <c r="AH90" s="604">
        <f t="shared" si="32"/>
        <v>8.5842989733911024E-2</v>
      </c>
      <c r="AI90" s="604">
        <f t="shared" si="32"/>
        <v>7.9678164682477126E-2</v>
      </c>
      <c r="AJ90" s="604">
        <f t="shared" si="32"/>
        <v>3.3305131324609327E-2</v>
      </c>
      <c r="AK90" s="604">
        <f t="shared" si="32"/>
        <v>-5.4076672997068753E-3</v>
      </c>
      <c r="AL90" s="604">
        <f t="shared" si="32"/>
        <v>3.0932919674641512E-2</v>
      </c>
      <c r="AM90" s="415">
        <f t="shared" si="32"/>
        <v>8.4579725356424218E-2</v>
      </c>
      <c r="AN90" s="285"/>
      <c r="AO90" s="13"/>
      <c r="AP90" s="13"/>
      <c r="AQ90" s="16"/>
      <c r="AR90" s="16"/>
      <c r="AS90" s="16"/>
      <c r="AT90" s="16"/>
      <c r="AU90" s="16"/>
      <c r="AV90" s="16"/>
      <c r="AW90" s="16"/>
      <c r="AX90" s="16"/>
      <c r="AY90" s="16"/>
    </row>
    <row r="91" spans="1:51">
      <c r="A91" s="4" t="s">
        <v>632</v>
      </c>
      <c r="B91" s="13"/>
      <c r="C91" s="13"/>
      <c r="D91" s="260"/>
      <c r="E91" s="260"/>
      <c r="F91" s="260"/>
      <c r="G91" s="16"/>
      <c r="H91" s="16"/>
      <c r="I91" s="16"/>
      <c r="J91" s="604"/>
      <c r="K91" s="604"/>
      <c r="L91" s="604"/>
      <c r="M91" s="604"/>
      <c r="N91" s="604"/>
      <c r="O91" s="604"/>
      <c r="P91" s="604"/>
      <c r="Q91" s="604"/>
      <c r="R91" s="604"/>
      <c r="S91" s="604"/>
      <c r="T91" s="604"/>
      <c r="U91" s="604"/>
      <c r="V91" s="604"/>
      <c r="W91" s="604"/>
      <c r="X91" s="604"/>
      <c r="Y91" s="604"/>
      <c r="Z91" s="604"/>
      <c r="AA91" s="604"/>
      <c r="AB91" s="604"/>
      <c r="AC91" s="604"/>
      <c r="AD91" s="604"/>
      <c r="AE91" s="604"/>
      <c r="AF91" s="604"/>
      <c r="AG91" s="604"/>
      <c r="AH91" s="604"/>
      <c r="AI91" s="604"/>
      <c r="AJ91" s="604"/>
      <c r="AK91" s="604"/>
      <c r="AL91" s="604">
        <f>AL75/AH75-1</f>
        <v>8.1445335192285251E-2</v>
      </c>
      <c r="AM91" s="415">
        <f>AM75/AI75-1</f>
        <v>0.14404133310622824</v>
      </c>
      <c r="AN91" s="285"/>
      <c r="AO91" s="13"/>
      <c r="AP91" s="13"/>
      <c r="AQ91" s="16"/>
      <c r="AR91" s="16"/>
      <c r="AS91" s="16"/>
      <c r="AT91" s="16"/>
      <c r="AU91" s="16"/>
      <c r="AV91" s="16"/>
      <c r="AW91" s="16"/>
      <c r="AX91" s="16"/>
      <c r="AY91" s="16"/>
    </row>
    <row r="92" spans="1:51">
      <c r="A92" s="4" t="s">
        <v>85</v>
      </c>
      <c r="B92" s="13"/>
      <c r="C92" s="13"/>
      <c r="D92" s="260"/>
      <c r="E92" s="260"/>
      <c r="F92" s="260"/>
      <c r="G92" s="16"/>
      <c r="H92" s="16"/>
      <c r="I92" s="16"/>
      <c r="J92" s="16" t="e">
        <f t="shared" ref="J92:AK92" si="33">J76/F76-1</f>
        <v>#REF!</v>
      </c>
      <c r="K92" s="16" t="e">
        <f t="shared" si="33"/>
        <v>#REF!</v>
      </c>
      <c r="L92" s="16" t="e">
        <f t="shared" si="33"/>
        <v>#REF!</v>
      </c>
      <c r="M92" s="16" t="e">
        <f t="shared" si="33"/>
        <v>#REF!</v>
      </c>
      <c r="N92" s="16">
        <f t="shared" si="33"/>
        <v>4.005728153506749E-2</v>
      </c>
      <c r="O92" s="16" t="e">
        <f t="shared" si="33"/>
        <v>#REF!</v>
      </c>
      <c r="P92" s="16" t="e">
        <f t="shared" si="33"/>
        <v>#REF!</v>
      </c>
      <c r="Q92" s="16" t="e">
        <f t="shared" si="33"/>
        <v>#REF!</v>
      </c>
      <c r="R92" s="16">
        <f t="shared" si="33"/>
        <v>0.13951947915764329</v>
      </c>
      <c r="S92" s="16">
        <f t="shared" si="33"/>
        <v>1.8288690470879221E-2</v>
      </c>
      <c r="T92" s="16">
        <f t="shared" si="33"/>
        <v>1.0208040569734456E-2</v>
      </c>
      <c r="U92" s="16">
        <f t="shared" si="33"/>
        <v>7.1461431426686817E-2</v>
      </c>
      <c r="V92" s="16">
        <f t="shared" si="33"/>
        <v>0.12430103543159698</v>
      </c>
      <c r="W92" s="16">
        <f t="shared" si="33"/>
        <v>0.3086501893757021</v>
      </c>
      <c r="X92" s="16">
        <f t="shared" si="33"/>
        <v>0.27579385131358314</v>
      </c>
      <c r="Y92" s="16">
        <f t="shared" si="33"/>
        <v>0.36292792785573802</v>
      </c>
      <c r="Z92" s="16">
        <f t="shared" si="33"/>
        <v>0.37110153869305118</v>
      </c>
      <c r="AA92" s="16">
        <f t="shared" si="33"/>
        <v>0.29541899731803611</v>
      </c>
      <c r="AB92" s="16">
        <f t="shared" si="33"/>
        <v>0.16679933665008284</v>
      </c>
      <c r="AC92" s="16">
        <f t="shared" si="33"/>
        <v>8.1118088092533958E-2</v>
      </c>
      <c r="AD92" s="16">
        <f t="shared" si="33"/>
        <v>0.14617131176216391</v>
      </c>
      <c r="AE92" s="16">
        <f t="shared" si="33"/>
        <v>6.527774061488234E-2</v>
      </c>
      <c r="AF92" s="16">
        <f t="shared" si="33"/>
        <v>0.22526578356405791</v>
      </c>
      <c r="AG92" s="16">
        <f t="shared" si="33"/>
        <v>0.20209138440554653</v>
      </c>
      <c r="AH92" s="16">
        <f t="shared" si="33"/>
        <v>-0.17853252738045366</v>
      </c>
      <c r="AI92" s="16">
        <f>AI76/AE76-1</f>
        <v>0.19185340077425206</v>
      </c>
      <c r="AJ92" s="16">
        <f t="shared" si="33"/>
        <v>0.14900428908241503</v>
      </c>
      <c r="AK92" s="16">
        <f t="shared" si="33"/>
        <v>-0.26011049275988751</v>
      </c>
      <c r="AL92" s="16">
        <f>AL76/AH76-1</f>
        <v>9.5447293073678052E-2</v>
      </c>
      <c r="AM92" s="9">
        <f>AM76/AI76-1</f>
        <v>-0.13844994751143624</v>
      </c>
      <c r="AN92" s="285"/>
      <c r="AO92" s="13"/>
      <c r="AP92" s="13"/>
      <c r="AQ92" s="16"/>
      <c r="AR92" s="16"/>
      <c r="AS92" s="16"/>
      <c r="AT92" s="16"/>
      <c r="AU92" s="16"/>
      <c r="AV92" s="16"/>
      <c r="AW92" s="16"/>
      <c r="AX92" s="16"/>
      <c r="AY92" s="16"/>
    </row>
    <row r="93" spans="1:51">
      <c r="A93" s="4"/>
      <c r="B93" s="13"/>
      <c r="C93" s="13"/>
      <c r="D93" s="260"/>
      <c r="E93" s="260"/>
      <c r="F93" s="260"/>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285"/>
      <c r="AO93" s="13"/>
      <c r="AP93" s="13"/>
      <c r="AQ93" s="16"/>
      <c r="AR93" s="16"/>
      <c r="AS93" s="16"/>
      <c r="AT93" s="16"/>
      <c r="AU93" s="16"/>
      <c r="AV93" s="16"/>
      <c r="AW93" s="16"/>
      <c r="AX93" s="16"/>
      <c r="AY93" s="16"/>
    </row>
    <row r="94" spans="1:51">
      <c r="A94" s="4" t="s">
        <v>635</v>
      </c>
      <c r="B94" s="13"/>
      <c r="C94" s="13"/>
      <c r="D94" s="13"/>
      <c r="E94" s="13"/>
      <c r="F94" s="13"/>
      <c r="G94" s="13"/>
      <c r="H94" s="13"/>
      <c r="I94" s="13"/>
      <c r="J94" s="16" t="e">
        <f t="shared" ref="J94:AM94" si="34">(J72+J73+J76)/(F72+F73+F76)-1</f>
        <v>#REF!</v>
      </c>
      <c r="K94" s="16" t="e">
        <f t="shared" si="34"/>
        <v>#REF!</v>
      </c>
      <c r="L94" s="16" t="e">
        <f t="shared" si="34"/>
        <v>#REF!</v>
      </c>
      <c r="M94" s="16" t="e">
        <f t="shared" si="34"/>
        <v>#REF!</v>
      </c>
      <c r="N94" s="16">
        <f t="shared" si="34"/>
        <v>0.12271776970535941</v>
      </c>
      <c r="O94" s="16" t="e">
        <f t="shared" si="34"/>
        <v>#REF!</v>
      </c>
      <c r="P94" s="16" t="e">
        <f t="shared" si="34"/>
        <v>#REF!</v>
      </c>
      <c r="Q94" s="16" t="e">
        <f t="shared" si="34"/>
        <v>#REF!</v>
      </c>
      <c r="R94" s="16">
        <f t="shared" si="34"/>
        <v>0.1497854204113156</v>
      </c>
      <c r="S94" s="16">
        <f t="shared" si="34"/>
        <v>0.17172945204868273</v>
      </c>
      <c r="T94" s="16">
        <f t="shared" si="34"/>
        <v>0.12433424623409928</v>
      </c>
      <c r="U94" s="16">
        <f t="shared" si="34"/>
        <v>0.15082894486570031</v>
      </c>
      <c r="V94" s="16">
        <f t="shared" si="34"/>
        <v>0.11782890776052679</v>
      </c>
      <c r="W94" s="16">
        <f t="shared" si="34"/>
        <v>0.18861739795645427</v>
      </c>
      <c r="X94" s="16">
        <f t="shared" si="34"/>
        <v>0.19792849888599351</v>
      </c>
      <c r="Y94" s="16">
        <f t="shared" si="34"/>
        <v>0.23511289311166239</v>
      </c>
      <c r="Z94" s="16">
        <f t="shared" si="34"/>
        <v>0.43630331484559148</v>
      </c>
      <c r="AA94" s="16">
        <f t="shared" si="34"/>
        <v>0.37717325972262428</v>
      </c>
      <c r="AB94" s="16">
        <f t="shared" si="34"/>
        <v>0.40567164179104465</v>
      </c>
      <c r="AC94" s="16">
        <f t="shared" si="34"/>
        <v>0.330396759834094</v>
      </c>
      <c r="AD94" s="16">
        <f t="shared" si="34"/>
        <v>0.18792368577527219</v>
      </c>
      <c r="AE94" s="16">
        <f t="shared" si="34"/>
        <v>0.15026682954314508</v>
      </c>
      <c r="AF94" s="16">
        <f t="shared" si="34"/>
        <v>0.12191083563389249</v>
      </c>
      <c r="AG94" s="16">
        <f t="shared" si="34"/>
        <v>0.15620429150896431</v>
      </c>
      <c r="AH94" s="16">
        <f t="shared" si="34"/>
        <v>4.4014258374300175E-2</v>
      </c>
      <c r="AI94" s="16">
        <f t="shared" si="34"/>
        <v>0.13753291747031238</v>
      </c>
      <c r="AJ94" s="16">
        <f t="shared" si="34"/>
        <v>0.14401227977297792</v>
      </c>
      <c r="AK94" s="16">
        <f t="shared" si="34"/>
        <v>-2.1330943562150151E-2</v>
      </c>
      <c r="AL94" s="16">
        <f t="shared" si="34"/>
        <v>5.7993569656905608E-2</v>
      </c>
      <c r="AM94" s="16">
        <f t="shared" si="34"/>
        <v>1.4862023856007989E-2</v>
      </c>
      <c r="AN94" s="285"/>
      <c r="AO94" s="13"/>
      <c r="AP94" s="13"/>
      <c r="AQ94" s="13"/>
      <c r="AR94" s="13"/>
      <c r="AS94" s="13"/>
      <c r="AT94" s="4"/>
      <c r="AU94" s="4"/>
      <c r="AV94" s="4"/>
      <c r="AW94" s="4"/>
      <c r="AX94" s="4"/>
      <c r="AY94" s="4"/>
    </row>
    <row r="95" spans="1:51">
      <c r="A95" s="4" t="s">
        <v>636</v>
      </c>
      <c r="B95" s="13"/>
      <c r="C95" s="13"/>
      <c r="D95" s="13"/>
      <c r="E95" s="13"/>
      <c r="F95" s="13"/>
      <c r="G95" s="13"/>
      <c r="H95" s="13"/>
      <c r="I95" s="13"/>
      <c r="J95" s="16"/>
      <c r="K95" s="16"/>
      <c r="L95" s="16"/>
      <c r="M95" s="16"/>
      <c r="N95" s="16"/>
      <c r="O95" s="16"/>
      <c r="P95" s="16"/>
      <c r="Q95" s="16"/>
      <c r="R95" s="16"/>
      <c r="S95" s="16"/>
      <c r="T95" s="16"/>
      <c r="U95" s="16"/>
      <c r="V95" s="16"/>
      <c r="W95" s="16"/>
      <c r="X95" s="16">
        <f t="shared" ref="X95:AM95" si="35">(X73+X74+X76)/(T73+T74+T76)-1</f>
        <v>4.0379509702148209E-2</v>
      </c>
      <c r="Y95" s="16">
        <f t="shared" si="35"/>
        <v>0.10853142378598846</v>
      </c>
      <c r="Z95" s="16">
        <f t="shared" si="35"/>
        <v>0.47431960995593814</v>
      </c>
      <c r="AA95" s="16">
        <f t="shared" si="35"/>
        <v>0.48043073893600519</v>
      </c>
      <c r="AB95" s="16">
        <f t="shared" si="35"/>
        <v>0.45053564295311754</v>
      </c>
      <c r="AC95" s="16">
        <f t="shared" si="35"/>
        <v>0.45832939205167378</v>
      </c>
      <c r="AD95" s="16">
        <f t="shared" si="35"/>
        <v>0.32829518844741123</v>
      </c>
      <c r="AE95" s="16">
        <f t="shared" si="35"/>
        <v>0.25857015419905682</v>
      </c>
      <c r="AF95" s="16">
        <f t="shared" si="35"/>
        <v>0.22562551009678677</v>
      </c>
      <c r="AG95" s="16">
        <f t="shared" si="35"/>
        <v>0.19128619843727912</v>
      </c>
      <c r="AH95" s="16">
        <f t="shared" si="35"/>
        <v>3.3537208208964886E-2</v>
      </c>
      <c r="AI95" s="16">
        <f t="shared" si="35"/>
        <v>0.13516669198055919</v>
      </c>
      <c r="AJ95" s="16">
        <f t="shared" si="35"/>
        <v>0.12470164322197763</v>
      </c>
      <c r="AK95" s="16">
        <f t="shared" si="35"/>
        <v>-3.3183732678927713E-2</v>
      </c>
      <c r="AL95" s="16">
        <f t="shared" si="35"/>
        <v>7.0321806654564112E-2</v>
      </c>
      <c r="AM95" s="16">
        <f t="shared" si="35"/>
        <v>1.3893650806924285E-2</v>
      </c>
      <c r="AN95" s="285"/>
      <c r="AO95" s="13"/>
      <c r="AP95" s="13"/>
      <c r="AQ95" s="13"/>
      <c r="AR95" s="13"/>
      <c r="AS95" s="13"/>
      <c r="AT95" s="4"/>
      <c r="AU95" s="4"/>
      <c r="AV95" s="4"/>
      <c r="AW95" s="4"/>
      <c r="AX95" s="4"/>
      <c r="AY95" s="4"/>
    </row>
    <row r="96" spans="1:51">
      <c r="A96" s="251" t="s">
        <v>637</v>
      </c>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252"/>
      <c r="AF96" s="252"/>
      <c r="AG96" s="252"/>
      <c r="AH96" s="252"/>
      <c r="AI96" s="252"/>
      <c r="AJ96" s="252"/>
      <c r="AK96" s="252"/>
      <c r="AL96" s="252"/>
      <c r="AM96" s="252"/>
      <c r="AN96" s="1252"/>
      <c r="AO96" s="273"/>
      <c r="AP96" s="273"/>
      <c r="AQ96" s="273"/>
      <c r="AR96" s="273"/>
      <c r="AS96" s="273"/>
      <c r="AT96" s="273"/>
      <c r="AU96" s="273"/>
      <c r="AV96" s="273"/>
      <c r="AW96" s="273"/>
      <c r="AX96" s="273"/>
      <c r="AY96" s="273"/>
    </row>
    <row r="97" spans="1:53">
      <c r="A97" s="4" t="s">
        <v>621</v>
      </c>
      <c r="B97" s="13"/>
      <c r="C97" s="13"/>
      <c r="D97" s="13"/>
      <c r="E97" s="13"/>
      <c r="F97" s="13"/>
      <c r="G97" s="13"/>
      <c r="H97" s="13"/>
      <c r="I97" s="13"/>
      <c r="J97" s="13"/>
      <c r="K97" s="13"/>
      <c r="L97" s="13"/>
      <c r="M97" s="13"/>
      <c r="N97" s="13">
        <f t="shared" ref="N97:AK102" si="36">N$4*(N45/100)</f>
        <v>0</v>
      </c>
      <c r="O97" s="13">
        <f t="shared" si="36"/>
        <v>0</v>
      </c>
      <c r="P97" s="13">
        <f t="shared" si="36"/>
        <v>0</v>
      </c>
      <c r="Q97" s="13">
        <f t="shared" si="36"/>
        <v>0</v>
      </c>
      <c r="R97" s="13">
        <f t="shared" si="36"/>
        <v>0</v>
      </c>
      <c r="S97" s="13">
        <f t="shared" si="36"/>
        <v>0</v>
      </c>
      <c r="T97" s="13">
        <f t="shared" si="36"/>
        <v>0</v>
      </c>
      <c r="U97" s="13">
        <f t="shared" si="36"/>
        <v>24.768071448506841</v>
      </c>
      <c r="V97" s="13">
        <f t="shared" si="36"/>
        <v>22.384</v>
      </c>
      <c r="W97" s="13">
        <f t="shared" si="36"/>
        <v>25.403600000000008</v>
      </c>
      <c r="X97" s="13">
        <f t="shared" si="36"/>
        <v>26.692800000000002</v>
      </c>
      <c r="Y97" s="13">
        <f t="shared" si="36"/>
        <v>27.536000000000001</v>
      </c>
      <c r="Z97" s="13">
        <f t="shared" si="36"/>
        <v>27.958000000000002</v>
      </c>
      <c r="AA97" s="13">
        <f t="shared" si="36"/>
        <v>27.025600000000001</v>
      </c>
      <c r="AB97" s="13">
        <f t="shared" si="36"/>
        <v>23.932800000000004</v>
      </c>
      <c r="AC97" s="13">
        <f t="shared" si="36"/>
        <v>24.866800000000001</v>
      </c>
      <c r="AD97" s="13">
        <f t="shared" si="36"/>
        <v>25.063499999999998</v>
      </c>
      <c r="AE97" s="13">
        <f t="shared" si="36"/>
        <v>25.924499999999998</v>
      </c>
      <c r="AF97" s="13">
        <f t="shared" si="36"/>
        <v>24.918299999999999</v>
      </c>
      <c r="AG97" s="13">
        <f t="shared" si="36"/>
        <v>25.117999999999999</v>
      </c>
      <c r="AH97" s="13">
        <f t="shared" si="36"/>
        <v>25.549200000000003</v>
      </c>
      <c r="AI97" s="13">
        <f t="shared" si="36"/>
        <v>24.750900000000005</v>
      </c>
      <c r="AJ97" s="13">
        <f t="shared" si="36"/>
        <v>21.995999999999999</v>
      </c>
      <c r="AK97" s="13">
        <f t="shared" si="36"/>
        <v>21.9102</v>
      </c>
      <c r="AL97" s="335"/>
      <c r="AM97" s="335"/>
      <c r="AN97" s="308"/>
      <c r="AO97" s="13"/>
      <c r="AP97" s="14"/>
      <c r="AQ97" s="14"/>
      <c r="AR97" s="13"/>
      <c r="AS97" s="13">
        <f t="shared" ref="AS97:AY102" si="37">AS$4*(AS45/100)</f>
        <v>0</v>
      </c>
      <c r="AT97" s="13">
        <f t="shared" si="37"/>
        <v>0</v>
      </c>
      <c r="AU97" s="13">
        <f t="shared" si="37"/>
        <v>88.825471698113219</v>
      </c>
      <c r="AV97" s="13">
        <f t="shared" si="37"/>
        <v>98.548900000000003</v>
      </c>
      <c r="AW97" s="13">
        <f t="shared" si="37"/>
        <v>103.97999999999999</v>
      </c>
      <c r="AX97" s="13">
        <f t="shared" si="37"/>
        <v>101.17170000000002</v>
      </c>
      <c r="AY97" s="13">
        <f t="shared" si="37"/>
        <v>93.4405</v>
      </c>
    </row>
    <row r="98" spans="1:53">
      <c r="A98" s="4" t="s">
        <v>622</v>
      </c>
      <c r="B98" s="13"/>
      <c r="C98" s="13"/>
      <c r="D98" s="13"/>
      <c r="E98" s="13"/>
      <c r="F98" s="13"/>
      <c r="G98" s="13"/>
      <c r="H98" s="13"/>
      <c r="I98" s="13"/>
      <c r="J98" s="13"/>
      <c r="K98" s="13"/>
      <c r="L98" s="13"/>
      <c r="M98" s="13"/>
      <c r="N98" s="13">
        <f t="shared" si="36"/>
        <v>0</v>
      </c>
      <c r="O98" s="13">
        <f t="shared" si="36"/>
        <v>0</v>
      </c>
      <c r="P98" s="13">
        <f t="shared" si="36"/>
        <v>0</v>
      </c>
      <c r="Q98" s="13">
        <f t="shared" si="36"/>
        <v>0</v>
      </c>
      <c r="R98" s="13">
        <f t="shared" si="36"/>
        <v>0</v>
      </c>
      <c r="S98" s="13">
        <f t="shared" si="36"/>
        <v>0</v>
      </c>
      <c r="T98" s="13">
        <f t="shared" si="36"/>
        <v>0</v>
      </c>
      <c r="U98" s="13">
        <f t="shared" si="36"/>
        <v>21.672062517443486</v>
      </c>
      <c r="V98" s="13">
        <f t="shared" si="36"/>
        <v>20.4254</v>
      </c>
      <c r="W98" s="13">
        <f t="shared" si="36"/>
        <v>23.080100000000002</v>
      </c>
      <c r="X98" s="13">
        <f t="shared" si="36"/>
        <v>24.602400000000003</v>
      </c>
      <c r="Y98" s="13">
        <f t="shared" si="36"/>
        <v>25.814999999999998</v>
      </c>
      <c r="Z98" s="13">
        <f t="shared" si="36"/>
        <v>28.956499999999995</v>
      </c>
      <c r="AA98" s="13">
        <f t="shared" si="36"/>
        <v>30.430399999999999</v>
      </c>
      <c r="AB98" s="13">
        <f t="shared" si="36"/>
        <v>31.024000000000001</v>
      </c>
      <c r="AC98" s="13">
        <f t="shared" si="36"/>
        <v>29.514800000000001</v>
      </c>
      <c r="AD98" s="13">
        <f t="shared" si="36"/>
        <v>30.0762</v>
      </c>
      <c r="AE98" s="13">
        <f t="shared" si="36"/>
        <v>31.109400000000001</v>
      </c>
      <c r="AF98" s="13">
        <f t="shared" si="36"/>
        <v>29.700600000000001</v>
      </c>
      <c r="AG98" s="13">
        <f t="shared" si="36"/>
        <v>29.348399999999998</v>
      </c>
      <c r="AH98" s="13">
        <f t="shared" si="36"/>
        <v>31.257000000000001</v>
      </c>
      <c r="AI98" s="13">
        <f t="shared" si="36"/>
        <v>33.650100000000002</v>
      </c>
      <c r="AJ98" s="13">
        <f t="shared" si="36"/>
        <v>31.866</v>
      </c>
      <c r="AK98" s="13">
        <f t="shared" si="36"/>
        <v>31.460799999999995</v>
      </c>
      <c r="AL98" s="335"/>
      <c r="AM98" s="335"/>
      <c r="AN98" s="308"/>
      <c r="AO98" s="13"/>
      <c r="AP98" s="14"/>
      <c r="AQ98" s="14"/>
      <c r="AR98" s="13"/>
      <c r="AS98" s="13">
        <f t="shared" si="37"/>
        <v>0</v>
      </c>
      <c r="AT98" s="13">
        <f t="shared" si="37"/>
        <v>0</v>
      </c>
      <c r="AU98" s="13">
        <f t="shared" si="37"/>
        <v>88.825471698113219</v>
      </c>
      <c r="AV98" s="13">
        <f t="shared" si="37"/>
        <v>94.782700000000006</v>
      </c>
      <c r="AW98" s="13">
        <f t="shared" si="37"/>
        <v>119.57700000000001</v>
      </c>
      <c r="AX98" s="13">
        <f t="shared" si="37"/>
        <v>120.20399999999999</v>
      </c>
      <c r="AY98" s="13">
        <f t="shared" si="37"/>
        <v>126.4195</v>
      </c>
    </row>
    <row r="99" spans="1:53">
      <c r="A99" s="4" t="s">
        <v>623</v>
      </c>
      <c r="B99" s="13"/>
      <c r="C99" s="13"/>
      <c r="D99" s="13"/>
      <c r="E99" s="13"/>
      <c r="F99" s="13"/>
      <c r="G99" s="13"/>
      <c r="H99" s="13"/>
      <c r="I99" s="13"/>
      <c r="J99" s="13"/>
      <c r="K99" s="13"/>
      <c r="L99" s="13"/>
      <c r="M99" s="13"/>
      <c r="N99" s="13">
        <f t="shared" si="36"/>
        <v>0</v>
      </c>
      <c r="O99" s="13">
        <f t="shared" si="36"/>
        <v>0</v>
      </c>
      <c r="P99" s="13">
        <f t="shared" si="36"/>
        <v>0</v>
      </c>
      <c r="Q99" s="13">
        <f t="shared" si="36"/>
        <v>0</v>
      </c>
      <c r="R99" s="13">
        <f t="shared" si="36"/>
        <v>0</v>
      </c>
      <c r="S99" s="13">
        <f t="shared" si="36"/>
        <v>0</v>
      </c>
      <c r="T99" s="13">
        <f t="shared" si="36"/>
        <v>0</v>
      </c>
      <c r="U99" s="13">
        <f t="shared" si="36"/>
        <v>32.508093776165225</v>
      </c>
      <c r="V99" s="13">
        <f t="shared" si="36"/>
        <v>26.581000000000003</v>
      </c>
      <c r="W99" s="13">
        <f t="shared" si="36"/>
        <v>29.7408</v>
      </c>
      <c r="X99" s="13">
        <f t="shared" si="36"/>
        <v>30.873600000000003</v>
      </c>
      <c r="Y99" s="13">
        <f t="shared" si="36"/>
        <v>39.582999999999998</v>
      </c>
      <c r="Z99" s="13">
        <f t="shared" si="36"/>
        <v>40.339400000000005</v>
      </c>
      <c r="AA99" s="13">
        <f t="shared" si="36"/>
        <v>43.836799999999997</v>
      </c>
      <c r="AB99" s="13">
        <f t="shared" si="36"/>
        <v>45.427999999999997</v>
      </c>
      <c r="AC99" s="13">
        <f t="shared" si="36"/>
        <v>51.128</v>
      </c>
      <c r="AD99" s="13">
        <f t="shared" si="36"/>
        <v>55.617100000000001</v>
      </c>
      <c r="AE99" s="13">
        <f t="shared" si="36"/>
        <v>57.033900000000003</v>
      </c>
      <c r="AF99" s="13">
        <f t="shared" si="36"/>
        <v>60.156299999999995</v>
      </c>
      <c r="AG99" s="13">
        <f t="shared" si="36"/>
        <v>62.398399999999995</v>
      </c>
      <c r="AH99" s="13">
        <f t="shared" si="36"/>
        <v>65.231999999999999</v>
      </c>
      <c r="AI99" s="13">
        <f t="shared" si="36"/>
        <v>68.134500000000003</v>
      </c>
      <c r="AJ99" s="13">
        <f t="shared" si="36"/>
        <v>72.474000000000004</v>
      </c>
      <c r="AK99" s="13">
        <f t="shared" si="36"/>
        <v>70.786799999999999</v>
      </c>
      <c r="AL99" s="335"/>
      <c r="AM99" s="335"/>
      <c r="AN99" s="308"/>
      <c r="AO99" s="13"/>
      <c r="AP99" s="14"/>
      <c r="AQ99" s="14"/>
      <c r="AR99" s="299"/>
      <c r="AS99" s="299">
        <f t="shared" ref="AS99:AT99" si="38">AS$4*(19/100)</f>
        <v>86.45</v>
      </c>
      <c r="AT99" s="299">
        <f t="shared" si="38"/>
        <v>100.13</v>
      </c>
      <c r="AU99" s="299">
        <f>AU$4*(19/100)</f>
        <v>112.51226415094341</v>
      </c>
      <c r="AV99" s="299">
        <f>AV$4*(19/100)</f>
        <v>119.26300000000001</v>
      </c>
      <c r="AW99" s="299">
        <f>AW$4*(19/100)</f>
        <v>164.63499999999999</v>
      </c>
      <c r="AX99" s="299">
        <f t="shared" si="37"/>
        <v>235.39949999999996</v>
      </c>
      <c r="AY99" s="299">
        <f t="shared" si="37"/>
        <v>273.72569999999996</v>
      </c>
    </row>
    <row r="100" spans="1:53">
      <c r="A100" s="4" t="s">
        <v>624</v>
      </c>
      <c r="B100" s="13"/>
      <c r="C100" s="13"/>
      <c r="D100" s="13"/>
      <c r="E100" s="13"/>
      <c r="F100" s="13"/>
      <c r="G100" s="13"/>
      <c r="H100" s="13"/>
      <c r="I100" s="13"/>
      <c r="J100" s="13"/>
      <c r="K100" s="13"/>
      <c r="L100" s="13"/>
      <c r="M100" s="13"/>
      <c r="N100" s="13">
        <f t="shared" si="36"/>
        <v>0</v>
      </c>
      <c r="O100" s="13">
        <f t="shared" si="36"/>
        <v>0</v>
      </c>
      <c r="P100" s="13">
        <f t="shared" si="36"/>
        <v>0</v>
      </c>
      <c r="Q100" s="13">
        <f t="shared" si="36"/>
        <v>0</v>
      </c>
      <c r="R100" s="13">
        <f t="shared" si="36"/>
        <v>0</v>
      </c>
      <c r="S100" s="13">
        <f t="shared" si="36"/>
        <v>0</v>
      </c>
      <c r="T100" s="13">
        <f t="shared" si="36"/>
        <v>0</v>
      </c>
      <c r="U100" s="13">
        <f t="shared" si="36"/>
        <v>27.864080379570193</v>
      </c>
      <c r="V100" s="13">
        <f t="shared" si="36"/>
        <v>26.860800000000001</v>
      </c>
      <c r="W100" s="13">
        <f t="shared" si="36"/>
        <v>32.219200000000001</v>
      </c>
      <c r="X100" s="13">
        <f t="shared" si="36"/>
        <v>31.677599999999998</v>
      </c>
      <c r="Y100" s="13">
        <f t="shared" si="36"/>
        <v>32.698999999999998</v>
      </c>
      <c r="Z100" s="13">
        <f t="shared" si="36"/>
        <v>34.148699999999998</v>
      </c>
      <c r="AA100" s="13">
        <f t="shared" si="36"/>
        <v>36.176000000000002</v>
      </c>
      <c r="AB100" s="13">
        <f t="shared" si="36"/>
        <v>41.217600000000004</v>
      </c>
      <c r="AC100" s="13">
        <f t="shared" si="36"/>
        <v>41.832000000000001</v>
      </c>
      <c r="AD100" s="13">
        <f t="shared" si="36"/>
        <v>43.443399999999997</v>
      </c>
      <c r="AE100" s="13">
        <f t="shared" si="36"/>
        <v>43.207499999999996</v>
      </c>
      <c r="AF100" s="13">
        <f t="shared" si="36"/>
        <v>46.816200000000002</v>
      </c>
      <c r="AG100" s="13">
        <f t="shared" si="36"/>
        <v>50.235999999999997</v>
      </c>
      <c r="AH100" s="13">
        <f t="shared" si="36"/>
        <v>54.360000000000007</v>
      </c>
      <c r="AI100" s="13">
        <f t="shared" si="36"/>
        <v>51.448500000000003</v>
      </c>
      <c r="AJ100" s="13">
        <f t="shared" si="36"/>
        <v>53.297999999999995</v>
      </c>
      <c r="AK100" s="13">
        <f t="shared" si="36"/>
        <v>53.651899999999998</v>
      </c>
      <c r="AL100" s="335"/>
      <c r="AM100" s="335"/>
      <c r="AN100" s="308"/>
      <c r="AO100" s="13"/>
      <c r="AP100" s="14"/>
      <c r="AQ100" s="14"/>
      <c r="AR100" s="13"/>
      <c r="AS100" s="13">
        <f t="shared" ref="AS100:AW102" si="39">AS$4*(AS48/100)</f>
        <v>0</v>
      </c>
      <c r="AT100" s="13">
        <f t="shared" si="39"/>
        <v>0</v>
      </c>
      <c r="AU100" s="13">
        <f t="shared" si="39"/>
        <v>106.59056603773585</v>
      </c>
      <c r="AV100" s="13">
        <f t="shared" si="39"/>
        <v>129.93389999999999</v>
      </c>
      <c r="AW100" s="13">
        <f t="shared" si="39"/>
        <v>155.1035</v>
      </c>
      <c r="AX100" s="13">
        <f t="shared" si="37"/>
        <v>183.31109999999998</v>
      </c>
      <c r="AY100" s="13">
        <f t="shared" si="37"/>
        <v>209.96629999999999</v>
      </c>
      <c r="AZ100" s="321"/>
      <c r="BA100" s="309"/>
    </row>
    <row r="101" spans="1:53">
      <c r="A101" s="4" t="s">
        <v>625</v>
      </c>
      <c r="B101" s="13"/>
      <c r="C101" s="13"/>
      <c r="D101" s="13"/>
      <c r="E101" s="13"/>
      <c r="F101" s="13"/>
      <c r="G101" s="13"/>
      <c r="H101" s="13"/>
      <c r="I101" s="13"/>
      <c r="J101" s="13"/>
      <c r="K101" s="13"/>
      <c r="L101" s="13"/>
      <c r="M101" s="13"/>
      <c r="N101" s="13">
        <f t="shared" si="36"/>
        <v>0</v>
      </c>
      <c r="O101" s="13">
        <f t="shared" si="36"/>
        <v>0</v>
      </c>
      <c r="P101" s="13">
        <f t="shared" si="36"/>
        <v>0</v>
      </c>
      <c r="Q101" s="13">
        <f t="shared" si="36"/>
        <v>0</v>
      </c>
      <c r="R101" s="13">
        <f t="shared" si="36"/>
        <v>0</v>
      </c>
      <c r="S101" s="13">
        <f t="shared" si="36"/>
        <v>0</v>
      </c>
      <c r="T101" s="13">
        <f t="shared" si="36"/>
        <v>0</v>
      </c>
      <c r="U101" s="13">
        <f t="shared" si="36"/>
        <v>44.89212950041864</v>
      </c>
      <c r="V101" s="13">
        <f t="shared" si="36"/>
        <v>40.431100000000001</v>
      </c>
      <c r="W101" s="13">
        <f t="shared" si="36"/>
        <v>41.513200000000005</v>
      </c>
      <c r="X101" s="13">
        <f t="shared" si="36"/>
        <v>44.54160000000001</v>
      </c>
      <c r="Y101" s="13">
        <f t="shared" si="36"/>
        <v>44.746000000000002</v>
      </c>
      <c r="Z101" s="13">
        <f t="shared" si="36"/>
        <v>51.722299999999997</v>
      </c>
      <c r="AA101" s="13">
        <f t="shared" si="36"/>
        <v>50.859200000000001</v>
      </c>
      <c r="AB101" s="13">
        <f t="shared" si="36"/>
        <v>54.735199999999999</v>
      </c>
      <c r="AC101" s="13">
        <f t="shared" si="36"/>
        <v>58.797200000000004</v>
      </c>
      <c r="AD101" s="13">
        <f t="shared" si="36"/>
        <v>57.765399999999993</v>
      </c>
      <c r="AE101" s="13">
        <f t="shared" si="36"/>
        <v>63.700200000000002</v>
      </c>
      <c r="AF101" s="13">
        <f t="shared" si="36"/>
        <v>67.203900000000004</v>
      </c>
      <c r="AG101" s="13">
        <f t="shared" si="36"/>
        <v>73.238799999999983</v>
      </c>
      <c r="AH101" s="13">
        <f t="shared" si="36"/>
        <v>69.580800000000011</v>
      </c>
      <c r="AI101" s="13">
        <f t="shared" si="36"/>
        <v>73.974600000000009</v>
      </c>
      <c r="AJ101" s="13">
        <f t="shared" si="36"/>
        <v>76.422000000000011</v>
      </c>
      <c r="AK101" s="13">
        <f t="shared" si="36"/>
        <v>76.685699999999997</v>
      </c>
      <c r="AL101" s="335"/>
      <c r="AM101" s="335"/>
      <c r="AN101" s="308"/>
      <c r="AO101" s="13"/>
      <c r="AP101" s="14"/>
      <c r="AQ101" s="14"/>
      <c r="AR101" s="13"/>
      <c r="AS101" s="13">
        <f t="shared" si="39"/>
        <v>0</v>
      </c>
      <c r="AT101" s="13">
        <f t="shared" si="39"/>
        <v>0</v>
      </c>
      <c r="AU101" s="13">
        <f t="shared" si="39"/>
        <v>189.49433962264152</v>
      </c>
      <c r="AV101" s="13">
        <f t="shared" si="39"/>
        <v>169.47900000000001</v>
      </c>
      <c r="AW101" s="13">
        <f t="shared" si="39"/>
        <v>214.892</v>
      </c>
      <c r="AX101" s="13">
        <f t="shared" si="37"/>
        <v>262.44540000000001</v>
      </c>
      <c r="AY101" s="13">
        <f t="shared" si="37"/>
        <v>293.51310000000001</v>
      </c>
      <c r="AZ101" s="321"/>
      <c r="BA101" s="309"/>
    </row>
    <row r="102" spans="1:53">
      <c r="A102" s="4" t="s">
        <v>626</v>
      </c>
      <c r="B102" s="13"/>
      <c r="C102" s="13"/>
      <c r="D102" s="13"/>
      <c r="E102" s="13"/>
      <c r="F102" s="13"/>
      <c r="G102" s="13"/>
      <c r="H102" s="13"/>
      <c r="I102" s="13"/>
      <c r="J102" s="13"/>
      <c r="K102" s="13"/>
      <c r="L102" s="13"/>
      <c r="M102" s="13"/>
      <c r="N102" s="13">
        <f t="shared" si="36"/>
        <v>0</v>
      </c>
      <c r="O102" s="13">
        <f t="shared" si="36"/>
        <v>0</v>
      </c>
      <c r="P102" s="13">
        <f t="shared" si="36"/>
        <v>0</v>
      </c>
      <c r="Q102" s="13">
        <f t="shared" si="36"/>
        <v>0</v>
      </c>
      <c r="R102" s="13">
        <f t="shared" si="36"/>
        <v>0</v>
      </c>
      <c r="S102" s="13">
        <f t="shared" si="36"/>
        <v>0</v>
      </c>
      <c r="T102" s="13">
        <f t="shared" si="36"/>
        <v>0</v>
      </c>
      <c r="U102" s="13">
        <f t="shared" si="36"/>
        <v>3.0960089310633552</v>
      </c>
      <c r="V102" s="13">
        <f t="shared" si="36"/>
        <v>3.2177000000000002</v>
      </c>
      <c r="W102" s="13">
        <f t="shared" si="36"/>
        <v>2.9430999999999998</v>
      </c>
      <c r="X102" s="13">
        <f t="shared" si="36"/>
        <v>2.4119999999999999</v>
      </c>
      <c r="Y102" s="13">
        <f t="shared" si="36"/>
        <v>1.7210000000000001</v>
      </c>
      <c r="Z102" s="13">
        <f t="shared" si="36"/>
        <v>16.575099999999999</v>
      </c>
      <c r="AA102" s="13">
        <f t="shared" si="36"/>
        <v>24.472000000000001</v>
      </c>
      <c r="AB102" s="13">
        <f t="shared" si="36"/>
        <v>25.2624</v>
      </c>
      <c r="AC102" s="13">
        <f t="shared" si="36"/>
        <v>26.028799999999997</v>
      </c>
      <c r="AD102" s="13">
        <f t="shared" si="36"/>
        <v>26.495699999999999</v>
      </c>
      <c r="AE102" s="13">
        <f t="shared" si="36"/>
        <v>25.677600000000002</v>
      </c>
      <c r="AF102" s="13">
        <f t="shared" si="36"/>
        <v>22.904699999999998</v>
      </c>
      <c r="AG102" s="13">
        <f t="shared" si="36"/>
        <v>23.795999999999996</v>
      </c>
      <c r="AH102" s="13">
        <f t="shared" si="36"/>
        <v>25.821000000000002</v>
      </c>
      <c r="AI102" s="13">
        <f t="shared" si="36"/>
        <v>26.419500000000003</v>
      </c>
      <c r="AJ102" s="13">
        <f t="shared" si="36"/>
        <v>25.943999999999999</v>
      </c>
      <c r="AK102" s="13">
        <f t="shared" si="36"/>
        <v>26.404599999999999</v>
      </c>
      <c r="AL102" s="335"/>
      <c r="AM102" s="335"/>
      <c r="AN102" s="308"/>
      <c r="AO102" s="14"/>
      <c r="AP102" s="14"/>
      <c r="AQ102" s="14"/>
      <c r="AR102" s="13"/>
      <c r="AS102" s="13">
        <f t="shared" si="39"/>
        <v>0</v>
      </c>
      <c r="AT102" s="13">
        <f t="shared" si="39"/>
        <v>0</v>
      </c>
      <c r="AU102" s="13">
        <f t="shared" si="39"/>
        <v>11.843396226415095</v>
      </c>
      <c r="AV102" s="13">
        <f t="shared" si="39"/>
        <v>12.554000000000002</v>
      </c>
      <c r="AW102" s="13">
        <f t="shared" si="39"/>
        <v>92.715499999999992</v>
      </c>
      <c r="AX102" s="13">
        <f t="shared" si="37"/>
        <v>99.168300000000002</v>
      </c>
      <c r="AY102" s="13">
        <f t="shared" si="37"/>
        <v>103.3342</v>
      </c>
    </row>
    <row r="103" spans="1:53">
      <c r="A103" s="10" t="s">
        <v>279</v>
      </c>
      <c r="B103" s="254">
        <f t="shared" ref="B103:AM103" si="40">B97+B98+B99+B100+B101+B102</f>
        <v>0</v>
      </c>
      <c r="C103" s="254">
        <f t="shared" si="40"/>
        <v>0</v>
      </c>
      <c r="D103" s="254">
        <f t="shared" si="40"/>
        <v>0</v>
      </c>
      <c r="E103" s="254">
        <f t="shared" si="40"/>
        <v>0</v>
      </c>
      <c r="F103" s="254">
        <f t="shared" si="40"/>
        <v>0</v>
      </c>
      <c r="G103" s="254">
        <f t="shared" si="40"/>
        <v>0</v>
      </c>
      <c r="H103" s="254">
        <f t="shared" si="40"/>
        <v>0</v>
      </c>
      <c r="I103" s="254">
        <f t="shared" si="40"/>
        <v>0</v>
      </c>
      <c r="J103" s="254">
        <f t="shared" si="40"/>
        <v>0</v>
      </c>
      <c r="K103" s="254">
        <f t="shared" si="40"/>
        <v>0</v>
      </c>
      <c r="L103" s="254">
        <f t="shared" si="40"/>
        <v>0</v>
      </c>
      <c r="M103" s="254">
        <f t="shared" si="40"/>
        <v>0</v>
      </c>
      <c r="N103" s="254">
        <f t="shared" si="40"/>
        <v>0</v>
      </c>
      <c r="O103" s="254">
        <f t="shared" si="40"/>
        <v>0</v>
      </c>
      <c r="P103" s="254">
        <f t="shared" si="40"/>
        <v>0</v>
      </c>
      <c r="Q103" s="255">
        <f t="shared" si="40"/>
        <v>0</v>
      </c>
      <c r="R103" s="255">
        <f t="shared" si="40"/>
        <v>0</v>
      </c>
      <c r="S103" s="255">
        <f t="shared" si="40"/>
        <v>0</v>
      </c>
      <c r="T103" s="255">
        <f t="shared" si="40"/>
        <v>0</v>
      </c>
      <c r="U103" s="255">
        <f t="shared" si="40"/>
        <v>154.80044655316775</v>
      </c>
      <c r="V103" s="255">
        <f t="shared" si="40"/>
        <v>139.9</v>
      </c>
      <c r="W103" s="255">
        <f t="shared" si="40"/>
        <v>154.9</v>
      </c>
      <c r="X103" s="255">
        <f t="shared" si="40"/>
        <v>160.80000000000001</v>
      </c>
      <c r="Y103" s="255">
        <f t="shared" si="40"/>
        <v>172.1</v>
      </c>
      <c r="Z103" s="255">
        <f t="shared" si="40"/>
        <v>199.7</v>
      </c>
      <c r="AA103" s="255">
        <f t="shared" si="40"/>
        <v>212.79999999999998</v>
      </c>
      <c r="AB103" s="255">
        <f t="shared" si="40"/>
        <v>221.59999999999997</v>
      </c>
      <c r="AC103" s="255">
        <f t="shared" si="40"/>
        <v>232.16759999999999</v>
      </c>
      <c r="AD103" s="255">
        <f t="shared" si="40"/>
        <v>238.46129999999999</v>
      </c>
      <c r="AE103" s="255">
        <f t="shared" si="40"/>
        <v>246.65310000000002</v>
      </c>
      <c r="AF103" s="255">
        <f t="shared" si="40"/>
        <v>251.7</v>
      </c>
      <c r="AG103" s="255">
        <f t="shared" si="40"/>
        <v>264.13559999999995</v>
      </c>
      <c r="AH103" s="255">
        <f t="shared" si="40"/>
        <v>271.8</v>
      </c>
      <c r="AI103" s="255">
        <f t="shared" si="40"/>
        <v>278.37810000000002</v>
      </c>
      <c r="AJ103" s="255">
        <f t="shared" si="40"/>
        <v>282</v>
      </c>
      <c r="AK103" s="255">
        <f t="shared" si="40"/>
        <v>280.89999999999998</v>
      </c>
      <c r="AL103" s="255">
        <f t="shared" si="40"/>
        <v>0</v>
      </c>
      <c r="AM103" s="255">
        <f t="shared" si="40"/>
        <v>0</v>
      </c>
      <c r="AN103" s="1253"/>
      <c r="AO103" s="274"/>
      <c r="AP103" s="274"/>
      <c r="AQ103" s="274"/>
      <c r="AR103" s="274"/>
      <c r="AS103" s="274">
        <f t="shared" ref="AS103:AU103" si="41">SUM(AS100:AS102)</f>
        <v>0</v>
      </c>
      <c r="AT103" s="274">
        <f t="shared" si="41"/>
        <v>0</v>
      </c>
      <c r="AU103" s="274">
        <f t="shared" si="41"/>
        <v>307.9283018867925</v>
      </c>
      <c r="AV103" s="274">
        <f>SUM(AV97:AV102)</f>
        <v>624.56150000000002</v>
      </c>
      <c r="AW103" s="274">
        <f>SUM(AW97:AW102)</f>
        <v>850.90300000000002</v>
      </c>
      <c r="AX103" s="274">
        <f>SUM(AX97:AX102)</f>
        <v>1001.7</v>
      </c>
      <c r="AY103" s="274">
        <f>SUM(AY97:AY102)</f>
        <v>1100.3992999999998</v>
      </c>
    </row>
    <row r="104" spans="1:53">
      <c r="A104" s="4"/>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285"/>
      <c r="AO104" s="13"/>
      <c r="AP104" s="13"/>
      <c r="AQ104" s="13"/>
      <c r="AR104" s="13"/>
      <c r="AS104" s="13"/>
      <c r="AT104" s="4"/>
      <c r="AU104" s="4"/>
      <c r="AV104" s="4"/>
      <c r="AW104" s="4"/>
      <c r="AX104" s="4"/>
      <c r="AY104" s="4"/>
    </row>
    <row r="105" spans="1:53">
      <c r="A105" s="251" t="s">
        <v>633</v>
      </c>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1252"/>
      <c r="AO105" s="273"/>
      <c r="AP105" s="273"/>
      <c r="AQ105" s="273"/>
      <c r="AR105" s="273"/>
      <c r="AS105" s="273"/>
      <c r="AT105" s="273"/>
      <c r="AU105" s="273"/>
      <c r="AV105" s="273"/>
      <c r="AW105" s="273"/>
      <c r="AX105" s="273"/>
      <c r="AY105" s="273"/>
    </row>
    <row r="106" spans="1:53">
      <c r="A106" s="4" t="s">
        <v>621</v>
      </c>
      <c r="B106" s="13"/>
      <c r="C106" s="13"/>
      <c r="D106" s="260"/>
      <c r="E106" s="260"/>
      <c r="F106" s="260"/>
      <c r="G106" s="260"/>
      <c r="H106" s="260"/>
      <c r="I106" s="260"/>
      <c r="J106" s="260"/>
      <c r="K106" s="260"/>
      <c r="L106" s="260"/>
      <c r="M106" s="260"/>
      <c r="N106" s="260"/>
      <c r="O106" s="260"/>
      <c r="P106" s="260"/>
      <c r="Q106" s="260"/>
      <c r="R106" s="260"/>
      <c r="S106" s="497" t="e">
        <f t="shared" ref="S106:AK111" si="42">(S97/R97-1)*100</f>
        <v>#DIV/0!</v>
      </c>
      <c r="T106" s="497" t="e">
        <f t="shared" si="42"/>
        <v>#DIV/0!</v>
      </c>
      <c r="U106" s="497" t="e">
        <f t="shared" si="42"/>
        <v>#DIV/0!</v>
      </c>
      <c r="V106" s="497">
        <f t="shared" si="42"/>
        <v>-9.6255837014333494</v>
      </c>
      <c r="W106" s="497">
        <f t="shared" si="42"/>
        <v>13.489992852037203</v>
      </c>
      <c r="X106" s="497">
        <f t="shared" si="42"/>
        <v>5.0748712780865457</v>
      </c>
      <c r="Y106" s="497">
        <f t="shared" si="42"/>
        <v>3.1589042738116691</v>
      </c>
      <c r="Z106" s="497">
        <f t="shared" si="42"/>
        <v>1.5325392213829225</v>
      </c>
      <c r="AA106" s="497">
        <f t="shared" si="42"/>
        <v>-3.3350025037556352</v>
      </c>
      <c r="AB106" s="497">
        <f t="shared" si="42"/>
        <v>-11.443964241311932</v>
      </c>
      <c r="AC106" s="497">
        <f t="shared" si="42"/>
        <v>3.9025939296697398</v>
      </c>
      <c r="AD106" s="497">
        <f t="shared" si="42"/>
        <v>0.79101452539127592</v>
      </c>
      <c r="AE106" s="497">
        <f t="shared" si="42"/>
        <v>3.4352744030163418</v>
      </c>
      <c r="AF106" s="497">
        <f t="shared" si="42"/>
        <v>-3.8812706127408392</v>
      </c>
      <c r="AG106" s="497">
        <f t="shared" si="42"/>
        <v>0.80141903741426379</v>
      </c>
      <c r="AH106" s="497">
        <f t="shared" si="42"/>
        <v>1.7166971892666805</v>
      </c>
      <c r="AI106" s="497">
        <f t="shared" si="42"/>
        <v>-3.1245596731013014</v>
      </c>
      <c r="AJ106" s="497">
        <f t="shared" si="42"/>
        <v>-11.130504345296554</v>
      </c>
      <c r="AK106" s="497">
        <f t="shared" si="42"/>
        <v>-0.39007092198580784</v>
      </c>
      <c r="AL106" s="606"/>
      <c r="AM106" s="606"/>
      <c r="AN106" s="285"/>
      <c r="AO106" s="13"/>
      <c r="AP106" s="13"/>
      <c r="AQ106" s="16"/>
      <c r="AR106" s="16"/>
      <c r="AS106" s="16"/>
      <c r="AT106" s="16"/>
      <c r="AU106" s="16" t="e">
        <f t="shared" ref="AU106:AU111" si="43">AU97/AT97-1</f>
        <v>#DIV/0!</v>
      </c>
      <c r="AV106" s="312">
        <f t="shared" ref="AV106:AY111" si="44">(AV97/AU97-1)*100</f>
        <v>10.94666666666666</v>
      </c>
      <c r="AW106" s="312">
        <f t="shared" si="44"/>
        <v>5.511071153508551</v>
      </c>
      <c r="AX106" s="312">
        <f t="shared" si="44"/>
        <v>-2.7008078476629893</v>
      </c>
      <c r="AY106" s="312">
        <f t="shared" si="44"/>
        <v>-7.6416626388604918</v>
      </c>
    </row>
    <row r="107" spans="1:53">
      <c r="A107" s="4" t="s">
        <v>622</v>
      </c>
      <c r="B107" s="13"/>
      <c r="C107" s="13"/>
      <c r="D107" s="260"/>
      <c r="E107" s="260"/>
      <c r="F107" s="260"/>
      <c r="G107" s="260"/>
      <c r="H107" s="260"/>
      <c r="I107" s="260"/>
      <c r="J107" s="260"/>
      <c r="K107" s="260"/>
      <c r="L107" s="260"/>
      <c r="M107" s="260"/>
      <c r="N107" s="260"/>
      <c r="O107" s="260"/>
      <c r="P107" s="260"/>
      <c r="Q107" s="260"/>
      <c r="R107" s="260"/>
      <c r="S107" s="497" t="e">
        <f t="shared" si="42"/>
        <v>#DIV/0!</v>
      </c>
      <c r="T107" s="497" t="e">
        <f t="shared" si="42"/>
        <v>#DIV/0!</v>
      </c>
      <c r="U107" s="497" t="e">
        <f t="shared" si="42"/>
        <v>#DIV/0!</v>
      </c>
      <c r="V107" s="497">
        <f t="shared" si="42"/>
        <v>-5.7523944314947784</v>
      </c>
      <c r="W107" s="497">
        <f t="shared" si="42"/>
        <v>12.997052689298627</v>
      </c>
      <c r="X107" s="497">
        <f t="shared" si="42"/>
        <v>6.5957253218140277</v>
      </c>
      <c r="Y107" s="497">
        <f t="shared" si="42"/>
        <v>4.9287874353721284</v>
      </c>
      <c r="Z107" s="497">
        <f t="shared" si="42"/>
        <v>12.169281425527778</v>
      </c>
      <c r="AA107" s="497">
        <f t="shared" si="42"/>
        <v>5.0900488664030741</v>
      </c>
      <c r="AB107" s="497">
        <f t="shared" si="42"/>
        <v>1.9506808980493284</v>
      </c>
      <c r="AC107" s="497">
        <f t="shared" si="42"/>
        <v>-4.8646209386281614</v>
      </c>
      <c r="AD107" s="497">
        <f t="shared" si="42"/>
        <v>1.9020965752774899</v>
      </c>
      <c r="AE107" s="497">
        <f t="shared" si="42"/>
        <v>3.4352744030163418</v>
      </c>
      <c r="AF107" s="497">
        <f t="shared" si="42"/>
        <v>-4.5285347836988121</v>
      </c>
      <c r="AG107" s="497">
        <f t="shared" si="42"/>
        <v>-1.185834629603455</v>
      </c>
      <c r="AH107" s="497">
        <f t="shared" si="42"/>
        <v>6.5032506030993309</v>
      </c>
      <c r="AI107" s="497">
        <f t="shared" si="42"/>
        <v>7.6562050100777546</v>
      </c>
      <c r="AJ107" s="497">
        <f t="shared" si="42"/>
        <v>-5.3019158932662958</v>
      </c>
      <c r="AK107" s="497">
        <f t="shared" si="42"/>
        <v>-1.2715747191363924</v>
      </c>
      <c r="AL107" s="606"/>
      <c r="AM107" s="606"/>
      <c r="AN107" s="285"/>
      <c r="AO107" s="13"/>
      <c r="AP107" s="13"/>
      <c r="AQ107" s="16"/>
      <c r="AR107" s="16"/>
      <c r="AS107" s="16"/>
      <c r="AT107" s="16"/>
      <c r="AU107" s="16" t="e">
        <f t="shared" si="43"/>
        <v>#DIV/0!</v>
      </c>
      <c r="AV107" s="312">
        <f t="shared" si="44"/>
        <v>6.7066666666666608</v>
      </c>
      <c r="AW107" s="507">
        <v>27.2</v>
      </c>
      <c r="AX107" s="312">
        <f t="shared" si="44"/>
        <v>0.52434832785568375</v>
      </c>
      <c r="AY107" s="312">
        <f t="shared" si="44"/>
        <v>5.1707929852583989</v>
      </c>
    </row>
    <row r="108" spans="1:53">
      <c r="A108" s="4" t="s">
        <v>623</v>
      </c>
      <c r="B108" s="13"/>
      <c r="C108" s="13"/>
      <c r="D108" s="260"/>
      <c r="E108" s="260"/>
      <c r="F108" s="260"/>
      <c r="G108" s="260"/>
      <c r="H108" s="260"/>
      <c r="I108" s="260"/>
      <c r="J108" s="260"/>
      <c r="K108" s="260"/>
      <c r="L108" s="260"/>
      <c r="M108" s="260"/>
      <c r="N108" s="260"/>
      <c r="O108" s="260"/>
      <c r="P108" s="260"/>
      <c r="Q108" s="260"/>
      <c r="R108" s="260"/>
      <c r="S108" s="497" t="e">
        <f t="shared" si="42"/>
        <v>#DIV/0!</v>
      </c>
      <c r="T108" s="497" t="e">
        <f t="shared" si="42"/>
        <v>#DIV/0!</v>
      </c>
      <c r="U108" s="497" t="e">
        <f t="shared" si="42"/>
        <v>#DIV/0!</v>
      </c>
      <c r="V108" s="497">
        <f t="shared" si="42"/>
        <v>-18.232670967963482</v>
      </c>
      <c r="W108" s="497">
        <f t="shared" si="42"/>
        <v>11.887438395846651</v>
      </c>
      <c r="X108" s="497">
        <f t="shared" si="42"/>
        <v>3.808908973531322</v>
      </c>
      <c r="Y108" s="497">
        <f t="shared" si="42"/>
        <v>28.209862147595331</v>
      </c>
      <c r="Z108" s="497">
        <f t="shared" si="42"/>
        <v>1.9109213551272264</v>
      </c>
      <c r="AA108" s="497">
        <f t="shared" si="42"/>
        <v>8.6699355964639846</v>
      </c>
      <c r="AB108" s="497">
        <f t="shared" si="42"/>
        <v>3.629826994671137</v>
      </c>
      <c r="AC108" s="497">
        <f t="shared" si="42"/>
        <v>12.547327639341388</v>
      </c>
      <c r="AD108" s="497">
        <f t="shared" si="42"/>
        <v>8.7801204819277103</v>
      </c>
      <c r="AE108" s="497">
        <f t="shared" si="42"/>
        <v>2.5474179703724342</v>
      </c>
      <c r="AF108" s="497">
        <f t="shared" si="42"/>
        <v>5.4746387674698527</v>
      </c>
      <c r="AG108" s="497">
        <f t="shared" si="42"/>
        <v>3.7271241748578321</v>
      </c>
      <c r="AH108" s="497">
        <f t="shared" si="42"/>
        <v>4.541142080566174</v>
      </c>
      <c r="AI108" s="497">
        <f t="shared" si="42"/>
        <v>4.4495033112582849</v>
      </c>
      <c r="AJ108" s="497">
        <f t="shared" si="42"/>
        <v>6.369020099949374</v>
      </c>
      <c r="AK108" s="497">
        <f t="shared" si="42"/>
        <v>-2.3280072853713141</v>
      </c>
      <c r="AL108" s="606"/>
      <c r="AM108" s="606"/>
      <c r="AN108" s="285"/>
      <c r="AO108" s="13"/>
      <c r="AP108" s="13"/>
      <c r="AQ108" s="16"/>
      <c r="AR108" s="16"/>
      <c r="AS108" s="16"/>
      <c r="AT108" s="16"/>
      <c r="AU108" s="16">
        <f t="shared" si="43"/>
        <v>0.12366188106405085</v>
      </c>
      <c r="AV108" s="312">
        <f t="shared" si="44"/>
        <v>5.9999999999999831</v>
      </c>
      <c r="AW108" s="507">
        <v>43</v>
      </c>
      <c r="AX108" s="312">
        <f t="shared" si="44"/>
        <v>42.982658608436822</v>
      </c>
      <c r="AY108" s="312">
        <f t="shared" si="44"/>
        <v>16.281342993506787</v>
      </c>
    </row>
    <row r="109" spans="1:53">
      <c r="A109" s="4" t="s">
        <v>624</v>
      </c>
      <c r="B109" s="13"/>
      <c r="C109" s="13"/>
      <c r="D109" s="260"/>
      <c r="E109" s="260"/>
      <c r="F109" s="260"/>
      <c r="G109" s="260"/>
      <c r="H109" s="260"/>
      <c r="I109" s="260"/>
      <c r="J109" s="260"/>
      <c r="K109" s="260"/>
      <c r="L109" s="260"/>
      <c r="M109" s="260"/>
      <c r="N109" s="260"/>
      <c r="O109" s="260"/>
      <c r="P109" s="260"/>
      <c r="Q109" s="260"/>
      <c r="R109" s="260"/>
      <c r="S109" s="497" t="e">
        <f t="shared" si="42"/>
        <v>#DIV/0!</v>
      </c>
      <c r="T109" s="497" t="e">
        <f t="shared" si="42"/>
        <v>#DIV/0!</v>
      </c>
      <c r="U109" s="497" t="e">
        <f t="shared" si="42"/>
        <v>#DIV/0!</v>
      </c>
      <c r="V109" s="497">
        <f t="shared" si="42"/>
        <v>-3.6006226148622256</v>
      </c>
      <c r="W109" s="497">
        <f t="shared" si="42"/>
        <v>19.948772933047422</v>
      </c>
      <c r="X109" s="497">
        <f t="shared" si="42"/>
        <v>-1.6809852510304535</v>
      </c>
      <c r="Y109" s="497">
        <f t="shared" si="42"/>
        <v>3.2243604313458185</v>
      </c>
      <c r="Z109" s="497">
        <f t="shared" si="42"/>
        <v>4.4334689134224226</v>
      </c>
      <c r="AA109" s="497">
        <f t="shared" si="42"/>
        <v>5.9366828019807638</v>
      </c>
      <c r="AB109" s="497">
        <f t="shared" si="42"/>
        <v>13.936311366651921</v>
      </c>
      <c r="AC109" s="497">
        <f t="shared" si="42"/>
        <v>1.4906253639221934</v>
      </c>
      <c r="AD109" s="497">
        <f t="shared" si="42"/>
        <v>3.8520749665327925</v>
      </c>
      <c r="AE109" s="497">
        <f t="shared" si="42"/>
        <v>-0.54300538171505597</v>
      </c>
      <c r="AF109" s="497">
        <f t="shared" si="42"/>
        <v>8.3520222183648851</v>
      </c>
      <c r="AG109" s="497">
        <f t="shared" si="42"/>
        <v>7.3047363946667998</v>
      </c>
      <c r="AH109" s="497">
        <f t="shared" si="42"/>
        <v>8.2092523290071107</v>
      </c>
      <c r="AI109" s="497">
        <f t="shared" si="42"/>
        <v>-5.3559602649006717</v>
      </c>
      <c r="AJ109" s="497">
        <f t="shared" si="42"/>
        <v>3.5948569929152185</v>
      </c>
      <c r="AK109" s="497">
        <f t="shared" si="42"/>
        <v>0.66400240159105728</v>
      </c>
      <c r="AL109" s="606"/>
      <c r="AM109" s="606"/>
      <c r="AN109" s="285"/>
      <c r="AO109" s="13"/>
      <c r="AP109" s="13"/>
      <c r="AQ109" s="16"/>
      <c r="AR109" s="16"/>
      <c r="AS109" s="16"/>
      <c r="AT109" s="16"/>
      <c r="AU109" s="16" t="e">
        <f t="shared" si="43"/>
        <v>#DIV/0!</v>
      </c>
      <c r="AV109" s="312">
        <f t="shared" si="44"/>
        <v>21.899999999999984</v>
      </c>
      <c r="AW109" s="507">
        <v>19.100000000000001</v>
      </c>
      <c r="AX109" s="312">
        <f t="shared" si="44"/>
        <v>18.186307852498484</v>
      </c>
      <c r="AY109" s="312">
        <f t="shared" si="44"/>
        <v>14.540963422291409</v>
      </c>
    </row>
    <row r="110" spans="1:53">
      <c r="A110" s="4" t="s">
        <v>625</v>
      </c>
      <c r="B110" s="13"/>
      <c r="C110" s="13"/>
      <c r="D110" s="260"/>
      <c r="E110" s="260"/>
      <c r="F110" s="260"/>
      <c r="G110" s="260"/>
      <c r="H110" s="260"/>
      <c r="I110" s="260"/>
      <c r="J110" s="260"/>
      <c r="K110" s="260"/>
      <c r="L110" s="260"/>
      <c r="M110" s="260"/>
      <c r="N110" s="260"/>
      <c r="O110" s="260"/>
      <c r="P110" s="260"/>
      <c r="Q110" s="260"/>
      <c r="R110" s="260"/>
      <c r="S110" s="497" t="e">
        <f t="shared" si="42"/>
        <v>#DIV/0!</v>
      </c>
      <c r="T110" s="497" t="e">
        <f t="shared" si="42"/>
        <v>#DIV/0!</v>
      </c>
      <c r="U110" s="497" t="e">
        <f t="shared" si="42"/>
        <v>#DIV/0!</v>
      </c>
      <c r="V110" s="497">
        <f t="shared" si="42"/>
        <v>-9.9372196197042513</v>
      </c>
      <c r="W110" s="497">
        <f t="shared" si="42"/>
        <v>2.6764050446314913</v>
      </c>
      <c r="X110" s="497">
        <f t="shared" si="42"/>
        <v>7.2950290510006566</v>
      </c>
      <c r="Y110" s="497">
        <f t="shared" si="42"/>
        <v>0.45889685148263748</v>
      </c>
      <c r="Z110" s="497">
        <f t="shared" si="42"/>
        <v>15.590890805882074</v>
      </c>
      <c r="AA110" s="497">
        <f t="shared" si="42"/>
        <v>-1.6687192951589491</v>
      </c>
      <c r="AB110" s="497">
        <f t="shared" si="42"/>
        <v>7.6210400478182949</v>
      </c>
      <c r="AC110" s="497">
        <f t="shared" si="42"/>
        <v>7.4211841739867612</v>
      </c>
      <c r="AD110" s="497">
        <f t="shared" si="42"/>
        <v>-1.7548454688318671</v>
      </c>
      <c r="AE110" s="497">
        <f t="shared" si="42"/>
        <v>10.273970231314955</v>
      </c>
      <c r="AF110" s="497">
        <f t="shared" si="42"/>
        <v>5.5002967023651372</v>
      </c>
      <c r="AG110" s="497">
        <f t="shared" si="42"/>
        <v>8.9799847925491996</v>
      </c>
      <c r="AH110" s="497">
        <f t="shared" si="42"/>
        <v>-4.9946203378536724</v>
      </c>
      <c r="AI110" s="497">
        <f t="shared" si="42"/>
        <v>6.3146730132450202</v>
      </c>
      <c r="AJ110" s="497">
        <f t="shared" si="42"/>
        <v>3.3084328945340635</v>
      </c>
      <c r="AK110" s="497">
        <f t="shared" si="42"/>
        <v>0.34505770589619011</v>
      </c>
      <c r="AL110" s="606"/>
      <c r="AM110" s="606"/>
      <c r="AN110" s="285"/>
      <c r="AO110" s="13"/>
      <c r="AP110" s="13"/>
      <c r="AQ110" s="16"/>
      <c r="AR110" s="16"/>
      <c r="AS110" s="16"/>
      <c r="AT110" s="16"/>
      <c r="AU110" s="16" t="e">
        <f t="shared" si="43"/>
        <v>#DIV/0!</v>
      </c>
      <c r="AV110" s="370">
        <f t="shared" si="44"/>
        <v>-10.562499999999996</v>
      </c>
      <c r="AW110" s="507">
        <v>27.8</v>
      </c>
      <c r="AX110" s="312">
        <f t="shared" si="44"/>
        <v>22.128976416060176</v>
      </c>
      <c r="AY110" s="312">
        <f t="shared" si="44"/>
        <v>11.837776543235279</v>
      </c>
    </row>
    <row r="111" spans="1:53">
      <c r="A111" s="4" t="s">
        <v>626</v>
      </c>
      <c r="B111" s="13"/>
      <c r="C111" s="13"/>
      <c r="D111" s="260"/>
      <c r="E111" s="260"/>
      <c r="F111" s="260"/>
      <c r="G111" s="260"/>
      <c r="H111" s="260"/>
      <c r="I111" s="260"/>
      <c r="J111" s="260"/>
      <c r="K111" s="260"/>
      <c r="L111" s="260"/>
      <c r="M111" s="260"/>
      <c r="N111" s="260"/>
      <c r="O111" s="260"/>
      <c r="P111" s="260"/>
      <c r="Q111" s="260"/>
      <c r="R111" s="260"/>
      <c r="S111" s="497" t="e">
        <f t="shared" si="42"/>
        <v>#DIV/0!</v>
      </c>
      <c r="T111" s="497" t="e">
        <f t="shared" si="42"/>
        <v>#DIV/0!</v>
      </c>
      <c r="U111" s="497" t="e">
        <f t="shared" si="42"/>
        <v>#DIV/0!</v>
      </c>
      <c r="V111" s="497">
        <f t="shared" si="42"/>
        <v>3.9305787433516537</v>
      </c>
      <c r="W111" s="497">
        <f t="shared" si="42"/>
        <v>-8.534046057743117</v>
      </c>
      <c r="X111" s="497">
        <f t="shared" si="42"/>
        <v>-18.045598178791067</v>
      </c>
      <c r="Y111" s="497">
        <f t="shared" si="42"/>
        <v>-28.648424543946927</v>
      </c>
      <c r="Z111" s="497">
        <f t="shared" si="42"/>
        <v>863.10865775711784</v>
      </c>
      <c r="AA111" s="497">
        <f t="shared" si="42"/>
        <v>47.643151474199264</v>
      </c>
      <c r="AB111" s="497">
        <f t="shared" si="42"/>
        <v>3.2298136645962705</v>
      </c>
      <c r="AC111" s="497">
        <f t="shared" si="42"/>
        <v>3.0337576793970422</v>
      </c>
      <c r="AD111" s="497">
        <f t="shared" si="42"/>
        <v>1.7937822719449326</v>
      </c>
      <c r="AE111" s="497">
        <f t="shared" si="42"/>
        <v>-3.0876708296063038</v>
      </c>
      <c r="AF111" s="497">
        <f t="shared" si="42"/>
        <v>-10.798906439854205</v>
      </c>
      <c r="AG111" s="497">
        <f t="shared" si="42"/>
        <v>3.891341078468602</v>
      </c>
      <c r="AH111" s="497">
        <f t="shared" si="42"/>
        <v>8.5098335854765672</v>
      </c>
      <c r="AI111" s="497">
        <f t="shared" si="42"/>
        <v>2.3178807947019875</v>
      </c>
      <c r="AJ111" s="497">
        <f t="shared" si="42"/>
        <v>-1.7998069607676248</v>
      </c>
      <c r="AK111" s="497">
        <f t="shared" si="42"/>
        <v>1.7753623188405676</v>
      </c>
      <c r="AL111" s="606"/>
      <c r="AM111" s="606"/>
      <c r="AN111" s="285"/>
      <c r="AO111" s="13"/>
      <c r="AP111" s="13"/>
      <c r="AQ111" s="16"/>
      <c r="AR111" s="16"/>
      <c r="AS111" s="16"/>
      <c r="AT111" s="16"/>
      <c r="AU111" s="16" t="e">
        <f t="shared" si="43"/>
        <v>#DIV/0!</v>
      </c>
      <c r="AV111" s="312">
        <f t="shared" si="44"/>
        <v>6.0000000000000053</v>
      </c>
      <c r="AW111" s="312">
        <f t="shared" si="44"/>
        <v>638.53353512824583</v>
      </c>
      <c r="AX111" s="312">
        <f t="shared" si="44"/>
        <v>6.9597855806202924</v>
      </c>
      <c r="AY111" s="312">
        <f t="shared" si="44"/>
        <v>4.2008383727461185</v>
      </c>
    </row>
    <row r="112" spans="1:53">
      <c r="A112" s="4"/>
      <c r="B112" s="13"/>
      <c r="C112" s="13"/>
      <c r="D112" s="260"/>
      <c r="E112" s="260"/>
      <c r="F112" s="260"/>
      <c r="G112" s="260"/>
      <c r="H112" s="260"/>
      <c r="I112" s="260"/>
      <c r="J112" s="260"/>
      <c r="K112" s="260"/>
      <c r="L112" s="260"/>
      <c r="M112" s="260"/>
      <c r="N112" s="260"/>
      <c r="O112" s="260"/>
      <c r="P112" s="260"/>
      <c r="Q112" s="260"/>
      <c r="R112" s="260"/>
      <c r="S112" s="312"/>
      <c r="T112" s="312"/>
      <c r="U112" s="312"/>
      <c r="V112" s="312"/>
      <c r="W112" s="312"/>
      <c r="X112" s="312"/>
      <c r="Y112" s="312"/>
      <c r="Z112" s="312"/>
      <c r="AA112" s="312"/>
      <c r="AB112" s="312"/>
      <c r="AC112" s="312"/>
      <c r="AD112" s="312"/>
      <c r="AE112" s="312"/>
      <c r="AF112" s="312"/>
      <c r="AG112" s="312"/>
      <c r="AH112" s="312"/>
      <c r="AI112" s="312"/>
      <c r="AJ112" s="312"/>
      <c r="AK112" s="312"/>
      <c r="AL112" s="312"/>
      <c r="AM112" s="312"/>
      <c r="AN112" s="285"/>
      <c r="AO112" s="13"/>
      <c r="AP112" s="13"/>
      <c r="AQ112" s="16"/>
      <c r="AR112" s="16"/>
      <c r="AS112" s="16"/>
      <c r="AT112" s="16"/>
      <c r="AU112" s="16"/>
      <c r="AV112" s="16"/>
      <c r="AW112" s="16"/>
      <c r="AX112" s="16"/>
      <c r="AY112" s="16"/>
    </row>
    <row r="113" spans="1:53">
      <c r="A113" s="251" t="s">
        <v>634</v>
      </c>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252"/>
      <c r="AF113" s="252"/>
      <c r="AG113" s="252"/>
      <c r="AH113" s="252"/>
      <c r="AI113" s="252"/>
      <c r="AJ113" s="252"/>
      <c r="AK113" s="252"/>
      <c r="AL113" s="252"/>
      <c r="AM113" s="252"/>
      <c r="AN113" s="1252"/>
      <c r="AO113" s="273"/>
      <c r="AP113" s="273"/>
      <c r="AQ113" s="273"/>
      <c r="AR113" s="273"/>
      <c r="AS113" s="273"/>
      <c r="AT113" s="273"/>
      <c r="AU113" s="273"/>
      <c r="AV113" s="273"/>
      <c r="AW113" s="273"/>
      <c r="AX113" s="273"/>
      <c r="AY113" s="273"/>
    </row>
    <row r="114" spans="1:53">
      <c r="A114" s="4" t="s">
        <v>621</v>
      </c>
      <c r="B114" s="13"/>
      <c r="C114" s="13"/>
      <c r="D114" s="260"/>
      <c r="E114" s="260"/>
      <c r="F114" s="260"/>
      <c r="G114" s="16"/>
      <c r="H114" s="16"/>
      <c r="I114" s="16"/>
      <c r="J114" s="16"/>
      <c r="K114" s="16"/>
      <c r="L114" s="16"/>
      <c r="M114" s="16"/>
      <c r="N114" s="16"/>
      <c r="O114" s="16"/>
      <c r="P114" s="16"/>
      <c r="Q114" s="16"/>
      <c r="R114" s="16"/>
      <c r="S114" s="497" t="e">
        <f t="shared" ref="S114:AK119" si="45">(S97/O97-1)*100</f>
        <v>#DIV/0!</v>
      </c>
      <c r="T114" s="497" t="e">
        <f t="shared" si="45"/>
        <v>#DIV/0!</v>
      </c>
      <c r="U114" s="497" t="e">
        <f t="shared" si="45"/>
        <v>#DIV/0!</v>
      </c>
      <c r="V114" s="497" t="e">
        <f t="shared" si="45"/>
        <v>#DIV/0!</v>
      </c>
      <c r="W114" s="497" t="e">
        <f t="shared" si="45"/>
        <v>#DIV/0!</v>
      </c>
      <c r="X114" s="497" t="e">
        <f t="shared" si="45"/>
        <v>#DIV/0!</v>
      </c>
      <c r="Y114" s="497">
        <f t="shared" si="45"/>
        <v>11.175389885513386</v>
      </c>
      <c r="Z114" s="497">
        <f t="shared" si="45"/>
        <v>24.90171551107936</v>
      </c>
      <c r="AA114" s="497">
        <f t="shared" si="45"/>
        <v>6.3849218221039283</v>
      </c>
      <c r="AB114" s="497">
        <f t="shared" si="45"/>
        <v>-10.339866930408192</v>
      </c>
      <c r="AC114" s="497">
        <f t="shared" si="45"/>
        <v>-9.6934921557234155</v>
      </c>
      <c r="AD114" s="497">
        <f t="shared" si="45"/>
        <v>-10.353029544316495</v>
      </c>
      <c r="AE114" s="497">
        <f t="shared" si="45"/>
        <v>-4.0742851222544623</v>
      </c>
      <c r="AF114" s="497">
        <f t="shared" si="45"/>
        <v>4.1177797833934715</v>
      </c>
      <c r="AG114" s="497">
        <f t="shared" si="45"/>
        <v>1.0101822510334868</v>
      </c>
      <c r="AH114" s="497">
        <f t="shared" si="45"/>
        <v>1.9378777904123679</v>
      </c>
      <c r="AI114" s="497">
        <f t="shared" si="45"/>
        <v>-4.5269918416941284</v>
      </c>
      <c r="AJ114" s="497">
        <f t="shared" si="45"/>
        <v>-11.727525553508865</v>
      </c>
      <c r="AK114" s="497">
        <f t="shared" si="45"/>
        <v>-12.770921251692013</v>
      </c>
      <c r="AL114" s="606"/>
      <c r="AM114" s="606"/>
      <c r="AN114" s="285"/>
      <c r="AO114" s="13"/>
      <c r="AP114" s="13"/>
      <c r="AQ114" s="16"/>
      <c r="AR114" s="16"/>
      <c r="AS114" s="16"/>
      <c r="AT114" s="16"/>
      <c r="AU114" s="16"/>
      <c r="AV114" s="16"/>
      <c r="AW114" s="16"/>
      <c r="AX114" s="16"/>
      <c r="AY114" s="16"/>
    </row>
    <row r="115" spans="1:53">
      <c r="A115" s="4" t="s">
        <v>622</v>
      </c>
      <c r="B115" s="13"/>
      <c r="C115" s="13"/>
      <c r="D115" s="260"/>
      <c r="E115" s="260"/>
      <c r="F115" s="260"/>
      <c r="G115" s="16"/>
      <c r="H115" s="16"/>
      <c r="I115" s="16"/>
      <c r="J115" s="16"/>
      <c r="K115" s="16"/>
      <c r="L115" s="16"/>
      <c r="M115" s="16"/>
      <c r="N115" s="16"/>
      <c r="O115" s="16"/>
      <c r="P115" s="16"/>
      <c r="Q115" s="16"/>
      <c r="R115" s="16"/>
      <c r="S115" s="497" t="e">
        <f t="shared" si="45"/>
        <v>#DIV/0!</v>
      </c>
      <c r="T115" s="497" t="e">
        <f t="shared" si="45"/>
        <v>#DIV/0!</v>
      </c>
      <c r="U115" s="497" t="e">
        <f t="shared" si="45"/>
        <v>#DIV/0!</v>
      </c>
      <c r="V115" s="497" t="e">
        <f t="shared" si="45"/>
        <v>#DIV/0!</v>
      </c>
      <c r="W115" s="497" t="e">
        <f t="shared" si="45"/>
        <v>#DIV/0!</v>
      </c>
      <c r="X115" s="497" t="e">
        <f t="shared" si="45"/>
        <v>#DIV/0!</v>
      </c>
      <c r="Y115" s="497">
        <f t="shared" si="45"/>
        <v>19.116489163050019</v>
      </c>
      <c r="Z115" s="497">
        <f t="shared" si="45"/>
        <v>41.76711349594131</v>
      </c>
      <c r="AA115" s="497">
        <f t="shared" si="45"/>
        <v>31.84691574126628</v>
      </c>
      <c r="AB115" s="497">
        <f t="shared" si="45"/>
        <v>26.101518551035664</v>
      </c>
      <c r="AC115" s="497">
        <f t="shared" si="45"/>
        <v>14.331977532442398</v>
      </c>
      <c r="AD115" s="497">
        <f t="shared" si="45"/>
        <v>3.8668347348609355</v>
      </c>
      <c r="AE115" s="497">
        <f t="shared" si="45"/>
        <v>2.2313213102686857</v>
      </c>
      <c r="AF115" s="497">
        <f t="shared" si="45"/>
        <v>-4.2657297576070174</v>
      </c>
      <c r="AG115" s="497">
        <f t="shared" si="45"/>
        <v>-0.56378494856819117</v>
      </c>
      <c r="AH115" s="497">
        <f t="shared" si="45"/>
        <v>3.926027889161543</v>
      </c>
      <c r="AI115" s="497">
        <f t="shared" si="45"/>
        <v>8.1669848984551319</v>
      </c>
      <c r="AJ115" s="497">
        <f t="shared" si="45"/>
        <v>7.2907618027918675</v>
      </c>
      <c r="AK115" s="497">
        <f t="shared" si="45"/>
        <v>7.1976666530372935</v>
      </c>
      <c r="AL115" s="606"/>
      <c r="AM115" s="606"/>
      <c r="AN115" s="285"/>
      <c r="AO115" s="13"/>
      <c r="AP115" s="13"/>
      <c r="AQ115" s="16"/>
      <c r="AR115" s="16"/>
      <c r="AS115" s="16"/>
      <c r="AT115" s="16"/>
      <c r="AU115" s="16"/>
      <c r="AV115" s="16"/>
      <c r="AW115" s="16"/>
      <c r="AX115" s="16"/>
      <c r="AY115" s="16"/>
    </row>
    <row r="116" spans="1:53">
      <c r="A116" s="4" t="s">
        <v>623</v>
      </c>
      <c r="B116" s="13"/>
      <c r="C116" s="13"/>
      <c r="D116" s="260"/>
      <c r="E116" s="260"/>
      <c r="F116" s="260"/>
      <c r="G116" s="16"/>
      <c r="H116" s="16"/>
      <c r="I116" s="16"/>
      <c r="J116" s="16"/>
      <c r="K116" s="16"/>
      <c r="L116" s="16"/>
      <c r="M116" s="16"/>
      <c r="N116" s="16"/>
      <c r="O116" s="16"/>
      <c r="P116" s="16"/>
      <c r="Q116" s="16"/>
      <c r="R116" s="16"/>
      <c r="S116" s="497" t="e">
        <f t="shared" si="45"/>
        <v>#DIV/0!</v>
      </c>
      <c r="T116" s="497" t="e">
        <f t="shared" si="45"/>
        <v>#DIV/0!</v>
      </c>
      <c r="U116" s="497" t="e">
        <f t="shared" si="45"/>
        <v>#DIV/0!</v>
      </c>
      <c r="V116" s="497" t="e">
        <f t="shared" si="45"/>
        <v>#DIV/0!</v>
      </c>
      <c r="W116" s="497" t="e">
        <f t="shared" si="45"/>
        <v>#DIV/0!</v>
      </c>
      <c r="X116" s="497" t="e">
        <f t="shared" si="45"/>
        <v>#DIV/0!</v>
      </c>
      <c r="Y116" s="497">
        <f t="shared" si="45"/>
        <v>21.763522255562286</v>
      </c>
      <c r="Z116" s="497">
        <f t="shared" si="45"/>
        <v>51.760279899176112</v>
      </c>
      <c r="AA116" s="497">
        <f t="shared" si="45"/>
        <v>47.396169571766713</v>
      </c>
      <c r="AB116" s="497">
        <f t="shared" si="45"/>
        <v>47.141894693200648</v>
      </c>
      <c r="AC116" s="497">
        <f t="shared" si="45"/>
        <v>29.166561402622349</v>
      </c>
      <c r="AD116" s="497">
        <f t="shared" si="45"/>
        <v>37.872898456595763</v>
      </c>
      <c r="AE116" s="497">
        <f t="shared" si="45"/>
        <v>30.105071538068493</v>
      </c>
      <c r="AF116" s="497">
        <f t="shared" si="45"/>
        <v>32.421193977282734</v>
      </c>
      <c r="AG116" s="497">
        <f t="shared" si="45"/>
        <v>22.043498670004681</v>
      </c>
      <c r="AH116" s="497">
        <f t="shared" si="45"/>
        <v>17.287668720591331</v>
      </c>
      <c r="AI116" s="497">
        <f t="shared" si="45"/>
        <v>19.463161382966977</v>
      </c>
      <c r="AJ116" s="497">
        <f t="shared" si="45"/>
        <v>20.476159604230993</v>
      </c>
      <c r="AK116" s="497">
        <f t="shared" si="45"/>
        <v>13.443293417779945</v>
      </c>
      <c r="AL116" s="606"/>
      <c r="AM116" s="606"/>
      <c r="AN116" s="285"/>
      <c r="AO116" s="13"/>
      <c r="AP116" s="13"/>
      <c r="AQ116" s="16"/>
      <c r="AR116" s="16"/>
      <c r="AS116" s="16"/>
      <c r="AT116" s="16"/>
      <c r="AU116" s="16"/>
      <c r="AV116" s="16"/>
      <c r="AW116" s="16"/>
      <c r="AX116" s="16"/>
      <c r="AY116" s="16"/>
    </row>
    <row r="117" spans="1:53">
      <c r="A117" s="4" t="s">
        <v>624</v>
      </c>
      <c r="B117" s="13"/>
      <c r="C117" s="13"/>
      <c r="D117" s="260"/>
      <c r="E117" s="260"/>
      <c r="F117" s="260"/>
      <c r="G117" s="16"/>
      <c r="H117" s="16"/>
      <c r="I117" s="16"/>
      <c r="J117" s="16"/>
      <c r="K117" s="16"/>
      <c r="L117" s="16"/>
      <c r="M117" s="16"/>
      <c r="N117" s="16"/>
      <c r="O117" s="16"/>
      <c r="P117" s="16"/>
      <c r="Q117" s="16"/>
      <c r="R117" s="16"/>
      <c r="S117" s="497" t="e">
        <f t="shared" si="45"/>
        <v>#DIV/0!</v>
      </c>
      <c r="T117" s="497" t="e">
        <f t="shared" si="45"/>
        <v>#DIV/0!</v>
      </c>
      <c r="U117" s="497" t="e">
        <f t="shared" si="45"/>
        <v>#DIV/0!</v>
      </c>
      <c r="V117" s="497" t="e">
        <f t="shared" si="45"/>
        <v>#DIV/0!</v>
      </c>
      <c r="W117" s="497" t="e">
        <f t="shared" si="45"/>
        <v>#DIV/0!</v>
      </c>
      <c r="X117" s="497" t="e">
        <f t="shared" si="45"/>
        <v>#DIV/0!</v>
      </c>
      <c r="Y117" s="497">
        <f t="shared" si="45"/>
        <v>17.351800434708565</v>
      </c>
      <c r="Z117" s="497">
        <f t="shared" si="45"/>
        <v>27.132103288062879</v>
      </c>
      <c r="AA117" s="497">
        <f t="shared" si="45"/>
        <v>12.280875999404085</v>
      </c>
      <c r="AB117" s="497">
        <f t="shared" si="45"/>
        <v>30.115917872566133</v>
      </c>
      <c r="AC117" s="497">
        <f t="shared" si="45"/>
        <v>27.930517752836479</v>
      </c>
      <c r="AD117" s="497">
        <f t="shared" si="45"/>
        <v>27.218312849391047</v>
      </c>
      <c r="AE117" s="497">
        <f t="shared" si="45"/>
        <v>19.436919504643946</v>
      </c>
      <c r="AF117" s="497">
        <f t="shared" si="45"/>
        <v>13.583032490974723</v>
      </c>
      <c r="AG117" s="497">
        <f t="shared" si="45"/>
        <v>20.089883342895387</v>
      </c>
      <c r="AH117" s="497">
        <f t="shared" si="45"/>
        <v>25.128327893304881</v>
      </c>
      <c r="AI117" s="497">
        <f t="shared" si="45"/>
        <v>19.073077590696073</v>
      </c>
      <c r="AJ117" s="497">
        <f t="shared" si="45"/>
        <v>13.845207428197925</v>
      </c>
      <c r="AK117" s="497">
        <f t="shared" si="45"/>
        <v>6.7997053905565652</v>
      </c>
      <c r="AL117" s="606"/>
      <c r="AM117" s="606"/>
      <c r="AN117" s="285"/>
      <c r="AO117" s="13"/>
      <c r="AP117" s="13"/>
      <c r="AQ117" s="16"/>
      <c r="AR117" s="16"/>
      <c r="AS117" s="16"/>
      <c r="AT117" s="16"/>
      <c r="AU117" s="16"/>
      <c r="AV117" s="16"/>
      <c r="AW117" s="16"/>
      <c r="AX117" s="16"/>
      <c r="AY117" s="16"/>
    </row>
    <row r="118" spans="1:53">
      <c r="A118" s="4" t="s">
        <v>625</v>
      </c>
      <c r="B118" s="13"/>
      <c r="C118" s="13"/>
      <c r="D118" s="260"/>
      <c r="E118" s="260"/>
      <c r="F118" s="260"/>
      <c r="G118" s="16"/>
      <c r="H118" s="16"/>
      <c r="I118" s="16"/>
      <c r="J118" s="16"/>
      <c r="K118" s="16"/>
      <c r="L118" s="16"/>
      <c r="M118" s="16"/>
      <c r="N118" s="16"/>
      <c r="O118" s="16"/>
      <c r="P118" s="16"/>
      <c r="Q118" s="16"/>
      <c r="R118" s="16"/>
      <c r="S118" s="497" t="e">
        <f t="shared" si="45"/>
        <v>#DIV/0!</v>
      </c>
      <c r="T118" s="497" t="e">
        <f t="shared" si="45"/>
        <v>#DIV/0!</v>
      </c>
      <c r="U118" s="497" t="e">
        <f t="shared" si="45"/>
        <v>#DIV/0!</v>
      </c>
      <c r="V118" s="497" t="e">
        <f t="shared" si="45"/>
        <v>#DIV/0!</v>
      </c>
      <c r="W118" s="497" t="e">
        <f t="shared" si="45"/>
        <v>#DIV/0!</v>
      </c>
      <c r="X118" s="497" t="e">
        <f t="shared" si="45"/>
        <v>#DIV/0!</v>
      </c>
      <c r="Y118" s="497">
        <f t="shared" si="45"/>
        <v>-0.325512516436266</v>
      </c>
      <c r="Z118" s="497">
        <f t="shared" si="45"/>
        <v>27.927016578821728</v>
      </c>
      <c r="AA118" s="497">
        <f t="shared" si="45"/>
        <v>22.513321064143433</v>
      </c>
      <c r="AB118" s="497">
        <f t="shared" si="45"/>
        <v>22.885572139303445</v>
      </c>
      <c r="AC118" s="497">
        <f t="shared" si="45"/>
        <v>31.402136503821577</v>
      </c>
      <c r="AD118" s="497">
        <f t="shared" si="45"/>
        <v>11.683741828959636</v>
      </c>
      <c r="AE118" s="497">
        <f t="shared" si="45"/>
        <v>25.248136030452706</v>
      </c>
      <c r="AF118" s="497">
        <f t="shared" si="45"/>
        <v>22.780039170405896</v>
      </c>
      <c r="AG118" s="497">
        <f t="shared" si="45"/>
        <v>24.561713823107191</v>
      </c>
      <c r="AH118" s="497">
        <f t="shared" si="45"/>
        <v>20.45411266952193</v>
      </c>
      <c r="AI118" s="497">
        <f t="shared" si="45"/>
        <v>16.129305716465581</v>
      </c>
      <c r="AJ118" s="497">
        <f t="shared" si="45"/>
        <v>13.71661466075631</v>
      </c>
      <c r="AK118" s="497">
        <f t="shared" si="45"/>
        <v>4.7063851401170087</v>
      </c>
      <c r="AL118" s="606"/>
      <c r="AM118" s="606"/>
      <c r="AN118" s="285"/>
      <c r="AO118" s="13"/>
      <c r="AP118" s="13"/>
      <c r="AQ118" s="16"/>
      <c r="AR118" s="16"/>
      <c r="AS118" s="16"/>
      <c r="AT118" s="16"/>
      <c r="AU118" s="16"/>
      <c r="AV118" s="16"/>
      <c r="AW118" s="16"/>
      <c r="AX118" s="16"/>
      <c r="AY118" s="16"/>
    </row>
    <row r="119" spans="1:53">
      <c r="A119" s="4" t="s">
        <v>626</v>
      </c>
      <c r="B119" s="13"/>
      <c r="C119" s="13"/>
      <c r="D119" s="260"/>
      <c r="E119" s="260"/>
      <c r="F119" s="260"/>
      <c r="G119" s="16"/>
      <c r="H119" s="16"/>
      <c r="I119" s="16"/>
      <c r="J119" s="16"/>
      <c r="K119" s="16"/>
      <c r="L119" s="16"/>
      <c r="M119" s="16"/>
      <c r="N119" s="16"/>
      <c r="O119" s="16"/>
      <c r="P119" s="16"/>
      <c r="Q119" s="16"/>
      <c r="R119" s="16"/>
      <c r="S119" s="497" t="e">
        <f t="shared" si="45"/>
        <v>#DIV/0!</v>
      </c>
      <c r="T119" s="497" t="e">
        <f t="shared" si="45"/>
        <v>#DIV/0!</v>
      </c>
      <c r="U119" s="497" t="e">
        <f t="shared" si="45"/>
        <v>#DIV/0!</v>
      </c>
      <c r="V119" s="497" t="e">
        <f t="shared" si="45"/>
        <v>#DIV/0!</v>
      </c>
      <c r="W119" s="497" t="e">
        <f t="shared" si="45"/>
        <v>#DIV/0!</v>
      </c>
      <c r="X119" s="497" t="e">
        <f t="shared" si="45"/>
        <v>#DIV/0!</v>
      </c>
      <c r="Y119" s="497">
        <f t="shared" si="45"/>
        <v>-44.412305057243309</v>
      </c>
      <c r="Z119" s="497">
        <f t="shared" si="45"/>
        <v>415.12260310159422</v>
      </c>
      <c r="AA119" s="497">
        <f t="shared" si="45"/>
        <v>731.50419625564882</v>
      </c>
      <c r="AB119" s="497">
        <f t="shared" si="45"/>
        <v>947.36318407960209</v>
      </c>
      <c r="AC119" s="497">
        <f t="shared" si="45"/>
        <v>1412.4230098779776</v>
      </c>
      <c r="AD119" s="497">
        <f t="shared" si="45"/>
        <v>59.852429246279073</v>
      </c>
      <c r="AE119" s="497">
        <f t="shared" si="45"/>
        <v>4.9264465511605016</v>
      </c>
      <c r="AF119" s="497">
        <f t="shared" si="45"/>
        <v>-9.3328424852745613</v>
      </c>
      <c r="AG119" s="497">
        <f t="shared" si="45"/>
        <v>-8.5781903122694949</v>
      </c>
      <c r="AH119" s="497">
        <f t="shared" si="45"/>
        <v>-2.5464509335476948</v>
      </c>
      <c r="AI119" s="497">
        <f t="shared" si="45"/>
        <v>2.8892887185718363</v>
      </c>
      <c r="AJ119" s="497">
        <f t="shared" si="45"/>
        <v>13.269329002344499</v>
      </c>
      <c r="AK119" s="497">
        <f t="shared" si="45"/>
        <v>10.962346612876118</v>
      </c>
      <c r="AL119" s="606"/>
      <c r="AM119" s="606"/>
      <c r="AN119" s="285"/>
      <c r="AO119" s="13"/>
      <c r="AP119" s="13"/>
      <c r="AQ119" s="16"/>
      <c r="AR119" s="16"/>
      <c r="AS119" s="16"/>
      <c r="AT119" s="16"/>
      <c r="AU119" s="16"/>
      <c r="AV119" s="16"/>
      <c r="AW119" s="16"/>
      <c r="AX119" s="16"/>
      <c r="AY119" s="16"/>
    </row>
    <row r="120" spans="1:53">
      <c r="A120" s="4"/>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285"/>
      <c r="AO120" s="13"/>
      <c r="AP120" s="13"/>
      <c r="AQ120" s="13"/>
      <c r="AR120" s="13"/>
      <c r="AS120" s="13"/>
      <c r="AT120" s="4"/>
      <c r="AU120" s="4"/>
      <c r="AV120" s="4"/>
      <c r="AW120" s="4"/>
      <c r="AX120" s="4"/>
      <c r="AY120" s="4"/>
    </row>
    <row r="121" spans="1:53">
      <c r="A121" s="251" t="s">
        <v>638</v>
      </c>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c r="AA121" s="252"/>
      <c r="AB121" s="252"/>
      <c r="AC121" s="252"/>
      <c r="AD121" s="252"/>
      <c r="AE121" s="252"/>
      <c r="AF121" s="252"/>
      <c r="AG121" s="252"/>
      <c r="AH121" s="252"/>
      <c r="AI121" s="252"/>
      <c r="AJ121" s="252"/>
      <c r="AK121" s="252"/>
      <c r="AL121" s="252"/>
      <c r="AM121" s="252"/>
      <c r="AN121" s="1252"/>
      <c r="AO121" s="273"/>
      <c r="AP121" s="273"/>
      <c r="AQ121" s="273"/>
      <c r="AR121" s="273"/>
      <c r="AS121" s="273"/>
      <c r="AT121" s="273"/>
      <c r="AU121" s="273"/>
      <c r="AV121" s="273"/>
      <c r="AW121" s="273"/>
      <c r="AX121" s="273"/>
      <c r="AY121" s="273"/>
    </row>
    <row r="122" spans="1:53">
      <c r="A122" s="4" t="s">
        <v>639</v>
      </c>
      <c r="B122" s="13"/>
      <c r="C122" s="13"/>
      <c r="D122" s="13"/>
      <c r="E122" s="13"/>
      <c r="F122" s="13"/>
      <c r="G122" s="13"/>
      <c r="H122" s="13"/>
      <c r="I122" s="13"/>
      <c r="J122" s="13"/>
      <c r="K122" s="13"/>
      <c r="L122" s="13"/>
      <c r="M122" s="13"/>
      <c r="N122" s="13">
        <f t="shared" ref="N122:AJ126" si="46">N$4*(N54/100)</f>
        <v>0</v>
      </c>
      <c r="O122" s="13">
        <f t="shared" si="46"/>
        <v>0</v>
      </c>
      <c r="P122" s="13">
        <f t="shared" si="46"/>
        <v>0</v>
      </c>
      <c r="Q122" s="13">
        <f t="shared" si="46"/>
        <v>0</v>
      </c>
      <c r="R122" s="13">
        <f t="shared" si="46"/>
        <v>0</v>
      </c>
      <c r="S122" s="13">
        <f t="shared" si="46"/>
        <v>0</v>
      </c>
      <c r="T122" s="13">
        <f t="shared" si="46"/>
        <v>0</v>
      </c>
      <c r="U122" s="13">
        <f t="shared" si="46"/>
        <v>0</v>
      </c>
      <c r="V122" s="13">
        <f t="shared" si="46"/>
        <v>0</v>
      </c>
      <c r="W122" s="13">
        <f t="shared" si="46"/>
        <v>0</v>
      </c>
      <c r="X122" s="13">
        <f t="shared" si="46"/>
        <v>0</v>
      </c>
      <c r="Y122" s="13">
        <f t="shared" si="46"/>
        <v>0</v>
      </c>
      <c r="Z122" s="13">
        <f t="shared" si="46"/>
        <v>0</v>
      </c>
      <c r="AA122" s="13">
        <f t="shared" si="46"/>
        <v>0</v>
      </c>
      <c r="AB122" s="13">
        <f t="shared" si="46"/>
        <v>0</v>
      </c>
      <c r="AC122" s="13">
        <f t="shared" si="46"/>
        <v>0</v>
      </c>
      <c r="AD122" s="13">
        <f t="shared" si="46"/>
        <v>0</v>
      </c>
      <c r="AE122" s="13">
        <f t="shared" si="46"/>
        <v>0</v>
      </c>
      <c r="AF122" s="13">
        <f t="shared" si="46"/>
        <v>0</v>
      </c>
      <c r="AG122" s="13">
        <f t="shared" si="46"/>
        <v>0</v>
      </c>
      <c r="AH122" s="13">
        <f t="shared" si="46"/>
        <v>95.13</v>
      </c>
      <c r="AI122" s="13">
        <f t="shared" si="46"/>
        <v>98.725499999999997</v>
      </c>
      <c r="AJ122" s="13">
        <f t="shared" si="46"/>
        <v>0</v>
      </c>
      <c r="AK122" s="13">
        <f>AK$4*(AK54/100)</f>
        <v>98.5959</v>
      </c>
      <c r="AL122" s="13">
        <f>AL$4*(AL54/100)</f>
        <v>91.934399999999997</v>
      </c>
      <c r="AM122" s="13">
        <f>AM$4*(AM54/100)</f>
        <v>96.72</v>
      </c>
      <c r="AN122" s="308"/>
      <c r="AO122" s="13"/>
      <c r="AP122" s="14"/>
      <c r="AQ122" s="14"/>
      <c r="AR122" s="13"/>
      <c r="AS122" s="13">
        <f t="shared" ref="AS122:AY123" si="47">AS$4*(AS69/100)</f>
        <v>0</v>
      </c>
      <c r="AT122" s="13">
        <f t="shared" si="47"/>
        <v>0</v>
      </c>
      <c r="AU122" s="13">
        <f t="shared" si="47"/>
        <v>0</v>
      </c>
      <c r="AV122" s="13">
        <f t="shared" si="47"/>
        <v>0</v>
      </c>
      <c r="AW122" s="13">
        <f t="shared" si="47"/>
        <v>0</v>
      </c>
      <c r="AX122" s="13">
        <f t="shared" si="47"/>
        <v>0</v>
      </c>
      <c r="AY122" s="13">
        <f t="shared" si="47"/>
        <v>0</v>
      </c>
    </row>
    <row r="123" spans="1:53">
      <c r="A123" s="4" t="s">
        <v>622</v>
      </c>
      <c r="B123" s="13"/>
      <c r="C123" s="13"/>
      <c r="D123" s="13"/>
      <c r="E123" s="13"/>
      <c r="F123" s="13"/>
      <c r="G123" s="13"/>
      <c r="H123" s="13"/>
      <c r="I123" s="13"/>
      <c r="J123" s="13"/>
      <c r="K123" s="13"/>
      <c r="L123" s="13"/>
      <c r="M123" s="13"/>
      <c r="N123" s="13">
        <f t="shared" si="46"/>
        <v>0</v>
      </c>
      <c r="O123" s="13">
        <f t="shared" si="46"/>
        <v>0</v>
      </c>
      <c r="P123" s="13">
        <f t="shared" si="46"/>
        <v>0</v>
      </c>
      <c r="Q123" s="13">
        <f t="shared" si="46"/>
        <v>0</v>
      </c>
      <c r="R123" s="13">
        <f t="shared" si="46"/>
        <v>0</v>
      </c>
      <c r="S123" s="13">
        <f t="shared" si="46"/>
        <v>0</v>
      </c>
      <c r="T123" s="13">
        <f t="shared" si="46"/>
        <v>0</v>
      </c>
      <c r="U123" s="13">
        <f t="shared" si="46"/>
        <v>0</v>
      </c>
      <c r="V123" s="13">
        <f t="shared" si="46"/>
        <v>0</v>
      </c>
      <c r="W123" s="13">
        <f t="shared" si="46"/>
        <v>0</v>
      </c>
      <c r="X123" s="13">
        <f t="shared" si="46"/>
        <v>0</v>
      </c>
      <c r="Y123" s="13">
        <f t="shared" si="46"/>
        <v>0</v>
      </c>
      <c r="Z123" s="13">
        <f t="shared" si="46"/>
        <v>0</v>
      </c>
      <c r="AA123" s="13">
        <f t="shared" si="46"/>
        <v>0</v>
      </c>
      <c r="AB123" s="13">
        <f t="shared" si="46"/>
        <v>0</v>
      </c>
      <c r="AC123" s="13">
        <f t="shared" si="46"/>
        <v>0</v>
      </c>
      <c r="AD123" s="13">
        <f t="shared" si="46"/>
        <v>0</v>
      </c>
      <c r="AE123" s="13">
        <f t="shared" si="46"/>
        <v>0</v>
      </c>
      <c r="AF123" s="13">
        <f t="shared" si="46"/>
        <v>0</v>
      </c>
      <c r="AG123" s="13">
        <f t="shared" si="46"/>
        <v>0</v>
      </c>
      <c r="AH123" s="13">
        <f t="shared" si="46"/>
        <v>31.257000000000001</v>
      </c>
      <c r="AI123" s="13">
        <f t="shared" si="46"/>
        <v>33.650100000000002</v>
      </c>
      <c r="AJ123" s="13">
        <f t="shared" si="46"/>
        <v>0</v>
      </c>
      <c r="AK123" s="13">
        <f t="shared" ref="AK123:AM126" si="48">AK$4*(AK55/100)</f>
        <v>31.460799999999995</v>
      </c>
      <c r="AL123" s="13">
        <f t="shared" si="48"/>
        <v>33.508799999999994</v>
      </c>
      <c r="AM123" s="13">
        <f t="shared" si="48"/>
        <v>33.79</v>
      </c>
      <c r="AN123" s="308"/>
      <c r="AO123" s="13"/>
      <c r="AP123" s="14"/>
      <c r="AQ123" s="14"/>
      <c r="AR123" s="13"/>
      <c r="AS123" s="13">
        <f t="shared" si="47"/>
        <v>0</v>
      </c>
      <c r="AT123" s="13">
        <f t="shared" si="47"/>
        <v>0</v>
      </c>
      <c r="AU123" s="13">
        <f t="shared" si="47"/>
        <v>0</v>
      </c>
      <c r="AV123" s="13">
        <f t="shared" si="47"/>
        <v>0</v>
      </c>
      <c r="AW123" s="13">
        <f t="shared" si="47"/>
        <v>0</v>
      </c>
      <c r="AX123" s="13">
        <f t="shared" si="47"/>
        <v>0</v>
      </c>
      <c r="AY123" s="13">
        <f t="shared" si="47"/>
        <v>0</v>
      </c>
    </row>
    <row r="124" spans="1:53">
      <c r="A124" s="4" t="s">
        <v>623</v>
      </c>
      <c r="B124" s="13"/>
      <c r="C124" s="13"/>
      <c r="D124" s="13"/>
      <c r="E124" s="13"/>
      <c r="F124" s="13"/>
      <c r="G124" s="13"/>
      <c r="H124" s="13"/>
      <c r="I124" s="13"/>
      <c r="J124" s="13"/>
      <c r="K124" s="13"/>
      <c r="L124" s="13"/>
      <c r="M124" s="13"/>
      <c r="N124" s="13">
        <f t="shared" si="46"/>
        <v>0</v>
      </c>
      <c r="O124" s="13">
        <f t="shared" si="46"/>
        <v>0</v>
      </c>
      <c r="P124" s="13">
        <f t="shared" si="46"/>
        <v>0</v>
      </c>
      <c r="Q124" s="13">
        <f t="shared" si="46"/>
        <v>0</v>
      </c>
      <c r="R124" s="13">
        <f t="shared" si="46"/>
        <v>0</v>
      </c>
      <c r="S124" s="13">
        <f t="shared" si="46"/>
        <v>0</v>
      </c>
      <c r="T124" s="13">
        <f t="shared" si="46"/>
        <v>0</v>
      </c>
      <c r="U124" s="13">
        <f t="shared" si="46"/>
        <v>0</v>
      </c>
      <c r="V124" s="13">
        <f t="shared" si="46"/>
        <v>0</v>
      </c>
      <c r="W124" s="13">
        <f t="shared" si="46"/>
        <v>0</v>
      </c>
      <c r="X124" s="13">
        <f t="shared" si="46"/>
        <v>0</v>
      </c>
      <c r="Y124" s="13">
        <f t="shared" si="46"/>
        <v>0</v>
      </c>
      <c r="Z124" s="13">
        <f t="shared" si="46"/>
        <v>0</v>
      </c>
      <c r="AA124" s="13">
        <f t="shared" si="46"/>
        <v>0</v>
      </c>
      <c r="AB124" s="13">
        <f t="shared" si="46"/>
        <v>0</v>
      </c>
      <c r="AC124" s="13">
        <f t="shared" si="46"/>
        <v>0</v>
      </c>
      <c r="AD124" s="13">
        <f t="shared" si="46"/>
        <v>0</v>
      </c>
      <c r="AE124" s="13">
        <f t="shared" si="46"/>
        <v>0</v>
      </c>
      <c r="AF124" s="13">
        <f t="shared" si="46"/>
        <v>0</v>
      </c>
      <c r="AG124" s="13">
        <f t="shared" si="46"/>
        <v>0</v>
      </c>
      <c r="AH124" s="13">
        <f t="shared" si="46"/>
        <v>65.231999999999999</v>
      </c>
      <c r="AI124" s="13">
        <f t="shared" si="46"/>
        <v>68.134500000000003</v>
      </c>
      <c r="AJ124" s="13">
        <f t="shared" si="46"/>
        <v>0</v>
      </c>
      <c r="AK124" s="13">
        <f t="shared" si="48"/>
        <v>70.786799999999999</v>
      </c>
      <c r="AL124" s="13">
        <f t="shared" si="48"/>
        <v>78.47359999999999</v>
      </c>
      <c r="AM124" s="13">
        <f t="shared" si="48"/>
        <v>85.86999999999999</v>
      </c>
      <c r="AN124" s="308"/>
      <c r="AO124" s="13"/>
      <c r="AP124" s="14"/>
      <c r="AQ124" s="14"/>
      <c r="AR124" s="299"/>
      <c r="AS124" s="299">
        <f t="shared" ref="AS124:AT124" si="49">AS$4*(19/100)</f>
        <v>86.45</v>
      </c>
      <c r="AT124" s="299">
        <f t="shared" si="49"/>
        <v>100.13</v>
      </c>
      <c r="AU124" s="299">
        <f>AU$4*(19/100)</f>
        <v>112.51226415094341</v>
      </c>
      <c r="AV124" s="299">
        <f>AV$4*(19/100)</f>
        <v>119.26300000000001</v>
      </c>
      <c r="AW124" s="299">
        <f>AW$4*(19/100)</f>
        <v>164.63499999999999</v>
      </c>
      <c r="AX124" s="299">
        <f>AX$4*(AX71/100)</f>
        <v>0</v>
      </c>
      <c r="AY124" s="299">
        <f>AY$4*(AY71/100)</f>
        <v>0</v>
      </c>
    </row>
    <row r="125" spans="1:53">
      <c r="A125" s="4" t="s">
        <v>624</v>
      </c>
      <c r="B125" s="13"/>
      <c r="C125" s="13"/>
      <c r="D125" s="13"/>
      <c r="E125" s="13"/>
      <c r="F125" s="13"/>
      <c r="G125" s="13"/>
      <c r="H125" s="13"/>
      <c r="I125" s="13"/>
      <c r="J125" s="13"/>
      <c r="K125" s="13"/>
      <c r="L125" s="13"/>
      <c r="M125" s="13"/>
      <c r="N125" s="13">
        <f t="shared" si="46"/>
        <v>0</v>
      </c>
      <c r="O125" s="13">
        <f t="shared" si="46"/>
        <v>0</v>
      </c>
      <c r="P125" s="13">
        <f t="shared" si="46"/>
        <v>0</v>
      </c>
      <c r="Q125" s="13">
        <f t="shared" si="46"/>
        <v>0</v>
      </c>
      <c r="R125" s="13">
        <f t="shared" si="46"/>
        <v>0</v>
      </c>
      <c r="S125" s="13">
        <f t="shared" si="46"/>
        <v>0</v>
      </c>
      <c r="T125" s="13">
        <f t="shared" si="46"/>
        <v>0</v>
      </c>
      <c r="U125" s="13">
        <f t="shared" si="46"/>
        <v>0</v>
      </c>
      <c r="V125" s="13">
        <f t="shared" si="46"/>
        <v>0</v>
      </c>
      <c r="W125" s="13">
        <f t="shared" si="46"/>
        <v>0</v>
      </c>
      <c r="X125" s="13">
        <f t="shared" si="46"/>
        <v>0</v>
      </c>
      <c r="Y125" s="13">
        <f t="shared" si="46"/>
        <v>0</v>
      </c>
      <c r="Z125" s="13">
        <f t="shared" si="46"/>
        <v>0</v>
      </c>
      <c r="AA125" s="13">
        <f t="shared" si="46"/>
        <v>0</v>
      </c>
      <c r="AB125" s="13">
        <f t="shared" si="46"/>
        <v>0</v>
      </c>
      <c r="AC125" s="13">
        <f t="shared" si="46"/>
        <v>0</v>
      </c>
      <c r="AD125" s="13">
        <f t="shared" si="46"/>
        <v>0</v>
      </c>
      <c r="AE125" s="13">
        <f t="shared" si="46"/>
        <v>0</v>
      </c>
      <c r="AF125" s="13">
        <f t="shared" si="46"/>
        <v>0</v>
      </c>
      <c r="AG125" s="13">
        <f t="shared" si="46"/>
        <v>0</v>
      </c>
      <c r="AH125" s="13">
        <f t="shared" si="46"/>
        <v>54.360000000000007</v>
      </c>
      <c r="AI125" s="13">
        <f t="shared" si="46"/>
        <v>51.448500000000003</v>
      </c>
      <c r="AJ125" s="13">
        <f t="shared" si="46"/>
        <v>0</v>
      </c>
      <c r="AK125" s="13">
        <f t="shared" si="48"/>
        <v>53.651899999999998</v>
      </c>
      <c r="AL125" s="13">
        <f t="shared" si="48"/>
        <v>54.988799999999998</v>
      </c>
      <c r="AM125" s="13">
        <f t="shared" si="48"/>
        <v>63.55</v>
      </c>
      <c r="AN125" s="308"/>
      <c r="AO125" s="13"/>
      <c r="AP125" s="14"/>
      <c r="AQ125" s="14"/>
      <c r="AR125" s="13"/>
      <c r="AS125" s="13">
        <f t="shared" ref="AS125:AW125" si="50">AS$4*(AS72/100)</f>
        <v>538.26499999999999</v>
      </c>
      <c r="AT125" s="13">
        <f t="shared" si="50"/>
        <v>805.41409999999985</v>
      </c>
      <c r="AU125" s="13">
        <f t="shared" si="50"/>
        <v>1051.995256318975</v>
      </c>
      <c r="AV125" s="13">
        <f t="shared" si="50"/>
        <v>1260.8233280000002</v>
      </c>
      <c r="AW125" s="13">
        <f t="shared" si="50"/>
        <v>2124.8269675000006</v>
      </c>
      <c r="AX125" s="13">
        <f>AX$4*(AX72/100)</f>
        <v>2267.6905313999996</v>
      </c>
      <c r="AY125" s="13">
        <f>AY$4*(AY72/100)</f>
        <v>2682.7822878000002</v>
      </c>
      <c r="AZ125" s="321"/>
      <c r="BA125" s="309"/>
    </row>
    <row r="126" spans="1:53">
      <c r="A126" s="4" t="s">
        <v>626</v>
      </c>
      <c r="B126" s="13"/>
      <c r="C126" s="13"/>
      <c r="D126" s="13"/>
      <c r="E126" s="13"/>
      <c r="F126" s="13"/>
      <c r="G126" s="13"/>
      <c r="H126" s="13"/>
      <c r="I126" s="13"/>
      <c r="J126" s="13"/>
      <c r="K126" s="13"/>
      <c r="L126" s="13"/>
      <c r="M126" s="13"/>
      <c r="N126" s="13">
        <f t="shared" si="46"/>
        <v>0</v>
      </c>
      <c r="O126" s="13">
        <f t="shared" si="46"/>
        <v>0</v>
      </c>
      <c r="P126" s="13">
        <f t="shared" si="46"/>
        <v>0</v>
      </c>
      <c r="Q126" s="13">
        <f t="shared" si="46"/>
        <v>0</v>
      </c>
      <c r="R126" s="13">
        <f t="shared" si="46"/>
        <v>0</v>
      </c>
      <c r="S126" s="13">
        <f t="shared" si="46"/>
        <v>0</v>
      </c>
      <c r="T126" s="13">
        <f t="shared" si="46"/>
        <v>0</v>
      </c>
      <c r="U126" s="13">
        <f t="shared" si="46"/>
        <v>0</v>
      </c>
      <c r="V126" s="13">
        <f t="shared" si="46"/>
        <v>0</v>
      </c>
      <c r="W126" s="13">
        <f t="shared" si="46"/>
        <v>0</v>
      </c>
      <c r="X126" s="13">
        <f t="shared" si="46"/>
        <v>0</v>
      </c>
      <c r="Y126" s="13">
        <f t="shared" si="46"/>
        <v>0</v>
      </c>
      <c r="Z126" s="13">
        <f t="shared" si="46"/>
        <v>0</v>
      </c>
      <c r="AA126" s="13">
        <f t="shared" si="46"/>
        <v>0</v>
      </c>
      <c r="AB126" s="13">
        <f t="shared" si="46"/>
        <v>0</v>
      </c>
      <c r="AC126" s="13">
        <f t="shared" si="46"/>
        <v>0</v>
      </c>
      <c r="AD126" s="13">
        <f t="shared" si="46"/>
        <v>0</v>
      </c>
      <c r="AE126" s="13">
        <f t="shared" si="46"/>
        <v>0</v>
      </c>
      <c r="AF126" s="13">
        <f t="shared" si="46"/>
        <v>0</v>
      </c>
      <c r="AG126" s="13">
        <f t="shared" si="46"/>
        <v>0</v>
      </c>
      <c r="AH126" s="13">
        <f t="shared" si="46"/>
        <v>25.821000000000002</v>
      </c>
      <c r="AI126" s="13">
        <f t="shared" si="46"/>
        <v>26.419500000000003</v>
      </c>
      <c r="AJ126" s="13">
        <f t="shared" si="46"/>
        <v>0</v>
      </c>
      <c r="AK126" s="13">
        <f t="shared" si="48"/>
        <v>26.404599999999999</v>
      </c>
      <c r="AL126" s="13">
        <f t="shared" si="48"/>
        <v>26.921599999999998</v>
      </c>
      <c r="AM126" s="13">
        <f t="shared" si="48"/>
        <v>30.069999999999997</v>
      </c>
      <c r="AN126" s="308"/>
      <c r="AO126" s="14"/>
      <c r="AP126" s="14"/>
      <c r="AQ126" s="14"/>
      <c r="AR126" s="13"/>
      <c r="AS126" s="13">
        <f t="shared" ref="AS126:AY126" si="51">AS$4*(AS74/100)</f>
        <v>558.96750000000009</v>
      </c>
      <c r="AT126" s="13">
        <f t="shared" si="51"/>
        <v>749.86830000000009</v>
      </c>
      <c r="AU126" s="13">
        <f t="shared" si="51"/>
        <v>981.86223923104342</v>
      </c>
      <c r="AV126" s="13">
        <f t="shared" si="51"/>
        <v>748.61385100000007</v>
      </c>
      <c r="AW126" s="13">
        <f t="shared" si="51"/>
        <v>1426.562275</v>
      </c>
      <c r="AX126" s="13">
        <f t="shared" si="51"/>
        <v>1916.4995198999995</v>
      </c>
      <c r="AY126" s="13">
        <f t="shared" si="51"/>
        <v>2175.2288819999999</v>
      </c>
    </row>
    <row r="127" spans="1:53">
      <c r="A127" s="10" t="s">
        <v>279</v>
      </c>
      <c r="B127" s="255">
        <f t="shared" ref="B127:AK127" si="52">SUM(B122:B126)</f>
        <v>0</v>
      </c>
      <c r="C127" s="255">
        <f t="shared" si="52"/>
        <v>0</v>
      </c>
      <c r="D127" s="255">
        <f t="shared" si="52"/>
        <v>0</v>
      </c>
      <c r="E127" s="255">
        <f t="shared" si="52"/>
        <v>0</v>
      </c>
      <c r="F127" s="255">
        <f t="shared" si="52"/>
        <v>0</v>
      </c>
      <c r="G127" s="255">
        <f t="shared" si="52"/>
        <v>0</v>
      </c>
      <c r="H127" s="255">
        <f t="shared" si="52"/>
        <v>0</v>
      </c>
      <c r="I127" s="255">
        <f t="shared" si="52"/>
        <v>0</v>
      </c>
      <c r="J127" s="255">
        <f t="shared" si="52"/>
        <v>0</v>
      </c>
      <c r="K127" s="255">
        <f t="shared" si="52"/>
        <v>0</v>
      </c>
      <c r="L127" s="255">
        <f t="shared" si="52"/>
        <v>0</v>
      </c>
      <c r="M127" s="255">
        <f t="shared" si="52"/>
        <v>0</v>
      </c>
      <c r="N127" s="255">
        <f t="shared" si="52"/>
        <v>0</v>
      </c>
      <c r="O127" s="255">
        <f t="shared" si="52"/>
        <v>0</v>
      </c>
      <c r="P127" s="255">
        <f t="shared" si="52"/>
        <v>0</v>
      </c>
      <c r="Q127" s="255">
        <f t="shared" si="52"/>
        <v>0</v>
      </c>
      <c r="R127" s="255">
        <f t="shared" si="52"/>
        <v>0</v>
      </c>
      <c r="S127" s="255">
        <f t="shared" si="52"/>
        <v>0</v>
      </c>
      <c r="T127" s="255">
        <f t="shared" si="52"/>
        <v>0</v>
      </c>
      <c r="U127" s="255">
        <f t="shared" si="52"/>
        <v>0</v>
      </c>
      <c r="V127" s="255">
        <f t="shared" si="52"/>
        <v>0</v>
      </c>
      <c r="W127" s="255">
        <f t="shared" si="52"/>
        <v>0</v>
      </c>
      <c r="X127" s="255">
        <f t="shared" si="52"/>
        <v>0</v>
      </c>
      <c r="Y127" s="255">
        <f t="shared" si="52"/>
        <v>0</v>
      </c>
      <c r="Z127" s="255">
        <f t="shared" si="52"/>
        <v>0</v>
      </c>
      <c r="AA127" s="255">
        <f t="shared" si="52"/>
        <v>0</v>
      </c>
      <c r="AB127" s="255">
        <f t="shared" si="52"/>
        <v>0</v>
      </c>
      <c r="AC127" s="255">
        <f t="shared" si="52"/>
        <v>0</v>
      </c>
      <c r="AD127" s="255">
        <f t="shared" si="52"/>
        <v>0</v>
      </c>
      <c r="AE127" s="255">
        <f t="shared" si="52"/>
        <v>0</v>
      </c>
      <c r="AF127" s="255">
        <f t="shared" si="52"/>
        <v>0</v>
      </c>
      <c r="AG127" s="255">
        <f t="shared" si="52"/>
        <v>0</v>
      </c>
      <c r="AH127" s="255">
        <f t="shared" si="52"/>
        <v>271.8</v>
      </c>
      <c r="AI127" s="255">
        <f t="shared" si="52"/>
        <v>278.37810000000002</v>
      </c>
      <c r="AJ127" s="255">
        <f t="shared" si="52"/>
        <v>0</v>
      </c>
      <c r="AK127" s="255">
        <f t="shared" si="52"/>
        <v>280.90000000000003</v>
      </c>
      <c r="AL127" s="255">
        <f>SUM(AL122:AL126)</f>
        <v>285.82719999999995</v>
      </c>
      <c r="AM127" s="255">
        <f>SUM(AM122:AM126)</f>
        <v>310</v>
      </c>
      <c r="AN127" s="1253"/>
      <c r="AO127" s="255"/>
      <c r="AP127" s="255"/>
      <c r="AQ127" s="255"/>
      <c r="AR127" s="255"/>
      <c r="AS127" s="255">
        <f t="shared" ref="AS127:AY127" si="53">SUM(AS122:AS126)</f>
        <v>1183.6825000000001</v>
      </c>
      <c r="AT127" s="255">
        <f t="shared" si="53"/>
        <v>1655.4123999999999</v>
      </c>
      <c r="AU127" s="255">
        <f t="shared" si="53"/>
        <v>2146.3697597009618</v>
      </c>
      <c r="AV127" s="255">
        <f t="shared" si="53"/>
        <v>2128.7001790000004</v>
      </c>
      <c r="AW127" s="255">
        <f t="shared" si="53"/>
        <v>3716.0242425000006</v>
      </c>
      <c r="AX127" s="255">
        <f t="shared" si="53"/>
        <v>4184.1900512999991</v>
      </c>
      <c r="AY127" s="255">
        <f t="shared" si="53"/>
        <v>4858.0111698000001</v>
      </c>
    </row>
    <row r="128" spans="1:53">
      <c r="A128" s="4"/>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285"/>
      <c r="AO128" s="13"/>
      <c r="AP128" s="13"/>
      <c r="AQ128" s="13"/>
      <c r="AR128" s="13"/>
      <c r="AS128" s="13"/>
      <c r="AT128" s="4"/>
      <c r="AU128" s="4"/>
      <c r="AV128" s="4"/>
      <c r="AW128" s="4"/>
      <c r="AX128" s="4"/>
      <c r="AY128" s="4"/>
    </row>
    <row r="129" spans="1:51">
      <c r="A129" s="251" t="s">
        <v>633</v>
      </c>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c r="AA129" s="252"/>
      <c r="AB129" s="252"/>
      <c r="AC129" s="252"/>
      <c r="AD129" s="252"/>
      <c r="AE129" s="252"/>
      <c r="AF129" s="252"/>
      <c r="AG129" s="252"/>
      <c r="AH129" s="252"/>
      <c r="AI129" s="252"/>
      <c r="AJ129" s="252"/>
      <c r="AK129" s="252"/>
      <c r="AL129" s="252"/>
      <c r="AM129" s="252"/>
      <c r="AN129" s="1252"/>
      <c r="AO129" s="273"/>
      <c r="AP129" s="273"/>
      <c r="AQ129" s="273"/>
      <c r="AR129" s="273"/>
      <c r="AS129" s="273"/>
      <c r="AT129" s="273"/>
      <c r="AU129" s="273"/>
      <c r="AV129" s="273"/>
      <c r="AW129" s="273"/>
      <c r="AX129" s="273"/>
      <c r="AY129" s="273"/>
    </row>
    <row r="130" spans="1:51">
      <c r="A130" s="4" t="s">
        <v>639</v>
      </c>
      <c r="B130" s="98"/>
      <c r="C130" s="98"/>
      <c r="D130" s="603"/>
      <c r="E130" s="603"/>
      <c r="F130" s="603"/>
      <c r="G130" s="603"/>
      <c r="H130" s="603"/>
      <c r="I130" s="603"/>
      <c r="J130" s="603"/>
      <c r="K130" s="603"/>
      <c r="L130" s="603"/>
      <c r="M130" s="603"/>
      <c r="N130" s="603"/>
      <c r="O130" s="603"/>
      <c r="P130" s="603"/>
      <c r="Q130" s="603"/>
      <c r="R130" s="603"/>
      <c r="S130" s="497"/>
      <c r="T130" s="497"/>
      <c r="U130" s="497"/>
      <c r="V130" s="497"/>
      <c r="W130" s="497"/>
      <c r="X130" s="497"/>
      <c r="Y130" s="497"/>
      <c r="Z130" s="497"/>
      <c r="AA130" s="497"/>
      <c r="AB130" s="497"/>
      <c r="AC130" s="497"/>
      <c r="AD130" s="497"/>
      <c r="AE130" s="497"/>
      <c r="AF130" s="497"/>
      <c r="AG130" s="497"/>
      <c r="AH130" s="497"/>
      <c r="AI130" s="497"/>
      <c r="AJ130" s="497"/>
      <c r="AK130" s="497"/>
      <c r="AL130" s="497">
        <f t="shared" ref="AL130:AM134" si="54">(AL122/AK122-1)*100</f>
        <v>-6.7563661369286159</v>
      </c>
      <c r="AM130" s="497">
        <f t="shared" si="54"/>
        <v>5.2054508432099356</v>
      </c>
      <c r="AN130" s="285"/>
      <c r="AO130" s="13"/>
      <c r="AP130" s="13"/>
      <c r="AQ130" s="16"/>
      <c r="AR130" s="16"/>
      <c r="AS130" s="16"/>
      <c r="AT130" s="16"/>
      <c r="AU130" s="16" t="e">
        <f>AU122/AT122-1</f>
        <v>#DIV/0!</v>
      </c>
      <c r="AV130" s="312" t="e">
        <f>(AV122/AU122-1)*100</f>
        <v>#DIV/0!</v>
      </c>
      <c r="AW130" s="312" t="e">
        <f>(AW122/AV122-1)*100</f>
        <v>#DIV/0!</v>
      </c>
      <c r="AX130" s="312" t="e">
        <f>(AX122/AW122-1)*100</f>
        <v>#DIV/0!</v>
      </c>
      <c r="AY130" s="312" t="e">
        <f>(AY122/AX122-1)*100</f>
        <v>#DIV/0!</v>
      </c>
    </row>
    <row r="131" spans="1:51">
      <c r="A131" s="4" t="s">
        <v>622</v>
      </c>
      <c r="B131" s="98"/>
      <c r="C131" s="98"/>
      <c r="D131" s="603"/>
      <c r="E131" s="603"/>
      <c r="F131" s="603"/>
      <c r="G131" s="603"/>
      <c r="H131" s="603"/>
      <c r="I131" s="603"/>
      <c r="J131" s="603"/>
      <c r="K131" s="603"/>
      <c r="L131" s="603"/>
      <c r="M131" s="603"/>
      <c r="N131" s="603"/>
      <c r="O131" s="603"/>
      <c r="P131" s="603"/>
      <c r="Q131" s="603"/>
      <c r="R131" s="603"/>
      <c r="S131" s="497"/>
      <c r="T131" s="497"/>
      <c r="U131" s="497"/>
      <c r="V131" s="497"/>
      <c r="W131" s="497"/>
      <c r="X131" s="497"/>
      <c r="Y131" s="497"/>
      <c r="Z131" s="497"/>
      <c r="AA131" s="497"/>
      <c r="AB131" s="497"/>
      <c r="AC131" s="497"/>
      <c r="AD131" s="497"/>
      <c r="AE131" s="497"/>
      <c r="AF131" s="497"/>
      <c r="AG131" s="497"/>
      <c r="AH131" s="497"/>
      <c r="AI131" s="497"/>
      <c r="AJ131" s="497"/>
      <c r="AK131" s="497"/>
      <c r="AL131" s="497">
        <f t="shared" si="54"/>
        <v>6.5096882469612982</v>
      </c>
      <c r="AM131" s="497">
        <f t="shared" si="54"/>
        <v>0.83918254309316431</v>
      </c>
      <c r="AN131" s="285"/>
      <c r="AO131" s="13"/>
      <c r="AP131" s="13"/>
      <c r="AQ131" s="16"/>
      <c r="AR131" s="16"/>
      <c r="AS131" s="16"/>
      <c r="AT131" s="16"/>
      <c r="AU131" s="16" t="e">
        <f>AU123/AT123-1</f>
        <v>#DIV/0!</v>
      </c>
      <c r="AV131" s="312" t="e">
        <f>(AV123/AU123-1)*100</f>
        <v>#DIV/0!</v>
      </c>
      <c r="AW131" s="507">
        <v>27.2</v>
      </c>
      <c r="AX131" s="312" t="e">
        <f t="shared" ref="AX131:AY134" si="55">(AX123/AW123-1)*100</f>
        <v>#DIV/0!</v>
      </c>
      <c r="AY131" s="312" t="e">
        <f t="shared" si="55"/>
        <v>#DIV/0!</v>
      </c>
    </row>
    <row r="132" spans="1:51">
      <c r="A132" s="4" t="s">
        <v>623</v>
      </c>
      <c r="B132" s="98"/>
      <c r="C132" s="98"/>
      <c r="D132" s="603"/>
      <c r="E132" s="603"/>
      <c r="F132" s="603"/>
      <c r="G132" s="603"/>
      <c r="H132" s="603"/>
      <c r="I132" s="603"/>
      <c r="J132" s="603"/>
      <c r="K132" s="603"/>
      <c r="L132" s="603"/>
      <c r="M132" s="603"/>
      <c r="N132" s="603"/>
      <c r="O132" s="603"/>
      <c r="P132" s="603"/>
      <c r="Q132" s="603"/>
      <c r="R132" s="603"/>
      <c r="S132" s="497"/>
      <c r="T132" s="497"/>
      <c r="U132" s="497"/>
      <c r="V132" s="497"/>
      <c r="W132" s="497"/>
      <c r="X132" s="497"/>
      <c r="Y132" s="497"/>
      <c r="Z132" s="497"/>
      <c r="AA132" s="497"/>
      <c r="AB132" s="497"/>
      <c r="AC132" s="497"/>
      <c r="AD132" s="497"/>
      <c r="AE132" s="497"/>
      <c r="AF132" s="497"/>
      <c r="AG132" s="497"/>
      <c r="AH132" s="497"/>
      <c r="AI132" s="497"/>
      <c r="AJ132" s="497"/>
      <c r="AK132" s="497"/>
      <c r="AL132" s="497">
        <f t="shared" si="54"/>
        <v>10.85908672238325</v>
      </c>
      <c r="AM132" s="497">
        <f t="shared" si="54"/>
        <v>9.4253353994209412</v>
      </c>
      <c r="AN132" s="285"/>
      <c r="AO132" s="13"/>
      <c r="AP132" s="13"/>
      <c r="AQ132" s="16"/>
      <c r="AR132" s="16"/>
      <c r="AS132" s="16"/>
      <c r="AT132" s="16"/>
      <c r="AU132" s="16">
        <f>AU124/AT124-1</f>
        <v>0.12366188106405085</v>
      </c>
      <c r="AV132" s="312">
        <f>(AV124/AU124-1)*100</f>
        <v>5.9999999999999831</v>
      </c>
      <c r="AW132" s="507">
        <v>43</v>
      </c>
      <c r="AX132" s="312">
        <f t="shared" si="55"/>
        <v>-100</v>
      </c>
      <c r="AY132" s="312" t="e">
        <f t="shared" si="55"/>
        <v>#DIV/0!</v>
      </c>
    </row>
    <row r="133" spans="1:51">
      <c r="A133" s="4" t="s">
        <v>624</v>
      </c>
      <c r="B133" s="98"/>
      <c r="C133" s="98"/>
      <c r="D133" s="603"/>
      <c r="E133" s="603"/>
      <c r="F133" s="603"/>
      <c r="G133" s="603"/>
      <c r="H133" s="603"/>
      <c r="I133" s="603"/>
      <c r="J133" s="603"/>
      <c r="K133" s="603"/>
      <c r="L133" s="603"/>
      <c r="M133" s="603"/>
      <c r="N133" s="603"/>
      <c r="O133" s="603"/>
      <c r="P133" s="603"/>
      <c r="Q133" s="603"/>
      <c r="R133" s="603"/>
      <c r="S133" s="497"/>
      <c r="T133" s="497"/>
      <c r="U133" s="497"/>
      <c r="V133" s="497"/>
      <c r="W133" s="497"/>
      <c r="X133" s="497"/>
      <c r="Y133" s="497"/>
      <c r="Z133" s="497"/>
      <c r="AA133" s="497"/>
      <c r="AB133" s="497"/>
      <c r="AC133" s="497"/>
      <c r="AD133" s="497"/>
      <c r="AE133" s="497"/>
      <c r="AF133" s="497"/>
      <c r="AG133" s="497"/>
      <c r="AH133" s="497"/>
      <c r="AI133" s="497"/>
      <c r="AJ133" s="497"/>
      <c r="AK133" s="497"/>
      <c r="AL133" s="497">
        <f t="shared" si="54"/>
        <v>2.4918036453508652</v>
      </c>
      <c r="AM133" s="497">
        <f t="shared" si="54"/>
        <v>15.568988594040967</v>
      </c>
      <c r="AN133" s="285"/>
      <c r="AO133" s="13"/>
      <c r="AP133" s="13"/>
      <c r="AQ133" s="16"/>
      <c r="AR133" s="16"/>
      <c r="AS133" s="16"/>
      <c r="AT133" s="16"/>
      <c r="AU133" s="16">
        <f>AU125/AT125-1</f>
        <v>0.30615450650662202</v>
      </c>
      <c r="AV133" s="312">
        <f>(AV125/AU125-1)*100</f>
        <v>19.850666666666662</v>
      </c>
      <c r="AW133" s="507">
        <v>19.100000000000001</v>
      </c>
      <c r="AX133" s="312">
        <f t="shared" si="55"/>
        <v>6.7235387203357755</v>
      </c>
      <c r="AY133" s="312">
        <f t="shared" si="55"/>
        <v>18.304603324499325</v>
      </c>
    </row>
    <row r="134" spans="1:51">
      <c r="A134" s="4" t="s">
        <v>626</v>
      </c>
      <c r="B134" s="98"/>
      <c r="C134" s="98"/>
      <c r="D134" s="603"/>
      <c r="E134" s="603"/>
      <c r="F134" s="603"/>
      <c r="G134" s="603"/>
      <c r="H134" s="603"/>
      <c r="I134" s="603"/>
      <c r="J134" s="603"/>
      <c r="K134" s="603"/>
      <c r="L134" s="603"/>
      <c r="M134" s="603"/>
      <c r="N134" s="603"/>
      <c r="O134" s="603"/>
      <c r="P134" s="603"/>
      <c r="Q134" s="603"/>
      <c r="R134" s="603"/>
      <c r="S134" s="497"/>
      <c r="T134" s="497"/>
      <c r="U134" s="497"/>
      <c r="V134" s="497"/>
      <c r="W134" s="497"/>
      <c r="X134" s="497"/>
      <c r="Y134" s="497"/>
      <c r="Z134" s="497"/>
      <c r="AA134" s="497"/>
      <c r="AB134" s="497"/>
      <c r="AC134" s="497"/>
      <c r="AD134" s="497"/>
      <c r="AE134" s="497"/>
      <c r="AF134" s="497"/>
      <c r="AG134" s="497"/>
      <c r="AH134" s="497"/>
      <c r="AI134" s="497"/>
      <c r="AJ134" s="497"/>
      <c r="AK134" s="497"/>
      <c r="AL134" s="497">
        <f t="shared" si="54"/>
        <v>1.9579921680313195</v>
      </c>
      <c r="AM134" s="497">
        <f t="shared" si="54"/>
        <v>11.694698680613325</v>
      </c>
      <c r="AN134" s="285"/>
      <c r="AO134" s="13"/>
      <c r="AP134" s="13"/>
      <c r="AQ134" s="16"/>
      <c r="AR134" s="16"/>
      <c r="AS134" s="16"/>
      <c r="AT134" s="16"/>
      <c r="AU134" s="16">
        <f>AU126/AT126-1</f>
        <v>0.30937957936219362</v>
      </c>
      <c r="AV134" s="312">
        <f>(AV126/AU126-1)*100</f>
        <v>-23.755714285714301</v>
      </c>
      <c r="AW134" s="312">
        <f>(AW126/AV126-1)*100</f>
        <v>90.560496989789186</v>
      </c>
      <c r="AX134" s="312">
        <f t="shared" si="55"/>
        <v>34.343908673738021</v>
      </c>
      <c r="AY134" s="312">
        <f t="shared" si="55"/>
        <v>13.500100543385507</v>
      </c>
    </row>
    <row r="135" spans="1:51">
      <c r="A135" s="4"/>
      <c r="B135" s="13"/>
      <c r="C135" s="13"/>
      <c r="D135" s="260"/>
      <c r="E135" s="260"/>
      <c r="F135" s="260"/>
      <c r="G135" s="260"/>
      <c r="H135" s="260"/>
      <c r="I135" s="260"/>
      <c r="J135" s="260"/>
      <c r="K135" s="260"/>
      <c r="L135" s="260"/>
      <c r="M135" s="260"/>
      <c r="N135" s="260"/>
      <c r="O135" s="260"/>
      <c r="P135" s="260"/>
      <c r="Q135" s="260"/>
      <c r="R135" s="260"/>
      <c r="S135" s="312"/>
      <c r="T135" s="312"/>
      <c r="U135" s="312"/>
      <c r="V135" s="312"/>
      <c r="W135" s="312"/>
      <c r="X135" s="312"/>
      <c r="Y135" s="312"/>
      <c r="Z135" s="312"/>
      <c r="AA135" s="312"/>
      <c r="AB135" s="312"/>
      <c r="AC135" s="312"/>
      <c r="AD135" s="312"/>
      <c r="AE135" s="312"/>
      <c r="AF135" s="312"/>
      <c r="AG135" s="312"/>
      <c r="AH135" s="312"/>
      <c r="AI135" s="312"/>
      <c r="AJ135" s="312"/>
      <c r="AK135" s="312"/>
      <c r="AL135" s="312"/>
      <c r="AM135" s="312"/>
      <c r="AN135" s="285"/>
      <c r="AO135" s="13"/>
      <c r="AP135" s="13"/>
      <c r="AQ135" s="16"/>
      <c r="AR135" s="16"/>
      <c r="AS135" s="16"/>
      <c r="AT135" s="16"/>
      <c r="AU135" s="16"/>
      <c r="AV135" s="16"/>
      <c r="AW135" s="16"/>
      <c r="AX135" s="16"/>
      <c r="AY135" s="16"/>
    </row>
    <row r="136" spans="1:51">
      <c r="A136" s="251" t="s">
        <v>634</v>
      </c>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c r="AA136" s="252"/>
      <c r="AB136" s="252"/>
      <c r="AC136" s="252"/>
      <c r="AD136" s="252"/>
      <c r="AE136" s="252"/>
      <c r="AF136" s="252"/>
      <c r="AG136" s="252"/>
      <c r="AH136" s="252"/>
      <c r="AI136" s="252"/>
      <c r="AJ136" s="252"/>
      <c r="AK136" s="252"/>
      <c r="AL136" s="252"/>
      <c r="AM136" s="252"/>
      <c r="AN136" s="1252"/>
      <c r="AO136" s="273"/>
      <c r="AP136" s="273"/>
      <c r="AQ136" s="273"/>
      <c r="AR136" s="273"/>
      <c r="AS136" s="273"/>
      <c r="AT136" s="273"/>
      <c r="AU136" s="273"/>
      <c r="AV136" s="273"/>
      <c r="AW136" s="273"/>
      <c r="AX136" s="273"/>
      <c r="AY136" s="273"/>
    </row>
    <row r="137" spans="1:51">
      <c r="A137" s="4" t="s">
        <v>639</v>
      </c>
      <c r="B137" s="13"/>
      <c r="C137" s="13"/>
      <c r="D137" s="260"/>
      <c r="E137" s="260"/>
      <c r="F137" s="260"/>
      <c r="G137" s="16"/>
      <c r="H137" s="16"/>
      <c r="I137" s="16"/>
      <c r="J137" s="16"/>
      <c r="K137" s="16"/>
      <c r="L137" s="16"/>
      <c r="M137" s="16"/>
      <c r="N137" s="16"/>
      <c r="O137" s="16"/>
      <c r="P137" s="16"/>
      <c r="Q137" s="16"/>
      <c r="R137" s="16"/>
      <c r="S137" s="497"/>
      <c r="T137" s="497"/>
      <c r="U137" s="497"/>
      <c r="V137" s="497"/>
      <c r="W137" s="497"/>
      <c r="X137" s="497"/>
      <c r="Y137" s="497"/>
      <c r="Z137" s="497"/>
      <c r="AA137" s="497"/>
      <c r="AB137" s="497"/>
      <c r="AC137" s="497"/>
      <c r="AD137" s="497"/>
      <c r="AE137" s="497"/>
      <c r="AF137" s="497"/>
      <c r="AG137" s="497"/>
      <c r="AH137" s="497"/>
      <c r="AI137" s="497"/>
      <c r="AJ137" s="497"/>
      <c r="AK137" s="497"/>
      <c r="AL137" s="497">
        <f t="shared" ref="AL137:AM141" si="56">(AL122/AH122-1)*100</f>
        <v>-3.3591926836959884</v>
      </c>
      <c r="AM137" s="497">
        <f t="shared" si="56"/>
        <v>-2.0313900663962214</v>
      </c>
      <c r="AN137" s="285"/>
      <c r="AO137" s="13"/>
      <c r="AP137" s="13"/>
      <c r="AQ137" s="16"/>
      <c r="AR137" s="16"/>
      <c r="AS137" s="16"/>
      <c r="AT137" s="16"/>
      <c r="AU137" s="16"/>
      <c r="AV137" s="16"/>
      <c r="AW137" s="16"/>
      <c r="AX137" s="16"/>
      <c r="AY137" s="16"/>
    </row>
    <row r="138" spans="1:51">
      <c r="A138" s="4" t="s">
        <v>622</v>
      </c>
      <c r="B138" s="13"/>
      <c r="C138" s="13"/>
      <c r="D138" s="260"/>
      <c r="E138" s="260"/>
      <c r="F138" s="260"/>
      <c r="G138" s="16"/>
      <c r="H138" s="16"/>
      <c r="I138" s="16"/>
      <c r="J138" s="16"/>
      <c r="K138" s="16"/>
      <c r="L138" s="16"/>
      <c r="M138" s="16"/>
      <c r="N138" s="16"/>
      <c r="O138" s="16"/>
      <c r="P138" s="16"/>
      <c r="Q138" s="16"/>
      <c r="R138" s="16"/>
      <c r="S138" s="497"/>
      <c r="T138" s="497"/>
      <c r="U138" s="497"/>
      <c r="V138" s="497"/>
      <c r="W138" s="497"/>
      <c r="X138" s="497"/>
      <c r="Y138" s="497"/>
      <c r="Z138" s="497"/>
      <c r="AA138" s="497"/>
      <c r="AB138" s="497"/>
      <c r="AC138" s="497"/>
      <c r="AD138" s="497"/>
      <c r="AE138" s="497"/>
      <c r="AF138" s="497"/>
      <c r="AG138" s="497"/>
      <c r="AH138" s="497"/>
      <c r="AI138" s="497"/>
      <c r="AJ138" s="497"/>
      <c r="AK138" s="497"/>
      <c r="AL138" s="497">
        <f t="shared" si="56"/>
        <v>7.2041462712352233</v>
      </c>
      <c r="AM138" s="497">
        <f t="shared" si="56"/>
        <v>0.4157491359609633</v>
      </c>
      <c r="AN138" s="285"/>
      <c r="AO138" s="13"/>
      <c r="AP138" s="13"/>
      <c r="AQ138" s="16"/>
      <c r="AR138" s="16"/>
      <c r="AS138" s="16"/>
      <c r="AT138" s="16"/>
      <c r="AU138" s="16"/>
      <c r="AV138" s="16"/>
      <c r="AW138" s="16"/>
      <c r="AX138" s="16"/>
      <c r="AY138" s="16"/>
    </row>
    <row r="139" spans="1:51">
      <c r="A139" s="4" t="s">
        <v>623</v>
      </c>
      <c r="B139" s="13"/>
      <c r="C139" s="13"/>
      <c r="D139" s="260"/>
      <c r="E139" s="260"/>
      <c r="F139" s="260"/>
      <c r="G139" s="16"/>
      <c r="H139" s="16"/>
      <c r="I139" s="16"/>
      <c r="J139" s="16"/>
      <c r="K139" s="16"/>
      <c r="L139" s="16"/>
      <c r="M139" s="16"/>
      <c r="N139" s="16"/>
      <c r="O139" s="16"/>
      <c r="P139" s="16"/>
      <c r="Q139" s="16"/>
      <c r="R139" s="16"/>
      <c r="S139" s="497"/>
      <c r="T139" s="497"/>
      <c r="U139" s="497"/>
      <c r="V139" s="497"/>
      <c r="W139" s="497"/>
      <c r="X139" s="497"/>
      <c r="Y139" s="497"/>
      <c r="Z139" s="497"/>
      <c r="AA139" s="497"/>
      <c r="AB139" s="497"/>
      <c r="AC139" s="497"/>
      <c r="AD139" s="497"/>
      <c r="AE139" s="497"/>
      <c r="AF139" s="497"/>
      <c r="AG139" s="497"/>
      <c r="AH139" s="497"/>
      <c r="AI139" s="497"/>
      <c r="AJ139" s="497"/>
      <c r="AK139" s="497"/>
      <c r="AL139" s="497">
        <f t="shared" si="56"/>
        <v>20.299239636987963</v>
      </c>
      <c r="AM139" s="497">
        <f t="shared" si="56"/>
        <v>26.030131577981773</v>
      </c>
      <c r="AN139" s="285"/>
      <c r="AO139" s="13"/>
      <c r="AP139" s="13"/>
      <c r="AQ139" s="16"/>
      <c r="AR139" s="16"/>
      <c r="AS139" s="16"/>
      <c r="AT139" s="16"/>
      <c r="AU139" s="16"/>
      <c r="AV139" s="16"/>
      <c r="AW139" s="16"/>
      <c r="AX139" s="16"/>
      <c r="AY139" s="16"/>
    </row>
    <row r="140" spans="1:51">
      <c r="A140" s="4" t="s">
        <v>624</v>
      </c>
      <c r="B140" s="13"/>
      <c r="C140" s="13"/>
      <c r="D140" s="260"/>
      <c r="E140" s="260"/>
      <c r="F140" s="260"/>
      <c r="G140" s="16"/>
      <c r="H140" s="16"/>
      <c r="I140" s="16"/>
      <c r="J140" s="16"/>
      <c r="K140" s="16"/>
      <c r="L140" s="16"/>
      <c r="M140" s="16"/>
      <c r="N140" s="16"/>
      <c r="O140" s="16"/>
      <c r="P140" s="16"/>
      <c r="Q140" s="16"/>
      <c r="R140" s="16"/>
      <c r="S140" s="497"/>
      <c r="T140" s="497"/>
      <c r="U140" s="497"/>
      <c r="V140" s="497"/>
      <c r="W140" s="497"/>
      <c r="X140" s="497"/>
      <c r="Y140" s="497"/>
      <c r="Z140" s="497"/>
      <c r="AA140" s="497"/>
      <c r="AB140" s="497"/>
      <c r="AC140" s="497"/>
      <c r="AD140" s="497"/>
      <c r="AE140" s="497"/>
      <c r="AF140" s="497"/>
      <c r="AG140" s="497"/>
      <c r="AH140" s="497"/>
      <c r="AI140" s="497"/>
      <c r="AJ140" s="497"/>
      <c r="AK140" s="497"/>
      <c r="AL140" s="497">
        <f t="shared" si="56"/>
        <v>1.1567328918322239</v>
      </c>
      <c r="AM140" s="497">
        <f t="shared" si="56"/>
        <v>23.521579832259441</v>
      </c>
      <c r="AN140" s="285"/>
      <c r="AO140" s="13"/>
      <c r="AP140" s="13"/>
      <c r="AQ140" s="16"/>
      <c r="AR140" s="16"/>
      <c r="AS140" s="16"/>
      <c r="AT140" s="16"/>
      <c r="AU140" s="16"/>
      <c r="AV140" s="16"/>
      <c r="AW140" s="16"/>
      <c r="AX140" s="16"/>
      <c r="AY140" s="16"/>
    </row>
    <row r="141" spans="1:51">
      <c r="A141" s="4" t="s">
        <v>626</v>
      </c>
      <c r="B141" s="13"/>
      <c r="C141" s="13"/>
      <c r="D141" s="260"/>
      <c r="E141" s="260"/>
      <c r="F141" s="260"/>
      <c r="G141" s="16"/>
      <c r="H141" s="16"/>
      <c r="I141" s="16"/>
      <c r="J141" s="16"/>
      <c r="K141" s="16"/>
      <c r="L141" s="16"/>
      <c r="M141" s="16"/>
      <c r="N141" s="16"/>
      <c r="O141" s="16"/>
      <c r="P141" s="16"/>
      <c r="Q141" s="16"/>
      <c r="R141" s="16"/>
      <c r="S141" s="497"/>
      <c r="T141" s="497"/>
      <c r="U141" s="497"/>
      <c r="V141" s="497"/>
      <c r="W141" s="497"/>
      <c r="X141" s="497"/>
      <c r="Y141" s="497"/>
      <c r="Z141" s="497"/>
      <c r="AA141" s="497"/>
      <c r="AB141" s="497"/>
      <c r="AC141" s="497"/>
      <c r="AD141" s="497"/>
      <c r="AE141" s="497"/>
      <c r="AF141" s="497"/>
      <c r="AG141" s="497"/>
      <c r="AH141" s="497"/>
      <c r="AI141" s="497"/>
      <c r="AJ141" s="497"/>
      <c r="AK141" s="497"/>
      <c r="AL141" s="497">
        <f t="shared" si="56"/>
        <v>4.2624220595639084</v>
      </c>
      <c r="AM141" s="497">
        <f t="shared" si="56"/>
        <v>13.817445447491416</v>
      </c>
      <c r="AN141" s="285"/>
      <c r="AO141" s="13"/>
      <c r="AP141" s="13"/>
      <c r="AQ141" s="16"/>
      <c r="AR141" s="16"/>
      <c r="AS141" s="16"/>
      <c r="AT141" s="16"/>
      <c r="AU141" s="16"/>
      <c r="AV141" s="16"/>
      <c r="AW141" s="16"/>
      <c r="AX141" s="16"/>
      <c r="AY141" s="16"/>
    </row>
    <row r="142" spans="1:51">
      <c r="A142" s="4"/>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285"/>
      <c r="AO142" s="13"/>
      <c r="AP142" s="13"/>
      <c r="AQ142" s="13"/>
      <c r="AR142" s="13"/>
      <c r="AS142" s="13"/>
      <c r="AT142" s="4"/>
      <c r="AU142" s="4"/>
      <c r="AV142" s="4"/>
      <c r="AW142" s="4"/>
      <c r="AX142" s="4"/>
      <c r="AY142" s="4"/>
    </row>
    <row r="143" spans="1:51">
      <c r="A143" s="251" t="s">
        <v>640</v>
      </c>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c r="AA143" s="252"/>
      <c r="AB143" s="252"/>
      <c r="AC143" s="252"/>
      <c r="AD143" s="252"/>
      <c r="AE143" s="252"/>
      <c r="AF143" s="252"/>
      <c r="AG143" s="252"/>
      <c r="AH143" s="252"/>
      <c r="AI143" s="252"/>
      <c r="AJ143" s="252"/>
      <c r="AK143" s="252"/>
      <c r="AL143" s="252"/>
      <c r="AM143" s="252"/>
      <c r="AN143" s="1252"/>
      <c r="AO143" s="273"/>
      <c r="AP143" s="273"/>
      <c r="AQ143" s="273"/>
      <c r="AR143" s="273"/>
      <c r="AS143" s="273"/>
      <c r="AT143" s="273"/>
      <c r="AU143" s="273"/>
      <c r="AV143" s="273"/>
      <c r="AW143" s="273"/>
      <c r="AX143" s="273"/>
      <c r="AY143" s="273"/>
    </row>
    <row r="144" spans="1:51">
      <c r="A144" s="4" t="s">
        <v>616</v>
      </c>
      <c r="B144" s="13"/>
      <c r="C144" s="13" t="e">
        <f t="shared" ref="C144:AM146" si="57">C$4*(C37/100)</f>
        <v>#REF!</v>
      </c>
      <c r="D144" s="13" t="e">
        <f t="shared" si="57"/>
        <v>#REF!</v>
      </c>
      <c r="E144" s="13" t="e">
        <f t="shared" si="57"/>
        <v>#REF!</v>
      </c>
      <c r="F144" s="13" t="e">
        <f t="shared" si="57"/>
        <v>#REF!</v>
      </c>
      <c r="G144" s="13" t="e">
        <f t="shared" si="57"/>
        <v>#REF!</v>
      </c>
      <c r="H144" s="13" t="e">
        <f t="shared" si="57"/>
        <v>#REF!</v>
      </c>
      <c r="I144" s="13" t="e">
        <f t="shared" si="57"/>
        <v>#REF!</v>
      </c>
      <c r="J144" s="13">
        <f t="shared" si="57"/>
        <v>0</v>
      </c>
      <c r="K144" s="13" t="e">
        <f t="shared" si="57"/>
        <v>#REF!</v>
      </c>
      <c r="L144" s="13" t="e">
        <f t="shared" si="57"/>
        <v>#REF!</v>
      </c>
      <c r="M144" s="13" t="e">
        <f t="shared" si="57"/>
        <v>#REF!</v>
      </c>
      <c r="N144" s="13">
        <f t="shared" si="57"/>
        <v>0</v>
      </c>
      <c r="O144" s="13">
        <f t="shared" si="57"/>
        <v>0</v>
      </c>
      <c r="P144" s="13">
        <f t="shared" si="57"/>
        <v>0</v>
      </c>
      <c r="Q144" s="13">
        <f t="shared" si="57"/>
        <v>65.910941108545032</v>
      </c>
      <c r="R144" s="13">
        <f t="shared" si="57"/>
        <v>68.650072992700728</v>
      </c>
      <c r="S144" s="13">
        <f t="shared" si="57"/>
        <v>72.015992074724039</v>
      </c>
      <c r="T144" s="13">
        <f t="shared" si="57"/>
        <v>72.598562773002669</v>
      </c>
      <c r="U144" s="13">
        <f t="shared" si="57"/>
        <v>71.208205414457169</v>
      </c>
      <c r="V144" s="13">
        <f t="shared" si="57"/>
        <v>65.613100000000003</v>
      </c>
      <c r="W144" s="13">
        <f t="shared" si="57"/>
        <v>74.352000000000004</v>
      </c>
      <c r="X144" s="13">
        <f t="shared" si="57"/>
        <v>79.435200000000009</v>
      </c>
      <c r="Y144" s="13">
        <f t="shared" si="57"/>
        <v>79.854400000000012</v>
      </c>
      <c r="Z144" s="13">
        <f t="shared" si="57"/>
        <v>103.84399999999999</v>
      </c>
      <c r="AA144" s="13">
        <f t="shared" si="57"/>
        <v>111.08160000000001</v>
      </c>
      <c r="AB144" s="13">
        <f t="shared" si="57"/>
        <v>118.11280000000001</v>
      </c>
      <c r="AC144" s="13">
        <f t="shared" si="57"/>
        <v>115.9676</v>
      </c>
      <c r="AD144" s="13">
        <f t="shared" si="57"/>
        <v>122.45309999999999</v>
      </c>
      <c r="AE144" s="13">
        <f t="shared" si="57"/>
        <v>126.6597</v>
      </c>
      <c r="AF144" s="13">
        <f t="shared" si="57"/>
        <v>123.83640000000001</v>
      </c>
      <c r="AG144" s="13">
        <f t="shared" si="57"/>
        <v>127.70519999999999</v>
      </c>
      <c r="AH144" s="13">
        <f t="shared" si="57"/>
        <v>135.08460000000002</v>
      </c>
      <c r="AI144" s="13">
        <f t="shared" si="57"/>
        <v>137.38140000000001</v>
      </c>
      <c r="AJ144" s="13">
        <f t="shared" si="57"/>
        <v>131.41200000000001</v>
      </c>
      <c r="AK144" s="13">
        <f t="shared" si="57"/>
        <v>133.98929999999999</v>
      </c>
      <c r="AL144" s="13">
        <f t="shared" si="57"/>
        <v>142.9136</v>
      </c>
      <c r="AM144" s="13">
        <f t="shared" si="57"/>
        <v>154.38</v>
      </c>
      <c r="AN144" s="308"/>
      <c r="AO144" s="256"/>
      <c r="AP144" s="256"/>
      <c r="AQ144" s="13"/>
      <c r="AR144" s="13"/>
      <c r="AS144" s="13">
        <f t="shared" ref="AS144:AY146" si="58">AS$4*(AS37/100)</f>
        <v>222.95</v>
      </c>
      <c r="AT144" s="13">
        <f t="shared" si="58"/>
        <v>258.23</v>
      </c>
      <c r="AU144" s="13">
        <f t="shared" si="58"/>
        <v>284.24150943396228</v>
      </c>
      <c r="AV144" s="13">
        <f t="shared" si="58"/>
        <v>301.29599999999999</v>
      </c>
      <c r="AW144" s="13">
        <f t="shared" si="58"/>
        <v>448.84700000000004</v>
      </c>
      <c r="AX144" s="13">
        <f t="shared" si="58"/>
        <v>499.84829999999994</v>
      </c>
      <c r="AY144" s="13">
        <f t="shared" si="58"/>
        <v>530.96190000000001</v>
      </c>
    </row>
    <row r="145" spans="1:51">
      <c r="A145" s="4" t="s">
        <v>617</v>
      </c>
      <c r="B145" s="13"/>
      <c r="C145" s="13" t="e">
        <f t="shared" si="57"/>
        <v>#REF!</v>
      </c>
      <c r="D145" s="13" t="e">
        <f t="shared" si="57"/>
        <v>#REF!</v>
      </c>
      <c r="E145" s="13" t="e">
        <f t="shared" si="57"/>
        <v>#REF!</v>
      </c>
      <c r="F145" s="13" t="e">
        <f t="shared" si="57"/>
        <v>#REF!</v>
      </c>
      <c r="G145" s="13" t="e">
        <f t="shared" si="57"/>
        <v>#REF!</v>
      </c>
      <c r="H145" s="13" t="e">
        <f t="shared" si="57"/>
        <v>#REF!</v>
      </c>
      <c r="I145" s="13" t="e">
        <f t="shared" si="57"/>
        <v>#REF!</v>
      </c>
      <c r="J145" s="13">
        <f t="shared" si="57"/>
        <v>0</v>
      </c>
      <c r="K145" s="13" t="e">
        <f t="shared" si="57"/>
        <v>#REF!</v>
      </c>
      <c r="L145" s="13" t="e">
        <f t="shared" si="57"/>
        <v>#REF!</v>
      </c>
      <c r="M145" s="13" t="e">
        <f t="shared" si="57"/>
        <v>#REF!</v>
      </c>
      <c r="N145" s="13">
        <f t="shared" si="57"/>
        <v>0</v>
      </c>
      <c r="O145" s="13">
        <f t="shared" si="57"/>
        <v>0</v>
      </c>
      <c r="P145" s="13">
        <f t="shared" si="57"/>
        <v>0</v>
      </c>
      <c r="Q145" s="13">
        <f t="shared" si="57"/>
        <v>44.389001154734416</v>
      </c>
      <c r="R145" s="13">
        <f t="shared" si="57"/>
        <v>49.035766423357664</v>
      </c>
      <c r="S145" s="13">
        <f t="shared" si="57"/>
        <v>54.379422587036515</v>
      </c>
      <c r="T145" s="13">
        <f t="shared" si="57"/>
        <v>55.961392137522893</v>
      </c>
      <c r="U145" s="13">
        <f t="shared" si="57"/>
        <v>61.920178621267098</v>
      </c>
      <c r="V145" s="13">
        <f t="shared" si="57"/>
        <v>50.643799999999992</v>
      </c>
      <c r="W145" s="13">
        <f t="shared" si="57"/>
        <v>55.764000000000003</v>
      </c>
      <c r="X145" s="13">
        <f t="shared" si="57"/>
        <v>57.566400000000002</v>
      </c>
      <c r="Y145" s="13">
        <f t="shared" si="57"/>
        <v>68.151600000000002</v>
      </c>
      <c r="Z145" s="13">
        <f t="shared" si="57"/>
        <v>69.894999999999996</v>
      </c>
      <c r="AA145" s="13">
        <f t="shared" si="57"/>
        <v>69.160000000000011</v>
      </c>
      <c r="AB145" s="13">
        <f t="shared" si="57"/>
        <v>74.679200000000009</v>
      </c>
      <c r="AC145" s="13">
        <f t="shared" si="57"/>
        <v>92.495199999999997</v>
      </c>
      <c r="AD145" s="13">
        <f t="shared" si="57"/>
        <v>88.080299999999994</v>
      </c>
      <c r="AE145" s="13">
        <f t="shared" si="57"/>
        <v>95.0565</v>
      </c>
      <c r="AF145" s="13">
        <f t="shared" si="57"/>
        <v>101.43509999999999</v>
      </c>
      <c r="AG145" s="13">
        <f t="shared" si="57"/>
        <v>104.7024</v>
      </c>
      <c r="AH145" s="13">
        <f t="shared" si="57"/>
        <v>104.91480000000001</v>
      </c>
      <c r="AI145" s="13">
        <f t="shared" si="57"/>
        <v>107.9028</v>
      </c>
      <c r="AJ145" s="13">
        <f t="shared" si="57"/>
        <v>112.80000000000001</v>
      </c>
      <c r="AK145" s="13">
        <f t="shared" si="57"/>
        <v>112.6409</v>
      </c>
      <c r="AL145" s="13">
        <f t="shared" si="57"/>
        <v>110.8368</v>
      </c>
      <c r="AM145" s="13">
        <f t="shared" si="57"/>
        <v>117.17999999999998</v>
      </c>
      <c r="AN145" s="308"/>
      <c r="AO145" s="256"/>
      <c r="AP145" s="256"/>
      <c r="AQ145" s="13"/>
      <c r="AR145" s="13"/>
      <c r="AS145" s="13">
        <f t="shared" si="58"/>
        <v>141.05000000000001</v>
      </c>
      <c r="AT145" s="13">
        <f t="shared" si="58"/>
        <v>173.91</v>
      </c>
      <c r="AU145" s="13">
        <f t="shared" si="58"/>
        <v>219.10283018867926</v>
      </c>
      <c r="AV145" s="13">
        <f t="shared" si="58"/>
        <v>232.24900000000002</v>
      </c>
      <c r="AW145" s="13">
        <f t="shared" si="58"/>
        <v>306.74099999999999</v>
      </c>
      <c r="AX145" s="13">
        <f t="shared" si="58"/>
        <v>389.66129999999998</v>
      </c>
      <c r="AY145" s="13">
        <f t="shared" si="58"/>
        <v>433.12419999999992</v>
      </c>
    </row>
    <row r="146" spans="1:51">
      <c r="A146" s="4" t="s">
        <v>618</v>
      </c>
      <c r="B146" s="13"/>
      <c r="C146" s="13" t="e">
        <f t="shared" si="57"/>
        <v>#REF!</v>
      </c>
      <c r="D146" s="13" t="e">
        <f t="shared" si="57"/>
        <v>#REF!</v>
      </c>
      <c r="E146" s="13" t="e">
        <f t="shared" si="57"/>
        <v>#REF!</v>
      </c>
      <c r="F146" s="13" t="e">
        <f t="shared" si="57"/>
        <v>#REF!</v>
      </c>
      <c r="G146" s="13" t="e">
        <f t="shared" si="57"/>
        <v>#REF!</v>
      </c>
      <c r="H146" s="13" t="e">
        <f t="shared" si="57"/>
        <v>#REF!</v>
      </c>
      <c r="I146" s="13" t="e">
        <f t="shared" si="57"/>
        <v>#REF!</v>
      </c>
      <c r="J146" s="13">
        <f t="shared" si="57"/>
        <v>0</v>
      </c>
      <c r="K146" s="13" t="e">
        <f t="shared" si="57"/>
        <v>#REF!</v>
      </c>
      <c r="L146" s="13" t="e">
        <f t="shared" si="57"/>
        <v>#REF!</v>
      </c>
      <c r="M146" s="13" t="e">
        <f t="shared" si="57"/>
        <v>#REF!</v>
      </c>
      <c r="N146" s="13">
        <f t="shared" si="57"/>
        <v>0</v>
      </c>
      <c r="O146" s="13">
        <f t="shared" si="57"/>
        <v>0</v>
      </c>
      <c r="P146" s="13">
        <f t="shared" si="57"/>
        <v>0</v>
      </c>
      <c r="Q146" s="13">
        <f t="shared" si="57"/>
        <v>24.212182448036952</v>
      </c>
      <c r="R146" s="13">
        <f t="shared" si="57"/>
        <v>22.416350364963506</v>
      </c>
      <c r="S146" s="13">
        <f t="shared" si="57"/>
        <v>20.57599773563544</v>
      </c>
      <c r="T146" s="13">
        <f t="shared" si="57"/>
        <v>22.687050866563336</v>
      </c>
      <c r="U146" s="13">
        <f t="shared" si="57"/>
        <v>21.672062517443486</v>
      </c>
      <c r="V146" s="13">
        <f t="shared" si="57"/>
        <v>23.643100000000004</v>
      </c>
      <c r="W146" s="13">
        <f t="shared" si="57"/>
        <v>24.784000000000002</v>
      </c>
      <c r="X146" s="13">
        <f t="shared" si="57"/>
        <v>23.798400000000001</v>
      </c>
      <c r="Y146" s="13">
        <f t="shared" si="57"/>
        <v>24.266099999999998</v>
      </c>
      <c r="Z146" s="13">
        <f t="shared" si="57"/>
        <v>25.960999999999999</v>
      </c>
      <c r="AA146" s="13">
        <f t="shared" si="57"/>
        <v>32.558399999999999</v>
      </c>
      <c r="AB146" s="13">
        <f t="shared" si="57"/>
        <v>28.808</v>
      </c>
      <c r="AC146" s="13">
        <f t="shared" si="57"/>
        <v>23.937200000000004</v>
      </c>
      <c r="AD146" s="13">
        <f t="shared" si="57"/>
        <v>28.4053</v>
      </c>
      <c r="AE146" s="13">
        <f t="shared" si="57"/>
        <v>25.183799999999998</v>
      </c>
      <c r="AF146" s="13">
        <f t="shared" si="57"/>
        <v>26.428499999999996</v>
      </c>
      <c r="AG146" s="13">
        <f t="shared" si="57"/>
        <v>31.992399999999996</v>
      </c>
      <c r="AH146" s="13">
        <f t="shared" si="57"/>
        <v>31.800599999999999</v>
      </c>
      <c r="AI146" s="13">
        <f t="shared" si="57"/>
        <v>32.815800000000003</v>
      </c>
      <c r="AJ146" s="13">
        <f t="shared" si="57"/>
        <v>37.788000000000004</v>
      </c>
      <c r="AK146" s="13">
        <f t="shared" si="57"/>
        <v>34.269799999999996</v>
      </c>
      <c r="AL146" s="13">
        <f t="shared" si="57"/>
        <v>32.6496</v>
      </c>
      <c r="AM146" s="13">
        <f t="shared" si="57"/>
        <v>38.44</v>
      </c>
      <c r="AN146" s="308"/>
      <c r="AO146" s="256"/>
      <c r="AP146" s="256"/>
      <c r="AQ146" s="13"/>
      <c r="AR146" s="13"/>
      <c r="AS146" s="13">
        <f t="shared" si="58"/>
        <v>91</v>
      </c>
      <c r="AT146" s="13">
        <f t="shared" si="58"/>
        <v>94.86</v>
      </c>
      <c r="AU146" s="13">
        <f t="shared" si="58"/>
        <v>88.825471698113219</v>
      </c>
      <c r="AV146" s="13">
        <f t="shared" si="58"/>
        <v>94.155000000000001</v>
      </c>
      <c r="AW146" s="13">
        <f t="shared" si="58"/>
        <v>110.91200000000001</v>
      </c>
      <c r="AX146" s="13">
        <f t="shared" si="58"/>
        <v>112.19040000000001</v>
      </c>
      <c r="AY146" s="13">
        <f t="shared" si="58"/>
        <v>135.2139</v>
      </c>
    </row>
    <row r="147" spans="1:51">
      <c r="A147" s="10" t="s">
        <v>279</v>
      </c>
      <c r="B147" s="254">
        <f t="shared" ref="B147:AB147" si="59">SUM(B144:B146)</f>
        <v>0</v>
      </c>
      <c r="C147" s="255" t="e">
        <f t="shared" si="59"/>
        <v>#REF!</v>
      </c>
      <c r="D147" s="255" t="e">
        <f t="shared" si="59"/>
        <v>#REF!</v>
      </c>
      <c r="E147" s="255" t="e">
        <f t="shared" si="59"/>
        <v>#REF!</v>
      </c>
      <c r="F147" s="255" t="e">
        <f t="shared" si="59"/>
        <v>#REF!</v>
      </c>
      <c r="G147" s="255" t="e">
        <f t="shared" si="59"/>
        <v>#REF!</v>
      </c>
      <c r="H147" s="255" t="e">
        <f t="shared" si="59"/>
        <v>#REF!</v>
      </c>
      <c r="I147" s="255" t="e">
        <f t="shared" si="59"/>
        <v>#REF!</v>
      </c>
      <c r="J147" s="255">
        <f t="shared" si="59"/>
        <v>0</v>
      </c>
      <c r="K147" s="255" t="e">
        <f t="shared" si="59"/>
        <v>#REF!</v>
      </c>
      <c r="L147" s="255" t="e">
        <f t="shared" si="59"/>
        <v>#REF!</v>
      </c>
      <c r="M147" s="255" t="e">
        <f t="shared" si="59"/>
        <v>#REF!</v>
      </c>
      <c r="N147" s="255">
        <f t="shared" si="59"/>
        <v>0</v>
      </c>
      <c r="O147" s="255">
        <f t="shared" si="59"/>
        <v>0</v>
      </c>
      <c r="P147" s="255">
        <f t="shared" si="59"/>
        <v>0</v>
      </c>
      <c r="Q147" s="255">
        <f t="shared" si="59"/>
        <v>134.5121247113164</v>
      </c>
      <c r="R147" s="255">
        <f t="shared" si="59"/>
        <v>140.10218978102191</v>
      </c>
      <c r="S147" s="255">
        <f t="shared" si="59"/>
        <v>146.97141239739599</v>
      </c>
      <c r="T147" s="255">
        <f t="shared" si="59"/>
        <v>151.2470057770889</v>
      </c>
      <c r="U147" s="255">
        <f t="shared" si="59"/>
        <v>154.80044655316775</v>
      </c>
      <c r="V147" s="255">
        <f t="shared" si="59"/>
        <v>139.9</v>
      </c>
      <c r="W147" s="255">
        <f t="shared" si="59"/>
        <v>154.9</v>
      </c>
      <c r="X147" s="255">
        <f t="shared" si="59"/>
        <v>160.80000000000001</v>
      </c>
      <c r="Y147" s="255">
        <f t="shared" si="59"/>
        <v>172.27210000000002</v>
      </c>
      <c r="Z147" s="255">
        <f t="shared" si="59"/>
        <v>199.7</v>
      </c>
      <c r="AA147" s="255">
        <f t="shared" si="59"/>
        <v>212.8</v>
      </c>
      <c r="AB147" s="255">
        <f t="shared" si="59"/>
        <v>221.60000000000002</v>
      </c>
      <c r="AC147" s="255">
        <f t="shared" ref="AC147:AM147" si="60">SUM(AC144:AC146)</f>
        <v>232.40000000000003</v>
      </c>
      <c r="AD147" s="255">
        <f t="shared" si="60"/>
        <v>238.93869999999998</v>
      </c>
      <c r="AE147" s="255">
        <f t="shared" si="60"/>
        <v>246.9</v>
      </c>
      <c r="AF147" s="255">
        <f t="shared" si="60"/>
        <v>251.7</v>
      </c>
      <c r="AG147" s="255">
        <f t="shared" si="60"/>
        <v>264.39999999999998</v>
      </c>
      <c r="AH147" s="255">
        <f t="shared" si="60"/>
        <v>271.8</v>
      </c>
      <c r="AI147" s="255">
        <f t="shared" si="60"/>
        <v>278.10000000000002</v>
      </c>
      <c r="AJ147" s="255">
        <f t="shared" si="60"/>
        <v>282</v>
      </c>
      <c r="AK147" s="255">
        <f t="shared" si="60"/>
        <v>280.89999999999998</v>
      </c>
      <c r="AL147" s="255">
        <f t="shared" si="60"/>
        <v>286.40000000000003</v>
      </c>
      <c r="AM147" s="255">
        <f t="shared" si="60"/>
        <v>309.99999999999994</v>
      </c>
      <c r="AN147" s="1253"/>
      <c r="AO147" s="274"/>
      <c r="AP147" s="274"/>
      <c r="AQ147" s="274"/>
      <c r="AR147" s="274"/>
      <c r="AS147" s="274">
        <f t="shared" ref="AS147:AY147" si="61">SUM(AS144:AS146)</f>
        <v>455</v>
      </c>
      <c r="AT147" s="274">
        <f t="shared" si="61"/>
        <v>527</v>
      </c>
      <c r="AU147" s="274">
        <f t="shared" si="61"/>
        <v>592.16981132075477</v>
      </c>
      <c r="AV147" s="274">
        <f t="shared" si="61"/>
        <v>627.70000000000005</v>
      </c>
      <c r="AW147" s="274">
        <f t="shared" si="61"/>
        <v>866.5</v>
      </c>
      <c r="AX147" s="274">
        <f t="shared" si="61"/>
        <v>1001.6999999999998</v>
      </c>
      <c r="AY147" s="274">
        <f t="shared" si="61"/>
        <v>1099.3</v>
      </c>
    </row>
    <row r="148" spans="1:51">
      <c r="A148" s="4" t="s">
        <v>619</v>
      </c>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616">
        <f>AL148/0.7</f>
        <v>15.54742857142857</v>
      </c>
      <c r="AL148" s="13">
        <f>AL$4*(AL41/100)</f>
        <v>10.883199999999999</v>
      </c>
      <c r="AM148" s="13">
        <f>AM$4*(AM41/100)</f>
        <v>0</v>
      </c>
      <c r="AN148" s="285"/>
      <c r="AO148" s="13"/>
      <c r="AP148" s="13"/>
      <c r="AQ148" s="13"/>
      <c r="AR148" s="13"/>
      <c r="AS148" s="13"/>
      <c r="AT148" s="4"/>
      <c r="AU148" s="4"/>
      <c r="AV148" s="4"/>
      <c r="AW148" s="4"/>
      <c r="AX148" s="4"/>
      <c r="AY148" s="4"/>
    </row>
    <row r="149" spans="1:51">
      <c r="AK149" s="617">
        <f>AK147-AK148</f>
        <v>265.35257142857142</v>
      </c>
      <c r="AL149" s="617">
        <f>AL147-AL148</f>
        <v>275.51680000000005</v>
      </c>
      <c r="AM149" s="617">
        <f>AM147-AM148</f>
        <v>309.99999999999994</v>
      </c>
    </row>
    <row r="150" spans="1:51">
      <c r="A150" s="251" t="s">
        <v>633</v>
      </c>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c r="AA150" s="252"/>
      <c r="AB150" s="252"/>
      <c r="AC150" s="252"/>
      <c r="AD150" s="252"/>
      <c r="AE150" s="252"/>
      <c r="AF150" s="252"/>
      <c r="AG150" s="252"/>
      <c r="AH150" s="252"/>
      <c r="AI150" s="252"/>
      <c r="AJ150" s="252"/>
      <c r="AK150" s="252"/>
      <c r="AL150" s="252"/>
      <c r="AM150" s="252"/>
      <c r="AN150" s="1252"/>
      <c r="AO150" s="273"/>
      <c r="AP150" s="273"/>
      <c r="AQ150" s="273"/>
      <c r="AR150" s="273"/>
      <c r="AS150" s="273"/>
      <c r="AT150" s="273"/>
      <c r="AU150" s="273"/>
      <c r="AV150" s="273"/>
      <c r="AW150" s="273"/>
      <c r="AX150" s="273"/>
      <c r="AY150" s="273"/>
    </row>
    <row r="151" spans="1:51">
      <c r="A151" s="4" t="s">
        <v>616</v>
      </c>
      <c r="B151" s="9"/>
      <c r="C151" s="9"/>
      <c r="D151" s="260"/>
      <c r="E151" s="260"/>
      <c r="F151" s="260"/>
      <c r="G151" s="260"/>
      <c r="H151" s="260"/>
      <c r="I151" s="260"/>
      <c r="J151" s="260"/>
      <c r="K151" s="260"/>
      <c r="L151" s="260"/>
      <c r="M151" s="260"/>
      <c r="N151" s="260"/>
      <c r="O151" s="260"/>
      <c r="P151" s="260"/>
      <c r="Q151" s="260"/>
      <c r="R151" s="312">
        <f t="shared" ref="R151:AM155" si="62">(R144/Q144-1)*100</f>
        <v>4.1558075762334834</v>
      </c>
      <c r="S151" s="312">
        <f t="shared" si="62"/>
        <v>4.9030087446246373</v>
      </c>
      <c r="T151" s="312">
        <f t="shared" si="62"/>
        <v>0.80894629303189802</v>
      </c>
      <c r="U151" s="312">
        <f t="shared" si="62"/>
        <v>-1.915130693279421</v>
      </c>
      <c r="V151" s="312">
        <f t="shared" si="62"/>
        <v>-7.857388599939652</v>
      </c>
      <c r="W151" s="312">
        <f t="shared" si="62"/>
        <v>13.318834196219953</v>
      </c>
      <c r="X151" s="312">
        <f t="shared" si="62"/>
        <v>6.8366688185926394</v>
      </c>
      <c r="Y151" s="312">
        <f t="shared" si="62"/>
        <v>0.52772574375088421</v>
      </c>
      <c r="Z151" s="312">
        <f t="shared" si="62"/>
        <v>30.041675850047067</v>
      </c>
      <c r="AA151" s="312">
        <f t="shared" si="62"/>
        <v>6.9696852971765422</v>
      </c>
      <c r="AB151" s="312">
        <f t="shared" si="62"/>
        <v>6.3297611845706259</v>
      </c>
      <c r="AC151" s="497">
        <f t="shared" si="62"/>
        <v>-1.8162299090361045</v>
      </c>
      <c r="AD151" s="497">
        <f t="shared" si="62"/>
        <v>5.5925103218485095</v>
      </c>
      <c r="AE151" s="497">
        <f t="shared" si="62"/>
        <v>3.4352744030163418</v>
      </c>
      <c r="AF151" s="497">
        <f t="shared" si="62"/>
        <v>-2.2290436500323252</v>
      </c>
      <c r="AG151" s="497">
        <f t="shared" si="62"/>
        <v>3.1241218252468395</v>
      </c>
      <c r="AH151" s="497">
        <f t="shared" si="62"/>
        <v>5.7784647766888408</v>
      </c>
      <c r="AI151" s="497">
        <f t="shared" si="62"/>
        <v>1.7002678321585085</v>
      </c>
      <c r="AJ151" s="497">
        <f t="shared" si="62"/>
        <v>-4.3451296900453791</v>
      </c>
      <c r="AK151" s="497">
        <f t="shared" si="62"/>
        <v>1.9612364167655771</v>
      </c>
      <c r="AL151" s="497">
        <f t="shared" si="62"/>
        <v>6.6604572156135022</v>
      </c>
      <c r="AM151" s="497">
        <f t="shared" si="62"/>
        <v>8.0233091882088168</v>
      </c>
      <c r="AN151" s="308"/>
      <c r="AO151" s="9"/>
      <c r="AP151" s="9"/>
      <c r="AQ151" s="9"/>
      <c r="AR151" s="9"/>
      <c r="AS151" s="9"/>
      <c r="AT151" s="4"/>
      <c r="AU151" s="21">
        <v>11.7</v>
      </c>
      <c r="AV151" s="312">
        <f>(AV144/AU144-1)*100</f>
        <v>5.9999999999999831</v>
      </c>
      <c r="AW151" s="507">
        <v>49.7</v>
      </c>
      <c r="AX151" s="312">
        <f t="shared" ref="AX151:AY153" si="63">(AX144/AW144-1)*100</f>
        <v>11.362736077104207</v>
      </c>
      <c r="AY151" s="312">
        <f t="shared" si="63"/>
        <v>6.2246085462329459</v>
      </c>
    </row>
    <row r="152" spans="1:51">
      <c r="A152" s="4" t="s">
        <v>617</v>
      </c>
      <c r="B152" s="13"/>
      <c r="C152" s="13"/>
      <c r="D152" s="260"/>
      <c r="E152" s="260"/>
      <c r="F152" s="260"/>
      <c r="G152" s="260"/>
      <c r="H152" s="260"/>
      <c r="I152" s="260"/>
      <c r="J152" s="260"/>
      <c r="K152" s="260"/>
      <c r="L152" s="260"/>
      <c r="M152" s="260"/>
      <c r="N152" s="260"/>
      <c r="O152" s="260"/>
      <c r="P152" s="260"/>
      <c r="Q152" s="260"/>
      <c r="R152" s="312">
        <f t="shared" si="62"/>
        <v>10.468280762671856</v>
      </c>
      <c r="S152" s="312">
        <f t="shared" si="62"/>
        <v>10.897466387174592</v>
      </c>
      <c r="T152" s="312">
        <f t="shared" si="62"/>
        <v>2.9091326741367496</v>
      </c>
      <c r="U152" s="312">
        <f t="shared" si="62"/>
        <v>10.648031180319318</v>
      </c>
      <c r="V152" s="312">
        <f t="shared" si="62"/>
        <v>-18.211153249797185</v>
      </c>
      <c r="W152" s="312">
        <f t="shared" si="62"/>
        <v>10.110220797017622</v>
      </c>
      <c r="X152" s="312">
        <f t="shared" si="62"/>
        <v>3.2321928125672361</v>
      </c>
      <c r="Y152" s="312">
        <f t="shared" si="62"/>
        <v>18.387809555574087</v>
      </c>
      <c r="Z152" s="312">
        <f t="shared" si="62"/>
        <v>2.5581204256392986</v>
      </c>
      <c r="AA152" s="312">
        <f t="shared" si="62"/>
        <v>-1.0515773660490502</v>
      </c>
      <c r="AB152" s="312">
        <f t="shared" si="62"/>
        <v>7.9803354540196603</v>
      </c>
      <c r="AC152" s="497">
        <f t="shared" si="62"/>
        <v>23.85670976657488</v>
      </c>
      <c r="AD152" s="497">
        <f t="shared" si="62"/>
        <v>-4.7731125507053385</v>
      </c>
      <c r="AE152" s="497">
        <f t="shared" si="62"/>
        <v>7.9202727511146209</v>
      </c>
      <c r="AF152" s="497">
        <f t="shared" si="62"/>
        <v>6.7103249120259889</v>
      </c>
      <c r="AG152" s="497">
        <f t="shared" si="62"/>
        <v>3.2210743618333426</v>
      </c>
      <c r="AH152" s="497">
        <f t="shared" si="62"/>
        <v>0.20286067941137631</v>
      </c>
      <c r="AI152" s="497">
        <f t="shared" si="62"/>
        <v>2.8480252547781415</v>
      </c>
      <c r="AJ152" s="497">
        <f t="shared" si="62"/>
        <v>4.5385291206530454</v>
      </c>
      <c r="AK152" s="497">
        <f t="shared" si="62"/>
        <v>-0.14104609929078693</v>
      </c>
      <c r="AL152" s="497">
        <f t="shared" si="62"/>
        <v>-1.6016384812266304</v>
      </c>
      <c r="AM152" s="497">
        <f t="shared" si="62"/>
        <v>5.7230089645316173</v>
      </c>
      <c r="AN152" s="285"/>
      <c r="AO152" s="13"/>
      <c r="AP152" s="13"/>
      <c r="AQ152" s="13"/>
      <c r="AR152" s="13"/>
      <c r="AS152" s="13"/>
      <c r="AT152" s="4"/>
      <c r="AU152" s="21">
        <v>27.9</v>
      </c>
      <c r="AV152" s="312">
        <f>(AV145/AU145-1)*100</f>
        <v>6.0000000000000053</v>
      </c>
      <c r="AW152" s="507">
        <v>32.5</v>
      </c>
      <c r="AX152" s="312">
        <f t="shared" si="63"/>
        <v>27.032675775328375</v>
      </c>
      <c r="AY152" s="312">
        <f t="shared" si="63"/>
        <v>11.15402017085092</v>
      </c>
    </row>
    <row r="153" spans="1:51">
      <c r="A153" s="4" t="s">
        <v>618</v>
      </c>
      <c r="B153" s="13"/>
      <c r="C153" s="13"/>
      <c r="D153" s="260"/>
      <c r="E153" s="260"/>
      <c r="F153" s="260"/>
      <c r="G153" s="260"/>
      <c r="H153" s="260"/>
      <c r="I153" s="260"/>
      <c r="J153" s="260"/>
      <c r="K153" s="260"/>
      <c r="L153" s="260"/>
      <c r="M153" s="260"/>
      <c r="N153" s="260"/>
      <c r="O153" s="260"/>
      <c r="P153" s="260"/>
      <c r="Q153" s="260"/>
      <c r="R153" s="312">
        <f t="shared" si="62"/>
        <v>-7.4170599322369029</v>
      </c>
      <c r="S153" s="312">
        <f t="shared" si="62"/>
        <v>-8.209867348453459</v>
      </c>
      <c r="T153" s="312">
        <f t="shared" si="62"/>
        <v>10.259785008003664</v>
      </c>
      <c r="U153" s="312">
        <f t="shared" si="62"/>
        <v>-4.4738664143243128</v>
      </c>
      <c r="V153" s="312">
        <f t="shared" si="62"/>
        <v>9.0948311032697617</v>
      </c>
      <c r="W153" s="312">
        <f t="shared" si="62"/>
        <v>4.8255093452212128</v>
      </c>
      <c r="X153" s="312">
        <f t="shared" si="62"/>
        <v>-3.9767591994835483</v>
      </c>
      <c r="Y153" s="312">
        <f t="shared" si="62"/>
        <v>1.9652581686163684</v>
      </c>
      <c r="Z153" s="312">
        <f t="shared" si="62"/>
        <v>6.9846411248614348</v>
      </c>
      <c r="AA153" s="312">
        <f t="shared" si="62"/>
        <v>25.412734486344913</v>
      </c>
      <c r="AB153" s="312">
        <f t="shared" si="62"/>
        <v>-11.51899356233721</v>
      </c>
      <c r="AC153" s="312">
        <f t="shared" si="62"/>
        <v>-16.907803387947773</v>
      </c>
      <c r="AD153" s="312">
        <f t="shared" si="62"/>
        <v>18.665925839279417</v>
      </c>
      <c r="AE153" s="312">
        <f t="shared" si="62"/>
        <v>-11.34119336884315</v>
      </c>
      <c r="AF153" s="312">
        <f t="shared" si="62"/>
        <v>4.9424630119362378</v>
      </c>
      <c r="AG153" s="312">
        <f t="shared" si="62"/>
        <v>21.052651493652697</v>
      </c>
      <c r="AH153" s="312">
        <f t="shared" si="62"/>
        <v>-0.59951738537902255</v>
      </c>
      <c r="AI153" s="312">
        <f t="shared" si="62"/>
        <v>3.1923925963661226</v>
      </c>
      <c r="AJ153" s="312">
        <f t="shared" si="62"/>
        <v>15.151847585614252</v>
      </c>
      <c r="AK153" s="312">
        <f t="shared" si="62"/>
        <v>-9.3103630782259135</v>
      </c>
      <c r="AL153" s="312">
        <f t="shared" si="62"/>
        <v>-4.7277778102002284</v>
      </c>
      <c r="AM153" s="312">
        <f t="shared" si="62"/>
        <v>17.73497990787023</v>
      </c>
      <c r="AN153" s="285"/>
      <c r="AO153" s="13"/>
      <c r="AP153" s="13"/>
      <c r="AQ153" s="13"/>
      <c r="AR153" s="13"/>
      <c r="AS153" s="13"/>
      <c r="AT153" s="4"/>
      <c r="AU153" s="21">
        <v>6.5</v>
      </c>
      <c r="AV153" s="312">
        <f>(AV146/AU146-1)*100</f>
        <v>5.9999999999999831</v>
      </c>
      <c r="AW153" s="507">
        <v>14.6</v>
      </c>
      <c r="AX153" s="312">
        <f t="shared" si="63"/>
        <v>1.1526255049048029</v>
      </c>
      <c r="AY153" s="312">
        <f t="shared" si="63"/>
        <v>20.521809352671873</v>
      </c>
    </row>
    <row r="154" spans="1:51">
      <c r="A154" s="4"/>
      <c r="B154" s="13"/>
      <c r="C154" s="13"/>
      <c r="D154" s="260"/>
      <c r="E154" s="260"/>
      <c r="F154" s="260"/>
      <c r="G154" s="260"/>
      <c r="H154" s="260"/>
      <c r="I154" s="260"/>
      <c r="J154" s="260"/>
      <c r="K154" s="260"/>
      <c r="L154" s="260"/>
      <c r="M154" s="260"/>
      <c r="N154" s="260"/>
      <c r="O154" s="260"/>
      <c r="P154" s="260"/>
      <c r="Q154" s="260"/>
      <c r="R154" s="312"/>
      <c r="S154" s="312"/>
      <c r="T154" s="312"/>
      <c r="U154" s="312"/>
      <c r="V154" s="312"/>
      <c r="W154" s="312"/>
      <c r="X154" s="312"/>
      <c r="Y154" s="312"/>
      <c r="Z154" s="312"/>
      <c r="AA154" s="312"/>
      <c r="AB154" s="312"/>
      <c r="AC154" s="312"/>
      <c r="AD154" s="312"/>
      <c r="AE154" s="312"/>
      <c r="AF154" s="312"/>
      <c r="AG154" s="312"/>
      <c r="AH154" s="312"/>
      <c r="AI154" s="312"/>
      <c r="AJ154" s="312"/>
      <c r="AK154" s="312"/>
      <c r="AL154" s="312"/>
      <c r="AM154" s="312"/>
      <c r="AN154" s="285"/>
      <c r="AO154" s="13"/>
      <c r="AP154" s="13"/>
      <c r="AQ154" s="13"/>
      <c r="AR154" s="13"/>
      <c r="AS154" s="13"/>
      <c r="AT154" s="4"/>
      <c r="AU154" s="21"/>
      <c r="AV154" s="312"/>
      <c r="AW154" s="507"/>
      <c r="AX154" s="312"/>
      <c r="AY154" s="312"/>
    </row>
    <row r="155" spans="1:51">
      <c r="A155" s="4" t="s">
        <v>619</v>
      </c>
      <c r="B155" s="13"/>
      <c r="C155" s="13"/>
      <c r="D155" s="260"/>
      <c r="E155" s="260"/>
      <c r="F155" s="260"/>
      <c r="G155" s="260"/>
      <c r="H155" s="260"/>
      <c r="I155" s="260"/>
      <c r="J155" s="260"/>
      <c r="K155" s="260"/>
      <c r="L155" s="260"/>
      <c r="M155" s="260"/>
      <c r="N155" s="260"/>
      <c r="O155" s="260"/>
      <c r="P155" s="260"/>
      <c r="Q155" s="260"/>
      <c r="R155" s="312"/>
      <c r="S155" s="312"/>
      <c r="T155" s="312"/>
      <c r="U155" s="312"/>
      <c r="V155" s="312"/>
      <c r="W155" s="312"/>
      <c r="X155" s="312"/>
      <c r="Y155" s="312"/>
      <c r="Z155" s="312"/>
      <c r="AA155" s="312"/>
      <c r="AB155" s="312"/>
      <c r="AC155" s="312"/>
      <c r="AD155" s="312"/>
      <c r="AE155" s="312"/>
      <c r="AF155" s="312"/>
      <c r="AG155" s="312"/>
      <c r="AH155" s="312"/>
      <c r="AI155" s="312"/>
      <c r="AJ155" s="312"/>
      <c r="AK155" s="312"/>
      <c r="AL155" s="370">
        <f t="shared" si="62"/>
        <v>-30.000000000000004</v>
      </c>
      <c r="AM155" s="370">
        <f t="shared" si="62"/>
        <v>-100</v>
      </c>
      <c r="AN155" s="285"/>
      <c r="AO155" s="13"/>
      <c r="AP155" s="13"/>
      <c r="AQ155" s="13"/>
      <c r="AR155" s="13"/>
      <c r="AS155" s="13"/>
      <c r="AT155" s="4"/>
      <c r="AU155" s="21"/>
      <c r="AV155" s="312"/>
      <c r="AW155" s="507"/>
      <c r="AX155" s="312"/>
      <c r="AY155" s="312"/>
    </row>
    <row r="156" spans="1:51">
      <c r="A156" s="6"/>
      <c r="B156" s="9"/>
      <c r="C156" s="9"/>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c r="AC156" s="260"/>
      <c r="AD156" s="260"/>
      <c r="AE156" s="260"/>
      <c r="AF156" s="260"/>
      <c r="AG156" s="260"/>
      <c r="AH156" s="260"/>
      <c r="AI156" s="260"/>
      <c r="AJ156" s="260"/>
      <c r="AK156" s="260"/>
      <c r="AL156" s="260"/>
      <c r="AM156" s="260"/>
      <c r="AN156" s="308"/>
      <c r="AO156" s="9"/>
      <c r="AP156" s="9"/>
      <c r="AQ156" s="9"/>
      <c r="AR156" s="9"/>
      <c r="AS156" s="9"/>
      <c r="AT156" s="4"/>
      <c r="AU156" s="4"/>
      <c r="AV156" s="4"/>
      <c r="AW156" s="4"/>
      <c r="AX156" s="4"/>
      <c r="AY156" s="4"/>
    </row>
    <row r="157" spans="1:51">
      <c r="A157" s="251" t="s">
        <v>634</v>
      </c>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c r="AA157" s="252"/>
      <c r="AB157" s="252"/>
      <c r="AC157" s="252"/>
      <c r="AD157" s="252"/>
      <c r="AE157" s="252"/>
      <c r="AF157" s="252"/>
      <c r="AG157" s="252"/>
      <c r="AH157" s="252"/>
      <c r="AI157" s="252"/>
      <c r="AJ157" s="252"/>
      <c r="AK157" s="252"/>
      <c r="AL157" s="252"/>
      <c r="AM157" s="252"/>
      <c r="AN157" s="1252"/>
      <c r="AO157" s="273"/>
      <c r="AP157" s="273"/>
      <c r="AQ157" s="273"/>
      <c r="AR157" s="273"/>
      <c r="AS157" s="273"/>
      <c r="AT157" s="273"/>
      <c r="AU157" s="273"/>
      <c r="AV157" s="273"/>
      <c r="AW157" s="273"/>
      <c r="AX157" s="273"/>
      <c r="AY157" s="273"/>
    </row>
    <row r="158" spans="1:51">
      <c r="A158" s="4" t="s">
        <v>616</v>
      </c>
      <c r="B158" s="4"/>
      <c r="C158" s="4"/>
      <c r="D158" s="4"/>
      <c r="E158" s="4"/>
      <c r="F158" s="4"/>
      <c r="G158" s="9"/>
      <c r="H158" s="9"/>
      <c r="I158" s="9"/>
      <c r="J158" s="9"/>
      <c r="K158" s="9"/>
      <c r="L158" s="9"/>
      <c r="M158" s="9"/>
      <c r="N158" s="9"/>
      <c r="O158" s="9"/>
      <c r="P158" s="9"/>
      <c r="Q158" s="9"/>
      <c r="R158" s="9"/>
      <c r="S158" s="9"/>
      <c r="T158" s="9"/>
      <c r="U158" s="9"/>
      <c r="V158" s="312">
        <f t="shared" ref="V158:AM160" si="64">(V144/R144-1)*100</f>
        <v>-4.4238452492594398</v>
      </c>
      <c r="W158" s="312">
        <f t="shared" si="64"/>
        <v>3.2437349788254188</v>
      </c>
      <c r="X158" s="312">
        <f t="shared" si="64"/>
        <v>9.4170421091857914</v>
      </c>
      <c r="Y158" s="312">
        <f t="shared" si="64"/>
        <v>12.142132406256989</v>
      </c>
      <c r="Z158" s="312">
        <f t="shared" si="64"/>
        <v>58.267175304931463</v>
      </c>
      <c r="AA158" s="312">
        <f t="shared" si="64"/>
        <v>49.399612653324731</v>
      </c>
      <c r="AB158" s="312">
        <f t="shared" si="64"/>
        <v>48.690756742602773</v>
      </c>
      <c r="AC158" s="312">
        <f t="shared" si="64"/>
        <v>45.223807329339373</v>
      </c>
      <c r="AD158" s="312">
        <f t="shared" si="64"/>
        <v>17.920245753245247</v>
      </c>
      <c r="AE158" s="312">
        <f t="shared" si="64"/>
        <v>14.02401477832511</v>
      </c>
      <c r="AF158" s="312">
        <f t="shared" si="64"/>
        <v>4.8458761455151489</v>
      </c>
      <c r="AG158" s="312">
        <f t="shared" si="64"/>
        <v>10.121447714706511</v>
      </c>
      <c r="AH158" s="312">
        <f t="shared" si="64"/>
        <v>10.315377887534115</v>
      </c>
      <c r="AI158" s="312">
        <f t="shared" si="64"/>
        <v>8.4649655731065199</v>
      </c>
      <c r="AJ158" s="312">
        <f t="shared" si="64"/>
        <v>6.1174258941635751</v>
      </c>
      <c r="AK158" s="312">
        <f t="shared" si="64"/>
        <v>4.9207863109724581</v>
      </c>
      <c r="AL158" s="312">
        <f t="shared" si="64"/>
        <v>5.7956273327973484</v>
      </c>
      <c r="AM158" s="312">
        <f t="shared" si="64"/>
        <v>12.373290707475659</v>
      </c>
      <c r="AN158" s="281"/>
      <c r="AO158" s="4"/>
      <c r="AP158" s="4"/>
      <c r="AQ158" s="4"/>
      <c r="AR158" s="4"/>
      <c r="AS158" s="4"/>
      <c r="AT158" s="4"/>
      <c r="AU158" s="4"/>
      <c r="AV158" s="4"/>
      <c r="AW158" s="4"/>
      <c r="AX158" s="4"/>
      <c r="AY158" s="4"/>
    </row>
    <row r="159" spans="1:51">
      <c r="A159" s="4" t="s">
        <v>617</v>
      </c>
      <c r="B159" s="4"/>
      <c r="C159" s="4"/>
      <c r="D159" s="4"/>
      <c r="E159" s="4"/>
      <c r="F159" s="4"/>
      <c r="G159" s="9"/>
      <c r="H159" s="9"/>
      <c r="I159" s="9"/>
      <c r="J159" s="9"/>
      <c r="K159" s="9"/>
      <c r="L159" s="9"/>
      <c r="M159" s="9"/>
      <c r="N159" s="9"/>
      <c r="O159" s="9"/>
      <c r="P159" s="9"/>
      <c r="Q159" s="9"/>
      <c r="R159" s="9"/>
      <c r="S159" s="9"/>
      <c r="T159" s="9"/>
      <c r="U159" s="9"/>
      <c r="V159" s="312">
        <f t="shared" si="64"/>
        <v>3.2793075216957401</v>
      </c>
      <c r="W159" s="312">
        <f t="shared" si="64"/>
        <v>2.5461421749144453</v>
      </c>
      <c r="X159" s="312">
        <f t="shared" si="64"/>
        <v>2.8680627860952157</v>
      </c>
      <c r="Y159" s="312">
        <f t="shared" si="64"/>
        <v>10.063635986658248</v>
      </c>
      <c r="Z159" s="312">
        <f t="shared" si="64"/>
        <v>38.012945316109793</v>
      </c>
      <c r="AA159" s="312">
        <f t="shared" si="64"/>
        <v>24.022666953590143</v>
      </c>
      <c r="AB159" s="312">
        <f t="shared" si="64"/>
        <v>29.727063008977474</v>
      </c>
      <c r="AC159" s="312">
        <f t="shared" si="64"/>
        <v>35.719777672130945</v>
      </c>
      <c r="AD159" s="312">
        <f t="shared" si="64"/>
        <v>26.018027040560842</v>
      </c>
      <c r="AE159" s="312">
        <f t="shared" si="64"/>
        <v>37.444331983805654</v>
      </c>
      <c r="AF159" s="312">
        <f t="shared" si="64"/>
        <v>35.827780693954914</v>
      </c>
      <c r="AG159" s="312">
        <f t="shared" si="64"/>
        <v>13.197657824406029</v>
      </c>
      <c r="AH159" s="312">
        <f t="shared" si="64"/>
        <v>19.112673321957363</v>
      </c>
      <c r="AI159" s="312">
        <f t="shared" si="64"/>
        <v>13.514383550835563</v>
      </c>
      <c r="AJ159" s="312">
        <f t="shared" si="64"/>
        <v>11.204109819973574</v>
      </c>
      <c r="AK159" s="312">
        <f t="shared" si="64"/>
        <v>7.5819656473968156</v>
      </c>
      <c r="AL159" s="312">
        <f t="shared" si="64"/>
        <v>5.6445801736265899</v>
      </c>
      <c r="AM159" s="312">
        <f t="shared" si="64"/>
        <v>8.5977379641677398</v>
      </c>
      <c r="AN159" s="281"/>
      <c r="AO159" s="4"/>
      <c r="AP159" s="4"/>
      <c r="AQ159" s="4"/>
      <c r="AR159" s="4"/>
      <c r="AS159" s="4"/>
      <c r="AT159" s="4"/>
      <c r="AU159" s="4"/>
      <c r="AV159" s="4"/>
      <c r="AW159" s="4"/>
      <c r="AX159" s="4"/>
      <c r="AY159" s="4"/>
    </row>
    <row r="160" spans="1:51">
      <c r="A160" s="4" t="s">
        <v>618</v>
      </c>
      <c r="B160" s="4"/>
      <c r="C160" s="4"/>
      <c r="D160" s="4"/>
      <c r="E160" s="4"/>
      <c r="F160" s="4"/>
      <c r="G160" s="9"/>
      <c r="H160" s="9"/>
      <c r="I160" s="9"/>
      <c r="J160" s="9"/>
      <c r="K160" s="9"/>
      <c r="L160" s="9"/>
      <c r="M160" s="9"/>
      <c r="N160" s="9"/>
      <c r="O160" s="9"/>
      <c r="P160" s="9"/>
      <c r="Q160" s="9"/>
      <c r="R160" s="9"/>
      <c r="S160" s="9"/>
      <c r="T160" s="9"/>
      <c r="U160" s="9"/>
      <c r="V160" s="312">
        <f t="shared" si="64"/>
        <v>5.4725662967594069</v>
      </c>
      <c r="W160" s="312">
        <f t="shared" si="64"/>
        <v>20.451024141963003</v>
      </c>
      <c r="X160" s="312">
        <f t="shared" si="64"/>
        <v>4.8986055524501637</v>
      </c>
      <c r="Y160" s="312">
        <f t="shared" si="64"/>
        <v>11.969499813267026</v>
      </c>
      <c r="Z160" s="312">
        <f t="shared" si="64"/>
        <v>9.8037059438059959</v>
      </c>
      <c r="AA160" s="312">
        <f t="shared" si="64"/>
        <v>31.368624919302768</v>
      </c>
      <c r="AB160" s="312">
        <f t="shared" si="64"/>
        <v>21.05015463224418</v>
      </c>
      <c r="AC160" s="312">
        <f t="shared" si="64"/>
        <v>-1.3553887934195985</v>
      </c>
      <c r="AD160" s="312">
        <f t="shared" si="64"/>
        <v>9.4152767612957877</v>
      </c>
      <c r="AE160" s="312">
        <f t="shared" si="64"/>
        <v>-22.650375939849631</v>
      </c>
      <c r="AF160" s="312">
        <f t="shared" si="64"/>
        <v>-8.259858372674266</v>
      </c>
      <c r="AG160" s="312">
        <f t="shared" si="64"/>
        <v>33.651387798071575</v>
      </c>
      <c r="AH160" s="312">
        <f t="shared" si="64"/>
        <v>11.953051015127446</v>
      </c>
      <c r="AI160" s="312">
        <f t="shared" si="64"/>
        <v>30.305196197555585</v>
      </c>
      <c r="AJ160" s="312">
        <f t="shared" si="64"/>
        <v>42.982008059481267</v>
      </c>
      <c r="AK160" s="312">
        <f t="shared" si="64"/>
        <v>7.1185656593441005</v>
      </c>
      <c r="AL160" s="312">
        <f t="shared" si="64"/>
        <v>2.669760947906652</v>
      </c>
      <c r="AM160" s="312">
        <f t="shared" si="64"/>
        <v>17.138695384540359</v>
      </c>
      <c r="AN160" s="281"/>
      <c r="AO160" s="4"/>
      <c r="AP160" s="4"/>
      <c r="AQ160" s="4"/>
      <c r="AR160" s="4"/>
      <c r="AS160" s="4"/>
      <c r="AT160" s="4"/>
      <c r="AU160" s="4"/>
      <c r="AV160" s="4"/>
      <c r="AW160" s="4"/>
      <c r="AX160" s="4"/>
      <c r="AY160" s="4"/>
    </row>
    <row r="161" spans="1:51">
      <c r="A161" s="4"/>
      <c r="B161" s="4"/>
      <c r="C161" s="4"/>
      <c r="D161" s="4"/>
      <c r="E161" s="4"/>
      <c r="F161" s="4"/>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281"/>
      <c r="AO161" s="4"/>
      <c r="AP161" s="4"/>
      <c r="AQ161" s="4"/>
      <c r="AR161" s="4"/>
      <c r="AS161" s="4"/>
      <c r="AT161" s="4"/>
      <c r="AU161" s="4"/>
      <c r="AV161" s="4"/>
      <c r="AW161" s="4"/>
      <c r="AX161" s="4"/>
      <c r="AY161" s="4"/>
    </row>
    <row r="162" spans="1:51" ht="15.75" customHeight="1">
      <c r="A162" s="251" t="s">
        <v>641</v>
      </c>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1252"/>
      <c r="AO162" s="273"/>
      <c r="AP162" s="273"/>
      <c r="AQ162" s="273"/>
      <c r="AR162" s="273"/>
      <c r="AS162" s="273"/>
      <c r="AT162" s="273"/>
      <c r="AU162" s="273"/>
      <c r="AV162" s="273"/>
      <c r="AW162" s="273"/>
      <c r="AX162" s="273"/>
      <c r="AY162" s="273"/>
    </row>
    <row r="163" spans="1:51" ht="15.75" customHeight="1">
      <c r="A163" s="4" t="s">
        <v>309</v>
      </c>
      <c r="B163" s="9"/>
      <c r="C163" s="249"/>
      <c r="D163" s="249"/>
      <c r="E163" s="249"/>
      <c r="F163" s="249"/>
      <c r="G163" s="249"/>
      <c r="H163" s="249"/>
      <c r="I163" s="249"/>
      <c r="J163" s="249"/>
      <c r="K163" s="249"/>
      <c r="L163" s="249"/>
      <c r="M163" s="249"/>
      <c r="N163" s="249"/>
      <c r="O163" s="249"/>
      <c r="P163" s="249"/>
      <c r="Q163" s="276"/>
      <c r="R163" s="13">
        <f t="shared" ref="R163:AM164" si="65">R$4*(R62/100)</f>
        <v>92.467445255474459</v>
      </c>
      <c r="S163" s="13">
        <f t="shared" si="65"/>
        <v>97.001132182281367</v>
      </c>
      <c r="T163" s="13">
        <f t="shared" si="65"/>
        <v>96.798083697336892</v>
      </c>
      <c r="U163" s="13">
        <f t="shared" si="65"/>
        <v>99.072285794027366</v>
      </c>
      <c r="V163" s="13">
        <f t="shared" si="65"/>
        <v>86.318300000000008</v>
      </c>
      <c r="W163" s="13">
        <f t="shared" si="65"/>
        <v>99.13600000000001</v>
      </c>
      <c r="X163" s="13">
        <f t="shared" si="65"/>
        <v>99.696000000000012</v>
      </c>
      <c r="Y163" s="13">
        <f t="shared" si="65"/>
        <v>104.63679999999999</v>
      </c>
      <c r="Z163" s="13">
        <f t="shared" si="65"/>
        <v>119.82</v>
      </c>
      <c r="AA163" s="13">
        <f t="shared" si="65"/>
        <v>119.16800000000002</v>
      </c>
      <c r="AB163" s="13">
        <f t="shared" si="65"/>
        <v>119.664</v>
      </c>
      <c r="AC163" s="13">
        <f t="shared" si="65"/>
        <v>123.17200000000001</v>
      </c>
      <c r="AD163" s="13">
        <f t="shared" si="65"/>
        <v>124.124</v>
      </c>
      <c r="AE163" s="13">
        <f t="shared" si="65"/>
        <v>123.94380000000001</v>
      </c>
      <c r="AF163" s="13">
        <f t="shared" si="65"/>
        <v>124.5915</v>
      </c>
      <c r="AG163" s="13">
        <f t="shared" si="65"/>
        <v>130.3492</v>
      </c>
      <c r="AH163" s="13">
        <f t="shared" si="65"/>
        <v>133.18200000000002</v>
      </c>
      <c r="AI163" s="13">
        <f t="shared" si="65"/>
        <v>133.488</v>
      </c>
      <c r="AJ163" s="13">
        <f t="shared" si="65"/>
        <v>134.79599999999999</v>
      </c>
      <c r="AK163" s="13">
        <f t="shared" si="65"/>
        <v>133.42749999999998</v>
      </c>
      <c r="AL163" s="13">
        <f t="shared" si="65"/>
        <v>137.47199999999998</v>
      </c>
      <c r="AM163" s="13">
        <f t="shared" si="65"/>
        <v>144.46</v>
      </c>
      <c r="AN163" s="308"/>
      <c r="AO163" s="9"/>
      <c r="AP163" s="9"/>
      <c r="AQ163" s="249"/>
      <c r="AR163" s="249"/>
      <c r="AS163" s="9"/>
      <c r="AT163" s="243"/>
      <c r="AU163" s="243"/>
      <c r="AV163" s="13">
        <f t="shared" ref="AV163:AY164" si="66">AV$4*(AV62/100)</f>
        <v>389.17400000000004</v>
      </c>
      <c r="AW163" s="13">
        <f t="shared" si="66"/>
        <v>485.24000000000007</v>
      </c>
      <c r="AX163" s="13">
        <f t="shared" si="66"/>
        <v>501.85169999999999</v>
      </c>
      <c r="AY163" s="13">
        <f t="shared" si="66"/>
        <v>530.96190000000001</v>
      </c>
    </row>
    <row r="164" spans="1:51" ht="15.75" customHeight="1">
      <c r="A164" s="4" t="s">
        <v>310</v>
      </c>
      <c r="B164" s="9"/>
      <c r="C164" s="249"/>
      <c r="D164" s="249"/>
      <c r="E164" s="249"/>
      <c r="F164" s="249"/>
      <c r="G164" s="249"/>
      <c r="H164" s="249"/>
      <c r="I164" s="249"/>
      <c r="J164" s="249"/>
      <c r="K164" s="249"/>
      <c r="L164" s="249"/>
      <c r="M164" s="249"/>
      <c r="N164" s="249"/>
      <c r="O164" s="249"/>
      <c r="P164" s="249"/>
      <c r="Q164" s="276"/>
      <c r="R164" s="13">
        <f t="shared" si="65"/>
        <v>47.634744525547454</v>
      </c>
      <c r="S164" s="13">
        <f t="shared" si="65"/>
        <v>49.970280215114641</v>
      </c>
      <c r="T164" s="13">
        <f t="shared" si="65"/>
        <v>54.448922079752002</v>
      </c>
      <c r="U164" s="13">
        <f t="shared" si="65"/>
        <v>55.728160759140387</v>
      </c>
      <c r="V164" s="13">
        <f t="shared" si="65"/>
        <v>53.581699999999998</v>
      </c>
      <c r="W164" s="13">
        <f t="shared" si="65"/>
        <v>55.764000000000003</v>
      </c>
      <c r="X164" s="13">
        <f t="shared" si="65"/>
        <v>61.104000000000006</v>
      </c>
      <c r="Y164" s="13">
        <f t="shared" si="65"/>
        <v>67.463200000000001</v>
      </c>
      <c r="Z164" s="13">
        <f t="shared" si="65"/>
        <v>79.88</v>
      </c>
      <c r="AA164" s="13">
        <f t="shared" si="65"/>
        <v>93.632000000000005</v>
      </c>
      <c r="AB164" s="13">
        <f t="shared" si="65"/>
        <v>101.93600000000001</v>
      </c>
      <c r="AC164" s="13">
        <f t="shared" si="65"/>
        <v>109.22799999999999</v>
      </c>
      <c r="AD164" s="13">
        <f t="shared" si="65"/>
        <v>114.57599999999999</v>
      </c>
      <c r="AE164" s="13">
        <f t="shared" si="65"/>
        <v>122.9562</v>
      </c>
      <c r="AF164" s="13">
        <f t="shared" si="65"/>
        <v>127.10849999999999</v>
      </c>
      <c r="AG164" s="13">
        <f t="shared" si="65"/>
        <v>134.05079999999998</v>
      </c>
      <c r="AH164" s="13">
        <f t="shared" si="65"/>
        <v>138.61799999999999</v>
      </c>
      <c r="AI164" s="13">
        <f t="shared" si="65"/>
        <v>144.61200000000002</v>
      </c>
      <c r="AJ164" s="13">
        <f t="shared" si="65"/>
        <v>147.20400000000001</v>
      </c>
      <c r="AK164" s="13">
        <f t="shared" si="65"/>
        <v>147.4725</v>
      </c>
      <c r="AL164" s="13">
        <f t="shared" si="65"/>
        <v>148.928</v>
      </c>
      <c r="AM164" s="13">
        <f t="shared" si="65"/>
        <v>165.54000000000002</v>
      </c>
      <c r="AN164" s="308"/>
      <c r="AO164" s="9"/>
      <c r="AP164" s="9"/>
      <c r="AQ164" s="249"/>
      <c r="AR164" s="249"/>
      <c r="AS164" s="9"/>
      <c r="AT164" s="243"/>
      <c r="AU164" s="243"/>
      <c r="AV164" s="13">
        <f t="shared" si="66"/>
        <v>238.52600000000001</v>
      </c>
      <c r="AW164" s="13">
        <f t="shared" si="66"/>
        <v>381.26</v>
      </c>
      <c r="AX164" s="13">
        <f t="shared" si="66"/>
        <v>499.84829999999994</v>
      </c>
      <c r="AY164" s="13">
        <f t="shared" si="66"/>
        <v>568.33809999999994</v>
      </c>
    </row>
    <row r="165" spans="1:51" ht="15.75" customHeight="1">
      <c r="A165" s="10" t="s">
        <v>279</v>
      </c>
      <c r="B165" s="254"/>
      <c r="C165" s="255">
        <f>SUM(C163:C164)</f>
        <v>0</v>
      </c>
      <c r="D165" s="255">
        <f>SUM(D163:D164)</f>
        <v>0</v>
      </c>
      <c r="E165" s="255"/>
      <c r="F165" s="255">
        <f t="shared" ref="F165:AY165" si="67">SUM(F163:F164)</f>
        <v>0</v>
      </c>
      <c r="G165" s="255">
        <f t="shared" si="67"/>
        <v>0</v>
      </c>
      <c r="H165" s="255">
        <f t="shared" si="67"/>
        <v>0</v>
      </c>
      <c r="I165" s="255">
        <f t="shared" si="67"/>
        <v>0</v>
      </c>
      <c r="J165" s="255">
        <f t="shared" si="67"/>
        <v>0</v>
      </c>
      <c r="K165" s="255">
        <f t="shared" si="67"/>
        <v>0</v>
      </c>
      <c r="L165" s="255">
        <f t="shared" si="67"/>
        <v>0</v>
      </c>
      <c r="M165" s="255">
        <f t="shared" si="67"/>
        <v>0</v>
      </c>
      <c r="N165" s="255">
        <f t="shared" si="67"/>
        <v>0</v>
      </c>
      <c r="O165" s="255">
        <f t="shared" si="67"/>
        <v>0</v>
      </c>
      <c r="P165" s="255">
        <f t="shared" si="67"/>
        <v>0</v>
      </c>
      <c r="Q165" s="254">
        <f t="shared" si="67"/>
        <v>0</v>
      </c>
      <c r="R165" s="254">
        <f t="shared" si="67"/>
        <v>140.10218978102191</v>
      </c>
      <c r="S165" s="254">
        <f t="shared" si="67"/>
        <v>146.97141239739602</v>
      </c>
      <c r="T165" s="254">
        <f t="shared" si="67"/>
        <v>151.2470057770889</v>
      </c>
      <c r="U165" s="254">
        <f t="shared" si="67"/>
        <v>154.80044655316775</v>
      </c>
      <c r="V165" s="255">
        <f t="shared" si="67"/>
        <v>139.9</v>
      </c>
      <c r="W165" s="255">
        <f t="shared" si="67"/>
        <v>154.9</v>
      </c>
      <c r="X165" s="255">
        <f t="shared" si="67"/>
        <v>160.80000000000001</v>
      </c>
      <c r="Y165" s="255">
        <f t="shared" si="67"/>
        <v>172.1</v>
      </c>
      <c r="Z165" s="255">
        <f t="shared" si="67"/>
        <v>199.7</v>
      </c>
      <c r="AA165" s="255">
        <f t="shared" si="67"/>
        <v>212.8</v>
      </c>
      <c r="AB165" s="255">
        <f t="shared" si="67"/>
        <v>221.60000000000002</v>
      </c>
      <c r="AC165" s="255">
        <f t="shared" si="67"/>
        <v>232.4</v>
      </c>
      <c r="AD165" s="255">
        <f t="shared" si="67"/>
        <v>238.7</v>
      </c>
      <c r="AE165" s="255">
        <f t="shared" si="67"/>
        <v>246.9</v>
      </c>
      <c r="AF165" s="255">
        <f t="shared" si="67"/>
        <v>251.7</v>
      </c>
      <c r="AG165" s="255">
        <f t="shared" si="67"/>
        <v>264.39999999999998</v>
      </c>
      <c r="AH165" s="255">
        <f t="shared" si="67"/>
        <v>271.8</v>
      </c>
      <c r="AI165" s="255">
        <f t="shared" si="67"/>
        <v>278.10000000000002</v>
      </c>
      <c r="AJ165" s="255">
        <f t="shared" si="67"/>
        <v>282</v>
      </c>
      <c r="AK165" s="255">
        <f t="shared" si="67"/>
        <v>280.89999999999998</v>
      </c>
      <c r="AL165" s="255">
        <f t="shared" si="67"/>
        <v>286.39999999999998</v>
      </c>
      <c r="AM165" s="255">
        <f t="shared" si="67"/>
        <v>310</v>
      </c>
      <c r="AN165" s="1253"/>
      <c r="AO165" s="274"/>
      <c r="AP165" s="274"/>
      <c r="AQ165" s="274"/>
      <c r="AR165" s="274"/>
      <c r="AS165" s="274">
        <f t="shared" si="67"/>
        <v>0</v>
      </c>
      <c r="AT165" s="275">
        <f t="shared" si="67"/>
        <v>0</v>
      </c>
      <c r="AU165" s="275">
        <f t="shared" si="67"/>
        <v>0</v>
      </c>
      <c r="AV165" s="275">
        <f t="shared" si="67"/>
        <v>627.70000000000005</v>
      </c>
      <c r="AW165" s="275">
        <f t="shared" si="67"/>
        <v>866.5</v>
      </c>
      <c r="AX165" s="275">
        <f t="shared" si="67"/>
        <v>1001.6999999999999</v>
      </c>
      <c r="AY165" s="275">
        <f t="shared" si="67"/>
        <v>1099.3</v>
      </c>
    </row>
    <row r="166" spans="1:51" ht="15.75" customHeight="1">
      <c r="A166" s="6"/>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c r="Y166" s="257"/>
      <c r="Z166" s="257"/>
      <c r="AA166" s="257"/>
      <c r="AB166" s="257"/>
      <c r="AC166" s="257"/>
      <c r="AD166" s="257"/>
      <c r="AE166" s="257"/>
      <c r="AF166" s="257"/>
      <c r="AG166" s="257"/>
      <c r="AH166" s="257"/>
      <c r="AI166" s="257"/>
      <c r="AJ166" s="257"/>
      <c r="AK166" s="257"/>
      <c r="AL166" s="257"/>
      <c r="AM166" s="257"/>
      <c r="AN166" s="1155"/>
      <c r="AO166" s="257"/>
      <c r="AP166" s="257"/>
      <c r="AQ166" s="257"/>
      <c r="AR166" s="257"/>
      <c r="AS166" s="257"/>
      <c r="AT166" s="4"/>
      <c r="AU166" s="4"/>
      <c r="AV166" s="4"/>
      <c r="AW166" s="4"/>
      <c r="AX166" s="4"/>
      <c r="AY166" s="4"/>
    </row>
    <row r="167" spans="1:51">
      <c r="A167" s="251" t="s">
        <v>642</v>
      </c>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c r="AA167" s="252"/>
      <c r="AB167" s="252"/>
      <c r="AC167" s="252"/>
      <c r="AD167" s="252"/>
      <c r="AE167" s="252"/>
      <c r="AF167" s="252"/>
      <c r="AG167" s="252"/>
      <c r="AH167" s="252"/>
      <c r="AI167" s="252"/>
      <c r="AJ167" s="252"/>
      <c r="AK167" s="252"/>
      <c r="AL167" s="252"/>
      <c r="AM167" s="252"/>
      <c r="AN167" s="1252"/>
      <c r="AO167" s="273"/>
      <c r="AP167" s="273"/>
      <c r="AQ167" s="273"/>
      <c r="AR167" s="273"/>
      <c r="AS167" s="273"/>
      <c r="AT167" s="273"/>
      <c r="AU167" s="273"/>
      <c r="AV167" s="273"/>
      <c r="AW167" s="273"/>
      <c r="AX167" s="273"/>
      <c r="AY167" s="273"/>
    </row>
    <row r="168" spans="1:51">
      <c r="A168" s="4" t="s">
        <v>629</v>
      </c>
      <c r="B168" s="9"/>
      <c r="C168" s="249"/>
      <c r="D168" s="249"/>
      <c r="E168" s="249"/>
      <c r="F168" s="249"/>
      <c r="G168" s="249"/>
      <c r="H168" s="249"/>
      <c r="I168" s="249"/>
      <c r="J168" s="249"/>
      <c r="K168" s="249"/>
      <c r="L168" s="249"/>
      <c r="M168" s="249"/>
      <c r="N168" s="249"/>
      <c r="O168" s="249"/>
      <c r="P168" s="249"/>
      <c r="Q168" s="249"/>
      <c r="R168" s="249"/>
      <c r="S168" s="249"/>
      <c r="T168" s="249"/>
      <c r="U168" s="13">
        <f t="shared" ref="U168:AM169" si="68">U$4*(U67/100)</f>
        <v>78.948227742115549</v>
      </c>
      <c r="V168" s="13">
        <f t="shared" si="68"/>
        <v>73.307600000000008</v>
      </c>
      <c r="W168" s="13">
        <f t="shared" si="68"/>
        <v>82.097000000000008</v>
      </c>
      <c r="X168" s="13">
        <f t="shared" si="68"/>
        <v>88.440000000000012</v>
      </c>
      <c r="Y168" s="13">
        <f t="shared" si="68"/>
        <v>93.278199999999998</v>
      </c>
      <c r="Z168" s="13">
        <f t="shared" si="68"/>
        <v>109.83500000000001</v>
      </c>
      <c r="AA168" s="13">
        <f t="shared" si="68"/>
        <v>113.84800000000001</v>
      </c>
      <c r="AB168" s="13">
        <f t="shared" si="68"/>
        <v>119.44240000000001</v>
      </c>
      <c r="AC168" s="13">
        <f t="shared" si="68"/>
        <v>123.40440000000001</v>
      </c>
      <c r="AD168" s="13">
        <f t="shared" si="68"/>
        <v>123.8853</v>
      </c>
      <c r="AE168" s="13">
        <f t="shared" si="68"/>
        <v>122.9562</v>
      </c>
      <c r="AF168" s="13">
        <f t="shared" si="68"/>
        <v>126.85679999999999</v>
      </c>
      <c r="AG168" s="13">
        <f t="shared" si="68"/>
        <v>132.72879999999998</v>
      </c>
      <c r="AH168" s="13">
        <f t="shared" si="68"/>
        <v>132.9102</v>
      </c>
      <c r="AI168" s="13">
        <f t="shared" si="68"/>
        <v>137.10330000000002</v>
      </c>
      <c r="AJ168" s="13">
        <f t="shared" si="68"/>
        <v>143.82</v>
      </c>
      <c r="AK168" s="13">
        <f t="shared" si="68"/>
        <v>144.6635</v>
      </c>
      <c r="AL168" s="13">
        <f t="shared" si="68"/>
        <v>144.34559999999999</v>
      </c>
      <c r="AM168" s="13">
        <f t="shared" si="68"/>
        <v>151.9</v>
      </c>
      <c r="AN168" s="308"/>
      <c r="AO168" s="9"/>
      <c r="AP168" s="9"/>
      <c r="AQ168" s="256"/>
      <c r="AR168" s="256"/>
      <c r="AS168" s="9"/>
      <c r="AT168" s="243"/>
      <c r="AU168" s="243"/>
      <c r="AV168" s="13">
        <f t="shared" ref="AV168:AY169" si="69">AV$4*(AV67/100)</f>
        <v>338.95800000000003</v>
      </c>
      <c r="AW168" s="13">
        <f t="shared" si="69"/>
        <v>467.91</v>
      </c>
      <c r="AX168" s="13">
        <f t="shared" si="69"/>
        <v>520.88400000000001</v>
      </c>
      <c r="AY168" s="13">
        <f t="shared" si="69"/>
        <v>554.04719999999998</v>
      </c>
    </row>
    <row r="169" spans="1:51">
      <c r="A169" s="4" t="s">
        <v>630</v>
      </c>
      <c r="B169" s="9"/>
      <c r="C169" s="249"/>
      <c r="D169" s="249"/>
      <c r="E169" s="249"/>
      <c r="F169" s="249"/>
      <c r="G169" s="249"/>
      <c r="H169" s="249"/>
      <c r="I169" s="249"/>
      <c r="J169" s="249"/>
      <c r="K169" s="249"/>
      <c r="L169" s="249"/>
      <c r="M169" s="249"/>
      <c r="N169" s="249"/>
      <c r="O169" s="249"/>
      <c r="P169" s="249"/>
      <c r="Q169" s="249"/>
      <c r="R169" s="249"/>
      <c r="S169" s="249"/>
      <c r="T169" s="249"/>
      <c r="U169" s="13">
        <f t="shared" si="68"/>
        <v>75.852218811052197</v>
      </c>
      <c r="V169" s="13">
        <f t="shared" si="68"/>
        <v>66.592400000000012</v>
      </c>
      <c r="W169" s="13">
        <f t="shared" si="68"/>
        <v>72.802999999999997</v>
      </c>
      <c r="X169" s="13">
        <f t="shared" si="68"/>
        <v>72.360000000000014</v>
      </c>
      <c r="Y169" s="13">
        <f t="shared" si="68"/>
        <v>78.821799999999996</v>
      </c>
      <c r="Z169" s="13">
        <f t="shared" si="68"/>
        <v>89.864999999999995</v>
      </c>
      <c r="AA169" s="13">
        <f t="shared" si="68"/>
        <v>98.952000000000012</v>
      </c>
      <c r="AB169" s="13">
        <f t="shared" si="68"/>
        <v>102.1576</v>
      </c>
      <c r="AC169" s="13">
        <f t="shared" si="68"/>
        <v>108.9956</v>
      </c>
      <c r="AD169" s="13">
        <f t="shared" si="68"/>
        <v>114.8147</v>
      </c>
      <c r="AE169" s="13">
        <f t="shared" si="68"/>
        <v>123.94380000000001</v>
      </c>
      <c r="AF169" s="13">
        <f t="shared" si="68"/>
        <v>124.8432</v>
      </c>
      <c r="AG169" s="13">
        <f t="shared" si="68"/>
        <v>131.6712</v>
      </c>
      <c r="AH169" s="13">
        <f t="shared" si="68"/>
        <v>138.88980000000001</v>
      </c>
      <c r="AI169" s="13">
        <f t="shared" si="68"/>
        <v>140.9967</v>
      </c>
      <c r="AJ169" s="13">
        <f t="shared" si="68"/>
        <v>138.18</v>
      </c>
      <c r="AK169" s="13">
        <f t="shared" si="68"/>
        <v>136.23649999999998</v>
      </c>
      <c r="AL169" s="13">
        <f t="shared" si="68"/>
        <v>142.05439999999999</v>
      </c>
      <c r="AM169" s="13">
        <f t="shared" si="68"/>
        <v>158.1</v>
      </c>
      <c r="AN169" s="308"/>
      <c r="AO169" s="9"/>
      <c r="AP169" s="9"/>
      <c r="AQ169" s="256"/>
      <c r="AR169" s="256"/>
      <c r="AS169" s="9"/>
      <c r="AT169" s="243"/>
      <c r="AU169" s="243"/>
      <c r="AV169" s="13">
        <f t="shared" si="69"/>
        <v>288.74200000000002</v>
      </c>
      <c r="AW169" s="13">
        <f t="shared" si="69"/>
        <v>398.59000000000003</v>
      </c>
      <c r="AX169" s="13">
        <f t="shared" si="69"/>
        <v>480.81599999999997</v>
      </c>
      <c r="AY169" s="13">
        <f t="shared" si="69"/>
        <v>545.25279999999998</v>
      </c>
    </row>
    <row r="170" spans="1:51">
      <c r="A170" s="10" t="s">
        <v>279</v>
      </c>
      <c r="B170" s="254"/>
      <c r="C170" s="255">
        <f t="shared" ref="C170:AB170" si="70">SUM(C168:C169)</f>
        <v>0</v>
      </c>
      <c r="D170" s="255">
        <f t="shared" si="70"/>
        <v>0</v>
      </c>
      <c r="E170" s="255">
        <f t="shared" si="70"/>
        <v>0</v>
      </c>
      <c r="F170" s="255">
        <f t="shared" si="70"/>
        <v>0</v>
      </c>
      <c r="G170" s="255">
        <f t="shared" si="70"/>
        <v>0</v>
      </c>
      <c r="H170" s="255">
        <f t="shared" si="70"/>
        <v>0</v>
      </c>
      <c r="I170" s="255">
        <f t="shared" si="70"/>
        <v>0</v>
      </c>
      <c r="J170" s="255">
        <f t="shared" si="70"/>
        <v>0</v>
      </c>
      <c r="K170" s="255">
        <f t="shared" si="70"/>
        <v>0</v>
      </c>
      <c r="L170" s="255">
        <f t="shared" si="70"/>
        <v>0</v>
      </c>
      <c r="M170" s="255">
        <f t="shared" si="70"/>
        <v>0</v>
      </c>
      <c r="N170" s="255">
        <f t="shared" si="70"/>
        <v>0</v>
      </c>
      <c r="O170" s="255">
        <f t="shared" si="70"/>
        <v>0</v>
      </c>
      <c r="P170" s="255">
        <f t="shared" si="70"/>
        <v>0</v>
      </c>
      <c r="Q170" s="255">
        <f t="shared" si="70"/>
        <v>0</v>
      </c>
      <c r="R170" s="255">
        <f t="shared" si="70"/>
        <v>0</v>
      </c>
      <c r="S170" s="255">
        <f t="shared" si="70"/>
        <v>0</v>
      </c>
      <c r="T170" s="255">
        <f t="shared" si="70"/>
        <v>0</v>
      </c>
      <c r="U170" s="255">
        <f t="shared" si="70"/>
        <v>154.80044655316775</v>
      </c>
      <c r="V170" s="255">
        <f t="shared" si="70"/>
        <v>139.90000000000003</v>
      </c>
      <c r="W170" s="255">
        <f t="shared" si="70"/>
        <v>154.9</v>
      </c>
      <c r="X170" s="255">
        <f t="shared" si="70"/>
        <v>160.80000000000001</v>
      </c>
      <c r="Y170" s="255">
        <f t="shared" si="70"/>
        <v>172.1</v>
      </c>
      <c r="Z170" s="255">
        <f t="shared" si="70"/>
        <v>199.7</v>
      </c>
      <c r="AA170" s="255">
        <f t="shared" si="70"/>
        <v>212.8</v>
      </c>
      <c r="AB170" s="255">
        <f t="shared" si="70"/>
        <v>221.60000000000002</v>
      </c>
      <c r="AC170" s="255">
        <f t="shared" ref="AC170:AM170" si="71">SUM(AC168:AC169)</f>
        <v>232.4</v>
      </c>
      <c r="AD170" s="255">
        <f t="shared" si="71"/>
        <v>238.7</v>
      </c>
      <c r="AE170" s="255">
        <f t="shared" si="71"/>
        <v>246.9</v>
      </c>
      <c r="AF170" s="255">
        <f t="shared" si="71"/>
        <v>251.7</v>
      </c>
      <c r="AG170" s="255">
        <f t="shared" si="71"/>
        <v>264.39999999999998</v>
      </c>
      <c r="AH170" s="255">
        <f t="shared" si="71"/>
        <v>271.8</v>
      </c>
      <c r="AI170" s="255">
        <f t="shared" si="71"/>
        <v>278.10000000000002</v>
      </c>
      <c r="AJ170" s="255">
        <f t="shared" si="71"/>
        <v>282</v>
      </c>
      <c r="AK170" s="255">
        <f t="shared" si="71"/>
        <v>280.89999999999998</v>
      </c>
      <c r="AL170" s="255">
        <f t="shared" si="71"/>
        <v>286.39999999999998</v>
      </c>
      <c r="AM170" s="255">
        <f t="shared" si="71"/>
        <v>310</v>
      </c>
      <c r="AN170" s="1253"/>
      <c r="AO170" s="274"/>
      <c r="AP170" s="274"/>
      <c r="AQ170" s="274"/>
      <c r="AR170" s="274"/>
      <c r="AS170" s="274"/>
      <c r="AT170" s="275"/>
      <c r="AU170" s="275"/>
      <c r="AV170" s="255">
        <f>SUM(AV168:AV169)</f>
        <v>627.70000000000005</v>
      </c>
      <c r="AW170" s="255">
        <f>SUM(AW168:AW169)</f>
        <v>866.5</v>
      </c>
      <c r="AX170" s="255">
        <f t="shared" ref="AX170:AY170" si="72">SUM(AX168:AX169)</f>
        <v>1001.7</v>
      </c>
      <c r="AY170" s="255">
        <f t="shared" si="72"/>
        <v>1099.3</v>
      </c>
    </row>
    <row r="171" spans="1:51">
      <c r="A171" s="6"/>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c r="AA171" s="257"/>
      <c r="AB171" s="257"/>
      <c r="AC171" s="257"/>
      <c r="AD171" s="257"/>
      <c r="AE171" s="257"/>
      <c r="AF171" s="257"/>
      <c r="AG171" s="257"/>
      <c r="AH171" s="257"/>
      <c r="AI171" s="257"/>
      <c r="AJ171" s="257"/>
      <c r="AK171" s="257"/>
      <c r="AL171" s="257"/>
      <c r="AM171" s="257"/>
      <c r="AN171" s="1155"/>
      <c r="AO171" s="257"/>
      <c r="AP171" s="257"/>
      <c r="AQ171" s="257"/>
      <c r="AR171" s="257"/>
      <c r="AS171" s="257"/>
      <c r="AT171" s="4"/>
      <c r="AU171" s="4"/>
      <c r="AV171" s="4"/>
      <c r="AW171" s="4"/>
      <c r="AX171" s="4"/>
      <c r="AY171" s="4"/>
    </row>
    <row r="172" spans="1:51">
      <c r="A172" s="251" t="s">
        <v>643</v>
      </c>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1252"/>
      <c r="AO172" s="273"/>
      <c r="AP172" s="273"/>
      <c r="AQ172" s="273"/>
      <c r="AR172" s="273"/>
      <c r="AS172" s="273"/>
      <c r="AT172" s="273"/>
      <c r="AU172" s="273"/>
      <c r="AV172" s="273"/>
      <c r="AW172" s="273"/>
      <c r="AX172" s="273"/>
      <c r="AY172" s="273"/>
    </row>
    <row r="173" spans="1:51">
      <c r="A173" s="4" t="s">
        <v>644</v>
      </c>
      <c r="B173" s="13"/>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285"/>
      <c r="AO173" s="13"/>
      <c r="AP173" s="13"/>
      <c r="AQ173" s="14"/>
      <c r="AR173" s="14"/>
      <c r="AS173" s="13"/>
      <c r="AT173" s="4"/>
      <c r="AU173" s="4"/>
      <c r="AV173" s="4"/>
      <c r="AW173" s="4"/>
      <c r="AX173" s="4"/>
      <c r="AY173" s="4"/>
    </row>
    <row r="174" spans="1:51">
      <c r="A174" s="87" t="s">
        <v>616</v>
      </c>
      <c r="B174" s="13"/>
      <c r="C174" s="14"/>
      <c r="D174" s="14"/>
      <c r="E174" s="14"/>
      <c r="F174" s="14"/>
      <c r="G174" s="14"/>
      <c r="H174" s="14"/>
      <c r="I174" s="14">
        <v>1</v>
      </c>
      <c r="J174" s="14"/>
      <c r="K174" s="14"/>
      <c r="L174" s="14"/>
      <c r="M174" s="14">
        <v>2</v>
      </c>
      <c r="N174" s="14"/>
      <c r="O174" s="14"/>
      <c r="P174" s="14"/>
      <c r="Q174" s="14">
        <v>6</v>
      </c>
      <c r="R174" s="14">
        <v>5</v>
      </c>
      <c r="S174" s="14">
        <v>7</v>
      </c>
      <c r="T174" s="14">
        <v>6</v>
      </c>
      <c r="U174" s="14">
        <v>3</v>
      </c>
      <c r="V174" s="14">
        <v>5</v>
      </c>
      <c r="W174" s="14">
        <v>7</v>
      </c>
      <c r="X174" s="14">
        <v>4</v>
      </c>
      <c r="Y174" s="14">
        <v>4</v>
      </c>
      <c r="Z174" s="14">
        <v>6</v>
      </c>
      <c r="AA174" s="14">
        <v>6</v>
      </c>
      <c r="AB174" s="14">
        <v>8</v>
      </c>
      <c r="AC174" s="14">
        <v>10</v>
      </c>
      <c r="AD174" s="14">
        <v>6</v>
      </c>
      <c r="AE174" s="14">
        <v>5</v>
      </c>
      <c r="AF174" s="14">
        <v>5</v>
      </c>
      <c r="AG174" s="14">
        <v>6</v>
      </c>
      <c r="AH174" s="14">
        <v>4</v>
      </c>
      <c r="AI174" s="14">
        <v>5</v>
      </c>
      <c r="AJ174" s="14">
        <v>3</v>
      </c>
      <c r="AK174" s="14">
        <v>5</v>
      </c>
      <c r="AL174" s="14">
        <v>7</v>
      </c>
      <c r="AM174" s="14">
        <v>5</v>
      </c>
      <c r="AN174" s="285"/>
      <c r="AO174" s="13"/>
      <c r="AP174" s="13"/>
      <c r="AQ174" s="14"/>
      <c r="AR174" s="14"/>
      <c r="AS174" s="14">
        <v>13</v>
      </c>
      <c r="AT174" s="14">
        <v>23</v>
      </c>
      <c r="AU174" s="14">
        <v>21</v>
      </c>
      <c r="AV174" s="14">
        <v>19</v>
      </c>
      <c r="AW174" s="14">
        <v>30</v>
      </c>
      <c r="AX174" s="14">
        <v>22</v>
      </c>
      <c r="AY174" s="14">
        <v>17</v>
      </c>
    </row>
    <row r="175" spans="1:51">
      <c r="A175" s="87" t="s">
        <v>617</v>
      </c>
      <c r="B175" s="13"/>
      <c r="C175" s="14"/>
      <c r="D175" s="14"/>
      <c r="E175" s="14"/>
      <c r="F175" s="14"/>
      <c r="G175" s="14"/>
      <c r="H175" s="14"/>
      <c r="I175" s="14">
        <v>3</v>
      </c>
      <c r="J175" s="14"/>
      <c r="K175" s="14"/>
      <c r="L175" s="14"/>
      <c r="M175" s="14">
        <v>4</v>
      </c>
      <c r="N175" s="14"/>
      <c r="O175" s="14"/>
      <c r="P175" s="14"/>
      <c r="Q175" s="14">
        <v>0</v>
      </c>
      <c r="R175" s="14">
        <v>3</v>
      </c>
      <c r="S175" s="14">
        <v>1</v>
      </c>
      <c r="T175" s="14">
        <v>2</v>
      </c>
      <c r="U175" s="14">
        <v>6</v>
      </c>
      <c r="V175" s="14">
        <v>5</v>
      </c>
      <c r="W175" s="14">
        <v>3</v>
      </c>
      <c r="X175" s="14">
        <v>5</v>
      </c>
      <c r="Y175" s="14">
        <v>5</v>
      </c>
      <c r="Z175" s="14">
        <v>4</v>
      </c>
      <c r="AA175" s="14">
        <v>5</v>
      </c>
      <c r="AB175" s="14">
        <v>3</v>
      </c>
      <c r="AC175" s="14">
        <v>2</v>
      </c>
      <c r="AD175" s="14">
        <v>4</v>
      </c>
      <c r="AE175" s="14">
        <v>4</v>
      </c>
      <c r="AF175" s="14">
        <v>2</v>
      </c>
      <c r="AG175" s="14">
        <v>2</v>
      </c>
      <c r="AH175" s="14">
        <v>1</v>
      </c>
      <c r="AI175" s="14">
        <v>2</v>
      </c>
      <c r="AJ175" s="14">
        <v>2</v>
      </c>
      <c r="AK175" s="14">
        <v>2</v>
      </c>
      <c r="AL175" s="14">
        <v>2</v>
      </c>
      <c r="AM175" s="14">
        <v>4</v>
      </c>
      <c r="AN175" s="285"/>
      <c r="AO175" s="13"/>
      <c r="AP175" s="13"/>
      <c r="AQ175" s="14"/>
      <c r="AR175" s="14"/>
      <c r="AS175" s="14">
        <v>9</v>
      </c>
      <c r="AT175" s="14">
        <v>6</v>
      </c>
      <c r="AU175" s="14">
        <v>12</v>
      </c>
      <c r="AV175" s="14">
        <v>17</v>
      </c>
      <c r="AW175" s="14">
        <v>14</v>
      </c>
      <c r="AX175" s="14">
        <v>12</v>
      </c>
      <c r="AY175" s="14">
        <v>7</v>
      </c>
    </row>
    <row r="176" spans="1:51">
      <c r="A176" s="87" t="s">
        <v>618</v>
      </c>
      <c r="B176" s="13"/>
      <c r="C176" s="14"/>
      <c r="D176" s="14"/>
      <c r="E176" s="14"/>
      <c r="F176" s="14"/>
      <c r="G176" s="14"/>
      <c r="H176" s="14"/>
      <c r="I176" s="14">
        <v>1</v>
      </c>
      <c r="J176" s="14"/>
      <c r="K176" s="14"/>
      <c r="L176" s="14"/>
      <c r="M176" s="14">
        <v>1</v>
      </c>
      <c r="N176" s="14"/>
      <c r="O176" s="14"/>
      <c r="P176" s="14"/>
      <c r="Q176" s="14">
        <v>5</v>
      </c>
      <c r="R176" s="14">
        <v>3</v>
      </c>
      <c r="S176" s="14">
        <v>2</v>
      </c>
      <c r="T176" s="14">
        <v>2</v>
      </c>
      <c r="U176" s="14">
        <v>1</v>
      </c>
      <c r="V176" s="14">
        <v>1</v>
      </c>
      <c r="W176" s="14">
        <v>2</v>
      </c>
      <c r="X176" s="14">
        <v>2</v>
      </c>
      <c r="Y176" s="14">
        <v>2</v>
      </c>
      <c r="Z176" s="14">
        <v>1</v>
      </c>
      <c r="AA176" s="14">
        <v>0</v>
      </c>
      <c r="AB176" s="14">
        <v>2</v>
      </c>
      <c r="AC176" s="14">
        <v>0</v>
      </c>
      <c r="AD176" s="14">
        <v>2</v>
      </c>
      <c r="AE176" s="14">
        <v>2</v>
      </c>
      <c r="AF176" s="14">
        <v>4</v>
      </c>
      <c r="AG176" s="14">
        <v>2</v>
      </c>
      <c r="AH176" s="14">
        <v>1</v>
      </c>
      <c r="AI176" s="14">
        <v>1</v>
      </c>
      <c r="AJ176" s="14">
        <v>2</v>
      </c>
      <c r="AK176" s="14">
        <v>1</v>
      </c>
      <c r="AL176" s="14">
        <v>1</v>
      </c>
      <c r="AM176" s="14">
        <v>0</v>
      </c>
      <c r="AN176" s="285"/>
      <c r="AO176" s="13"/>
      <c r="AP176" s="13"/>
      <c r="AQ176" s="14"/>
      <c r="AR176" s="14"/>
      <c r="AS176" s="14">
        <f>7+2</f>
        <v>9</v>
      </c>
      <c r="AT176" s="14">
        <v>11</v>
      </c>
      <c r="AU176" s="14">
        <v>8</v>
      </c>
      <c r="AV176" s="14">
        <v>9</v>
      </c>
      <c r="AW176" s="14">
        <v>3</v>
      </c>
      <c r="AX176" s="14">
        <v>10</v>
      </c>
      <c r="AY176" s="14">
        <v>5</v>
      </c>
    </row>
    <row r="177" spans="1:51">
      <c r="A177" s="87"/>
      <c r="B177" s="13"/>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285"/>
      <c r="AO177" s="13"/>
      <c r="AP177" s="13"/>
      <c r="AQ177" s="14"/>
      <c r="AR177" s="14"/>
      <c r="AS177" s="14"/>
      <c r="AT177" s="14"/>
      <c r="AU177" s="14"/>
      <c r="AV177" s="14"/>
      <c r="AW177" s="14"/>
      <c r="AX177" s="14"/>
      <c r="AY177" s="14"/>
    </row>
    <row r="178" spans="1:51" s="264" customFormat="1">
      <c r="A178" s="326" t="s">
        <v>279</v>
      </c>
      <c r="B178" s="7"/>
      <c r="C178" s="42"/>
      <c r="D178" s="42"/>
      <c r="E178" s="42"/>
      <c r="F178" s="42"/>
      <c r="G178" s="42"/>
      <c r="H178" s="42"/>
      <c r="I178" s="42">
        <v>5</v>
      </c>
      <c r="J178" s="42"/>
      <c r="K178" s="42"/>
      <c r="L178" s="42"/>
      <c r="M178" s="42">
        <v>7</v>
      </c>
      <c r="N178" s="42"/>
      <c r="O178" s="42"/>
      <c r="P178" s="42"/>
      <c r="Q178" s="42">
        <v>11</v>
      </c>
      <c r="R178" s="42">
        <v>11</v>
      </c>
      <c r="S178" s="42">
        <v>10</v>
      </c>
      <c r="T178" s="42">
        <v>10</v>
      </c>
      <c r="U178" s="42">
        <v>10</v>
      </c>
      <c r="V178" s="42">
        <v>11</v>
      </c>
      <c r="W178" s="42">
        <v>12</v>
      </c>
      <c r="X178" s="42">
        <v>11</v>
      </c>
      <c r="Y178" s="42">
        <v>11</v>
      </c>
      <c r="Z178" s="42">
        <v>11</v>
      </c>
      <c r="AA178" s="42">
        <v>11</v>
      </c>
      <c r="AB178" s="42">
        <v>13</v>
      </c>
      <c r="AC178" s="42">
        <v>12</v>
      </c>
      <c r="AD178" s="42">
        <v>12</v>
      </c>
      <c r="AE178" s="42">
        <v>11</v>
      </c>
      <c r="AF178" s="42">
        <v>11</v>
      </c>
      <c r="AG178" s="42">
        <v>10</v>
      </c>
      <c r="AH178" s="42">
        <v>6</v>
      </c>
      <c r="AI178" s="42">
        <v>8</v>
      </c>
      <c r="AJ178" s="42">
        <v>7</v>
      </c>
      <c r="AK178" s="42">
        <v>8</v>
      </c>
      <c r="AL178" s="42">
        <v>10</v>
      </c>
      <c r="AM178" s="42">
        <v>9</v>
      </c>
      <c r="AN178" s="282"/>
      <c r="AO178" s="7"/>
      <c r="AP178" s="7"/>
      <c r="AQ178" s="42"/>
      <c r="AR178" s="42"/>
      <c r="AS178" s="42">
        <v>31</v>
      </c>
      <c r="AT178" s="42">
        <v>40</v>
      </c>
      <c r="AU178" s="42">
        <v>41</v>
      </c>
      <c r="AV178" s="42">
        <v>45</v>
      </c>
      <c r="AW178" s="42">
        <v>47</v>
      </c>
      <c r="AX178" s="42">
        <v>44</v>
      </c>
      <c r="AY178" s="42">
        <v>29</v>
      </c>
    </row>
    <row r="179" spans="1:51">
      <c r="A179" s="4"/>
      <c r="B179" s="13"/>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285"/>
      <c r="AO179" s="13"/>
      <c r="AP179" s="13"/>
      <c r="AQ179" s="14"/>
      <c r="AR179" s="14"/>
      <c r="AS179" s="14"/>
      <c r="AT179" s="14"/>
      <c r="AU179" s="14"/>
      <c r="AV179" s="14"/>
      <c r="AW179" s="14"/>
      <c r="AX179" s="14"/>
      <c r="AY179" s="14"/>
    </row>
    <row r="180" spans="1:51">
      <c r="A180" s="4" t="s">
        <v>645</v>
      </c>
      <c r="B180" s="13"/>
      <c r="C180" s="14"/>
      <c r="D180" s="14"/>
      <c r="E180" s="14"/>
      <c r="F180" s="14"/>
      <c r="G180" s="14"/>
      <c r="H180" s="14"/>
      <c r="I180" s="327">
        <v>0.88</v>
      </c>
      <c r="J180" s="14"/>
      <c r="K180" s="14"/>
      <c r="L180" s="14"/>
      <c r="M180" s="327">
        <v>0.89</v>
      </c>
      <c r="N180" s="14"/>
      <c r="O180" s="14"/>
      <c r="P180" s="14"/>
      <c r="Q180" s="327">
        <v>0.88</v>
      </c>
      <c r="R180" s="327">
        <v>0.96</v>
      </c>
      <c r="S180" s="327">
        <v>0.9</v>
      </c>
      <c r="T180" s="327">
        <v>0.88</v>
      </c>
      <c r="U180" s="327">
        <v>0.87</v>
      </c>
      <c r="V180" s="327">
        <v>0.96499999999999997</v>
      </c>
      <c r="W180" s="327">
        <v>0.89</v>
      </c>
      <c r="X180" s="327">
        <v>0.87</v>
      </c>
      <c r="Y180" s="327">
        <v>0.86</v>
      </c>
      <c r="Z180" s="327">
        <v>0.96</v>
      </c>
      <c r="AA180" s="327">
        <v>0.93</v>
      </c>
      <c r="AB180" s="327">
        <v>0.92</v>
      </c>
      <c r="AC180" s="327">
        <v>0.93</v>
      </c>
      <c r="AD180" s="327">
        <v>0.96</v>
      </c>
      <c r="AE180" s="327">
        <v>0.94</v>
      </c>
      <c r="AF180" s="327">
        <v>0.93</v>
      </c>
      <c r="AG180" s="327">
        <v>0.92</v>
      </c>
      <c r="AH180" s="327">
        <v>0.96</v>
      </c>
      <c r="AI180" s="327">
        <v>0.95</v>
      </c>
      <c r="AJ180" s="327">
        <v>0.94</v>
      </c>
      <c r="AK180" s="327">
        <v>0.93</v>
      </c>
      <c r="AL180" s="327">
        <v>0.96499999999999997</v>
      </c>
      <c r="AM180" s="327">
        <v>0.95499999999999996</v>
      </c>
      <c r="AN180" s="285"/>
      <c r="AO180" s="13"/>
      <c r="AP180" s="13"/>
      <c r="AQ180" s="14"/>
      <c r="AR180" s="327"/>
      <c r="AS180" s="327">
        <v>0.89</v>
      </c>
      <c r="AT180" s="327">
        <v>0.9</v>
      </c>
      <c r="AU180" s="327">
        <v>0.89</v>
      </c>
      <c r="AV180" s="327">
        <v>0.89</v>
      </c>
      <c r="AW180" s="327">
        <v>0.93</v>
      </c>
      <c r="AX180" s="327">
        <v>0.92</v>
      </c>
      <c r="AY180" s="327">
        <v>0.92</v>
      </c>
    </row>
    <row r="181" spans="1:51">
      <c r="A181" s="4"/>
      <c r="B181" s="13"/>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285"/>
      <c r="AO181" s="13"/>
      <c r="AP181" s="13"/>
      <c r="AQ181" s="14"/>
      <c r="AR181" s="14"/>
      <c r="AS181" s="14"/>
      <c r="AT181" s="14"/>
      <c r="AU181" s="14"/>
      <c r="AV181" s="14"/>
      <c r="AW181" s="14"/>
      <c r="AX181" s="14"/>
      <c r="AY181" s="14"/>
    </row>
    <row r="182" spans="1:51">
      <c r="A182" s="4" t="s">
        <v>646</v>
      </c>
      <c r="B182" s="13"/>
      <c r="C182" s="14"/>
      <c r="D182" s="14"/>
      <c r="E182" s="14"/>
      <c r="F182" s="14"/>
      <c r="G182" s="14"/>
      <c r="H182" s="14"/>
      <c r="I182" s="14">
        <v>8</v>
      </c>
      <c r="J182" s="14"/>
      <c r="K182" s="14"/>
      <c r="L182" s="14"/>
      <c r="M182" s="14">
        <v>7</v>
      </c>
      <c r="N182" s="14"/>
      <c r="O182" s="14"/>
      <c r="P182" s="14"/>
      <c r="Q182" s="14">
        <v>8</v>
      </c>
      <c r="R182" s="14">
        <v>8</v>
      </c>
      <c r="S182" s="14">
        <v>9</v>
      </c>
      <c r="T182" s="14">
        <v>9</v>
      </c>
      <c r="U182" s="14">
        <v>11</v>
      </c>
      <c r="V182" s="14">
        <v>11</v>
      </c>
      <c r="W182" s="14">
        <v>10</v>
      </c>
      <c r="X182" s="14">
        <v>11</v>
      </c>
      <c r="Y182" s="14">
        <v>11</v>
      </c>
      <c r="Z182" s="14">
        <v>15</v>
      </c>
      <c r="AA182" s="14">
        <v>16</v>
      </c>
      <c r="AB182" s="14">
        <v>18</v>
      </c>
      <c r="AC182" s="14">
        <v>18</v>
      </c>
      <c r="AD182" s="14">
        <v>19</v>
      </c>
      <c r="AE182" s="14">
        <v>19</v>
      </c>
      <c r="AF182" s="14">
        <v>21</v>
      </c>
      <c r="AG182" s="14">
        <v>21</v>
      </c>
      <c r="AH182" s="14">
        <v>21</v>
      </c>
      <c r="AI182" s="14">
        <v>23</v>
      </c>
      <c r="AJ182" s="14">
        <v>24</v>
      </c>
      <c r="AK182" s="14">
        <v>24</v>
      </c>
      <c r="AL182" s="14">
        <v>23</v>
      </c>
      <c r="AM182" s="14">
        <v>26</v>
      </c>
      <c r="AN182" s="285"/>
      <c r="AO182" s="13"/>
      <c r="AP182" s="13"/>
      <c r="AQ182" s="14"/>
      <c r="AR182" s="14"/>
      <c r="AS182" s="14">
        <v>7</v>
      </c>
      <c r="AT182" s="14">
        <v>8</v>
      </c>
      <c r="AU182" s="14">
        <v>11</v>
      </c>
      <c r="AV182" s="14">
        <v>11</v>
      </c>
      <c r="AW182" s="14">
        <v>18</v>
      </c>
      <c r="AX182" s="14">
        <v>21</v>
      </c>
      <c r="AY182" s="14">
        <v>24</v>
      </c>
    </row>
    <row r="183" spans="1:51">
      <c r="A183" s="4" t="s">
        <v>648</v>
      </c>
      <c r="B183" s="13"/>
      <c r="C183" s="14"/>
      <c r="D183" s="14"/>
      <c r="E183" s="14"/>
      <c r="F183" s="14"/>
      <c r="G183" s="14"/>
      <c r="H183" s="14"/>
      <c r="I183" s="14">
        <v>10</v>
      </c>
      <c r="J183" s="14"/>
      <c r="K183" s="14"/>
      <c r="L183" s="14"/>
      <c r="M183" s="14">
        <v>13</v>
      </c>
      <c r="N183" s="14"/>
      <c r="O183" s="14"/>
      <c r="P183" s="14"/>
      <c r="Q183" s="14">
        <v>16</v>
      </c>
      <c r="R183" s="14">
        <v>17</v>
      </c>
      <c r="S183" s="14">
        <v>16</v>
      </c>
      <c r="T183" s="14">
        <v>17</v>
      </c>
      <c r="U183" s="14">
        <v>15</v>
      </c>
      <c r="V183" s="14">
        <v>15</v>
      </c>
      <c r="W183" s="14">
        <v>16</v>
      </c>
      <c r="X183" s="14">
        <v>17</v>
      </c>
      <c r="Y183" s="14">
        <v>16</v>
      </c>
      <c r="Z183" s="14">
        <v>20</v>
      </c>
      <c r="AA183" s="14">
        <v>22</v>
      </c>
      <c r="AB183" s="14">
        <v>21</v>
      </c>
      <c r="AC183" s="14">
        <v>19</v>
      </c>
      <c r="AD183" s="14">
        <v>24</v>
      </c>
      <c r="AE183" s="14">
        <v>26</v>
      </c>
      <c r="AF183" s="14">
        <v>23</v>
      </c>
      <c r="AG183" s="14">
        <v>23</v>
      </c>
      <c r="AH183" s="14">
        <v>24</v>
      </c>
      <c r="AI183" s="14">
        <v>23</v>
      </c>
      <c r="AJ183" s="14">
        <v>23</v>
      </c>
      <c r="AK183" s="14">
        <v>24</v>
      </c>
      <c r="AL183" s="14">
        <v>25</v>
      </c>
      <c r="AM183" s="14">
        <v>23</v>
      </c>
      <c r="AN183" s="285"/>
      <c r="AO183" s="13"/>
      <c r="AP183" s="13"/>
      <c r="AQ183" s="14"/>
      <c r="AR183" s="14"/>
      <c r="AS183" s="14">
        <v>13</v>
      </c>
      <c r="AT183" s="14">
        <v>16</v>
      </c>
      <c r="AU183" s="14">
        <v>15</v>
      </c>
      <c r="AV183" s="14">
        <v>16</v>
      </c>
      <c r="AW183" s="14">
        <v>19</v>
      </c>
      <c r="AX183" s="14">
        <v>23</v>
      </c>
      <c r="AY183" s="14">
        <v>24</v>
      </c>
    </row>
    <row r="184" spans="1:51">
      <c r="A184" s="4" t="s">
        <v>650</v>
      </c>
      <c r="B184" s="13"/>
      <c r="C184" s="14"/>
      <c r="D184" s="14"/>
      <c r="E184" s="14"/>
      <c r="F184" s="14"/>
      <c r="G184" s="14"/>
      <c r="H184" s="14"/>
      <c r="I184" s="14">
        <v>55</v>
      </c>
      <c r="J184" s="14"/>
      <c r="K184" s="14"/>
      <c r="L184" s="14"/>
      <c r="M184" s="14">
        <v>60</v>
      </c>
      <c r="N184" s="14"/>
      <c r="O184" s="14"/>
      <c r="P184" s="14"/>
      <c r="Q184" s="14">
        <v>66</v>
      </c>
      <c r="R184" s="14">
        <v>66</v>
      </c>
      <c r="S184" s="14">
        <v>70</v>
      </c>
      <c r="T184" s="14">
        <v>74</v>
      </c>
      <c r="U184" s="14">
        <v>80</v>
      </c>
      <c r="V184" s="14">
        <v>81</v>
      </c>
      <c r="W184" s="14">
        <v>83</v>
      </c>
      <c r="X184" s="14">
        <v>87</v>
      </c>
      <c r="Y184" s="14">
        <v>88</v>
      </c>
      <c r="Z184" s="14">
        <v>95</v>
      </c>
      <c r="AA184" s="14">
        <v>92</v>
      </c>
      <c r="AB184" s="14">
        <v>94</v>
      </c>
      <c r="AC184" s="14">
        <v>100</v>
      </c>
      <c r="AD184" s="14">
        <v>98</v>
      </c>
      <c r="AE184" s="14">
        <v>97</v>
      </c>
      <c r="AF184" s="14">
        <v>98</v>
      </c>
      <c r="AG184" s="14">
        <v>101</v>
      </c>
      <c r="AH184" s="14">
        <v>102</v>
      </c>
      <c r="AI184" s="14">
        <v>104</v>
      </c>
      <c r="AJ184" s="14">
        <v>109</v>
      </c>
      <c r="AK184" s="14">
        <v>112</v>
      </c>
      <c r="AL184" s="14">
        <v>118</v>
      </c>
      <c r="AM184" s="14">
        <v>128</v>
      </c>
      <c r="AN184" s="285"/>
      <c r="AO184" s="13"/>
      <c r="AP184" s="13"/>
      <c r="AQ184" s="14"/>
      <c r="AR184" s="14"/>
      <c r="AS184" s="14">
        <v>60</v>
      </c>
      <c r="AT184" s="14">
        <v>66</v>
      </c>
      <c r="AU184" s="14">
        <v>80</v>
      </c>
      <c r="AV184" s="14">
        <v>88</v>
      </c>
      <c r="AW184" s="14">
        <v>100</v>
      </c>
      <c r="AX184" s="14">
        <v>101</v>
      </c>
      <c r="AY184" s="14">
        <v>112</v>
      </c>
    </row>
    <row r="185" spans="1:51">
      <c r="A185" s="4" t="s">
        <v>279</v>
      </c>
      <c r="B185" s="13"/>
      <c r="C185" s="14"/>
      <c r="D185" s="14"/>
      <c r="E185" s="14"/>
      <c r="F185" s="14"/>
      <c r="G185" s="14"/>
      <c r="H185" s="14"/>
      <c r="I185" s="14"/>
      <c r="J185" s="14"/>
      <c r="K185" s="14"/>
      <c r="L185" s="14"/>
      <c r="M185" s="14"/>
      <c r="N185" s="14"/>
      <c r="O185" s="14"/>
      <c r="P185" s="14"/>
      <c r="Q185" s="63">
        <f t="shared" ref="Q185:AM185" si="73">SUM(Q182:Q184)</f>
        <v>90</v>
      </c>
      <c r="R185" s="63">
        <f t="shared" si="73"/>
        <v>91</v>
      </c>
      <c r="S185" s="63">
        <f t="shared" si="73"/>
        <v>95</v>
      </c>
      <c r="T185" s="63">
        <f t="shared" si="73"/>
        <v>100</v>
      </c>
      <c r="U185" s="63">
        <f t="shared" si="73"/>
        <v>106</v>
      </c>
      <c r="V185" s="63">
        <f t="shared" si="73"/>
        <v>107</v>
      </c>
      <c r="W185" s="63">
        <f t="shared" si="73"/>
        <v>109</v>
      </c>
      <c r="X185" s="63">
        <f t="shared" si="73"/>
        <v>115</v>
      </c>
      <c r="Y185" s="63">
        <f t="shared" si="73"/>
        <v>115</v>
      </c>
      <c r="Z185" s="63">
        <f t="shared" si="73"/>
        <v>130</v>
      </c>
      <c r="AA185" s="63">
        <f t="shared" si="73"/>
        <v>130</v>
      </c>
      <c r="AB185" s="63">
        <f t="shared" si="73"/>
        <v>133</v>
      </c>
      <c r="AC185" s="63">
        <f t="shared" si="73"/>
        <v>137</v>
      </c>
      <c r="AD185" s="63">
        <f t="shared" si="73"/>
        <v>141</v>
      </c>
      <c r="AE185" s="63">
        <f t="shared" si="73"/>
        <v>142</v>
      </c>
      <c r="AF185" s="63">
        <f t="shared" si="73"/>
        <v>142</v>
      </c>
      <c r="AG185" s="63">
        <f t="shared" si="73"/>
        <v>145</v>
      </c>
      <c r="AH185" s="63">
        <f t="shared" si="73"/>
        <v>147</v>
      </c>
      <c r="AI185" s="63">
        <f t="shared" si="73"/>
        <v>150</v>
      </c>
      <c r="AJ185" s="63">
        <f t="shared" si="73"/>
        <v>156</v>
      </c>
      <c r="AK185" s="63">
        <f t="shared" si="73"/>
        <v>160</v>
      </c>
      <c r="AL185" s="63">
        <f t="shared" si="73"/>
        <v>166</v>
      </c>
      <c r="AM185" s="63">
        <f t="shared" si="73"/>
        <v>177</v>
      </c>
      <c r="AN185" s="285"/>
      <c r="AO185" s="13"/>
      <c r="AP185" s="13"/>
      <c r="AQ185" s="14"/>
      <c r="AR185" s="63"/>
      <c r="AS185" s="63">
        <f t="shared" ref="AS185:AY185" si="74">SUM(AS182:AS184)</f>
        <v>80</v>
      </c>
      <c r="AT185" s="63">
        <f t="shared" si="74"/>
        <v>90</v>
      </c>
      <c r="AU185" s="63">
        <f t="shared" si="74"/>
        <v>106</v>
      </c>
      <c r="AV185" s="63">
        <f t="shared" si="74"/>
        <v>115</v>
      </c>
      <c r="AW185" s="63">
        <f t="shared" si="74"/>
        <v>137</v>
      </c>
      <c r="AX185" s="63">
        <f t="shared" si="74"/>
        <v>145</v>
      </c>
      <c r="AY185" s="63">
        <f t="shared" si="74"/>
        <v>160</v>
      </c>
    </row>
    <row r="186" spans="1:51">
      <c r="A186" s="4"/>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285"/>
      <c r="AO186" s="13"/>
      <c r="AP186" s="13"/>
      <c r="AQ186" s="13"/>
      <c r="AR186" s="13"/>
      <c r="AS186" s="13"/>
      <c r="AT186" s="4"/>
      <c r="AU186" s="4"/>
      <c r="AV186" s="4"/>
      <c r="AW186" s="4"/>
      <c r="AX186" s="4"/>
      <c r="AY186" s="4"/>
    </row>
    <row r="187" spans="1:51">
      <c r="A187" s="251" t="s">
        <v>651</v>
      </c>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c r="AA187" s="252"/>
      <c r="AB187" s="252"/>
      <c r="AC187" s="252"/>
      <c r="AD187" s="252"/>
      <c r="AE187" s="252"/>
      <c r="AF187" s="252"/>
      <c r="AG187" s="252"/>
      <c r="AH187" s="252"/>
      <c r="AI187" s="252"/>
      <c r="AJ187" s="252"/>
      <c r="AK187" s="252"/>
      <c r="AL187" s="252"/>
      <c r="AM187" s="252"/>
      <c r="AN187" s="1252"/>
      <c r="AO187" s="273"/>
      <c r="AP187" s="273"/>
      <c r="AQ187" s="273"/>
      <c r="AR187" s="273"/>
      <c r="AS187" s="273"/>
      <c r="AT187" s="273"/>
      <c r="AU187" s="273"/>
      <c r="AV187" s="273"/>
      <c r="AW187" s="273"/>
      <c r="AX187" s="273"/>
      <c r="AY187" s="273"/>
    </row>
    <row r="188" spans="1:51">
      <c r="A188" s="4" t="s">
        <v>652</v>
      </c>
      <c r="B188" s="9"/>
      <c r="C188" s="249"/>
      <c r="D188" s="249"/>
      <c r="E188" s="249"/>
      <c r="F188" s="249"/>
      <c r="G188" s="249"/>
      <c r="H188" s="249"/>
      <c r="I188" s="249">
        <v>34</v>
      </c>
      <c r="J188" s="249"/>
      <c r="K188" s="249"/>
      <c r="L188" s="249"/>
      <c r="M188" s="249">
        <v>29</v>
      </c>
      <c r="N188" s="249"/>
      <c r="O188" s="249"/>
      <c r="P188" s="249"/>
      <c r="Q188" s="249">
        <v>29</v>
      </c>
      <c r="R188" s="249">
        <v>27</v>
      </c>
      <c r="S188" s="249">
        <v>29</v>
      </c>
      <c r="T188" s="249">
        <v>27</v>
      </c>
      <c r="U188" s="249">
        <v>27</v>
      </c>
      <c r="V188" s="249">
        <v>26.3</v>
      </c>
      <c r="W188" s="249">
        <v>25</v>
      </c>
      <c r="X188" s="249">
        <v>24.4</v>
      </c>
      <c r="Y188" s="249">
        <v>25.4</v>
      </c>
      <c r="Z188" s="249">
        <v>25</v>
      </c>
      <c r="AA188" s="249">
        <v>22.5</v>
      </c>
      <c r="AB188" s="249">
        <v>25.2</v>
      </c>
      <c r="AC188" s="249">
        <v>23.1</v>
      </c>
      <c r="AD188" s="249">
        <v>22.9</v>
      </c>
      <c r="AE188" s="249">
        <v>23.1</v>
      </c>
      <c r="AF188" s="249">
        <v>23.9</v>
      </c>
      <c r="AG188" s="249">
        <v>23</v>
      </c>
      <c r="AH188" s="249">
        <v>25.1</v>
      </c>
      <c r="AI188" s="249">
        <v>23.5</v>
      </c>
      <c r="AJ188" s="249">
        <v>22.7</v>
      </c>
      <c r="AK188" s="249">
        <v>23</v>
      </c>
      <c r="AL188" s="249">
        <v>21</v>
      </c>
      <c r="AM188" s="249">
        <v>22.1</v>
      </c>
      <c r="AN188" s="308"/>
      <c r="AO188" s="14"/>
      <c r="AP188" s="14"/>
      <c r="AQ188" s="14"/>
      <c r="AR188" s="14"/>
      <c r="AS188" s="14">
        <v>30</v>
      </c>
      <c r="AT188" s="14">
        <v>28</v>
      </c>
      <c r="AU188" s="14">
        <v>28</v>
      </c>
      <c r="AV188" s="14">
        <v>24</v>
      </c>
      <c r="AW188" s="14">
        <v>22.9</v>
      </c>
      <c r="AX188" s="14">
        <v>23.200000000000003</v>
      </c>
      <c r="AY188" s="14">
        <v>23.5</v>
      </c>
    </row>
    <row r="189" spans="1:51">
      <c r="A189" s="4" t="s">
        <v>653</v>
      </c>
      <c r="B189" s="9"/>
      <c r="C189" s="249"/>
      <c r="D189" s="249"/>
      <c r="E189" s="249"/>
      <c r="F189" s="249"/>
      <c r="G189" s="249"/>
      <c r="H189" s="249"/>
      <c r="I189" s="249">
        <v>46</v>
      </c>
      <c r="J189" s="249"/>
      <c r="K189" s="249"/>
      <c r="L189" s="249"/>
      <c r="M189" s="249">
        <v>40</v>
      </c>
      <c r="N189" s="249"/>
      <c r="O189" s="249"/>
      <c r="P189" s="249"/>
      <c r="Q189" s="249">
        <v>41</v>
      </c>
      <c r="R189" s="249">
        <v>39</v>
      </c>
      <c r="S189" s="249">
        <v>39</v>
      </c>
      <c r="T189" s="249">
        <v>36</v>
      </c>
      <c r="U189" s="249">
        <v>37</v>
      </c>
      <c r="V189" s="249">
        <v>37.5</v>
      </c>
      <c r="W189" s="249">
        <v>36</v>
      </c>
      <c r="X189" s="249">
        <v>34.200000000000003</v>
      </c>
      <c r="Y189" s="249">
        <v>36.5</v>
      </c>
      <c r="Z189" s="249">
        <v>36</v>
      </c>
      <c r="AA189" s="249">
        <v>33</v>
      </c>
      <c r="AB189" s="249">
        <v>36.1</v>
      </c>
      <c r="AC189" s="249">
        <v>35</v>
      </c>
      <c r="AD189" s="249">
        <v>35.5</v>
      </c>
      <c r="AE189" s="249">
        <v>35.799999999999997</v>
      </c>
      <c r="AF189" s="249">
        <v>36.299999999999997</v>
      </c>
      <c r="AG189" s="249">
        <v>35.5</v>
      </c>
      <c r="AH189" s="249">
        <v>37.700000000000003</v>
      </c>
      <c r="AI189" s="249">
        <v>35.200000000000003</v>
      </c>
      <c r="AJ189" s="249">
        <v>34.299999999999997</v>
      </c>
      <c r="AK189" s="249">
        <v>34.4</v>
      </c>
      <c r="AL189" s="249">
        <v>32.9</v>
      </c>
      <c r="AM189" s="249">
        <v>33.1</v>
      </c>
      <c r="AN189" s="308"/>
      <c r="AO189" s="14"/>
      <c r="AP189" s="14"/>
      <c r="AQ189" s="14"/>
      <c r="AR189" s="14"/>
      <c r="AS189" s="14">
        <v>42</v>
      </c>
      <c r="AT189" s="14">
        <v>39</v>
      </c>
      <c r="AU189" s="14">
        <v>38</v>
      </c>
      <c r="AV189" s="14">
        <v>34</v>
      </c>
      <c r="AW189" s="14">
        <v>34</v>
      </c>
      <c r="AX189" s="14">
        <v>35.5</v>
      </c>
      <c r="AY189" s="14">
        <v>34.5</v>
      </c>
    </row>
    <row r="190" spans="1:51">
      <c r="A190" s="4" t="s">
        <v>654</v>
      </c>
      <c r="B190" s="9"/>
      <c r="C190" s="249"/>
      <c r="D190" s="249"/>
      <c r="E190" s="249"/>
      <c r="F190" s="249"/>
      <c r="G190" s="249"/>
      <c r="H190" s="249"/>
      <c r="I190" s="249"/>
      <c r="J190" s="249"/>
      <c r="K190" s="249"/>
      <c r="L190" s="249"/>
      <c r="M190" s="249"/>
      <c r="N190" s="249"/>
      <c r="O190" s="249"/>
      <c r="P190" s="249"/>
      <c r="Q190" s="249"/>
      <c r="R190" s="249"/>
      <c r="S190" s="249"/>
      <c r="T190" s="249"/>
      <c r="U190" s="249"/>
      <c r="V190" s="249">
        <v>52</v>
      </c>
      <c r="W190" s="249">
        <v>52</v>
      </c>
      <c r="X190" s="249">
        <v>48</v>
      </c>
      <c r="Y190" s="249">
        <v>51</v>
      </c>
      <c r="Z190" s="249">
        <v>50</v>
      </c>
      <c r="AA190" s="249">
        <v>46</v>
      </c>
      <c r="AB190" s="249">
        <v>49</v>
      </c>
      <c r="AC190" s="249"/>
      <c r="AD190" s="249"/>
      <c r="AE190" s="249"/>
      <c r="AF190" s="249"/>
      <c r="AG190" s="249"/>
      <c r="AH190" s="249"/>
      <c r="AI190" s="249"/>
      <c r="AJ190" s="249"/>
      <c r="AK190" s="249"/>
      <c r="AL190" s="249"/>
      <c r="AM190" s="249"/>
      <c r="AN190" s="308"/>
      <c r="AO190" s="14"/>
      <c r="AP190" s="14"/>
      <c r="AQ190" s="14"/>
      <c r="AR190" s="14"/>
      <c r="AS190" s="14"/>
      <c r="AT190" s="14"/>
      <c r="AU190" s="14"/>
      <c r="AV190" s="14"/>
      <c r="AW190" s="14"/>
      <c r="AX190" s="14"/>
      <c r="AY190" s="14"/>
    </row>
    <row r="191" spans="1:51">
      <c r="A191" s="6"/>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c r="Y191" s="257"/>
      <c r="Z191" s="257"/>
      <c r="AA191" s="257"/>
      <c r="AB191" s="257"/>
      <c r="AC191" s="257"/>
      <c r="AD191" s="257"/>
      <c r="AE191" s="257"/>
      <c r="AF191" s="257"/>
      <c r="AG191" s="257"/>
      <c r="AH191" s="257"/>
      <c r="AI191" s="257"/>
      <c r="AJ191" s="257"/>
      <c r="AK191" s="257"/>
      <c r="AL191" s="257"/>
      <c r="AM191" s="257"/>
      <c r="AN191" s="1155"/>
      <c r="AO191" s="257"/>
      <c r="AP191" s="257"/>
      <c r="AQ191" s="257"/>
      <c r="AR191" s="257"/>
      <c r="AS191" s="257"/>
      <c r="AT191" s="4"/>
      <c r="AU191" s="4"/>
      <c r="AV191" s="4"/>
      <c r="AW191" s="4"/>
      <c r="AX191" s="4"/>
      <c r="AY191" s="4"/>
    </row>
    <row r="192" spans="1:51">
      <c r="A192" s="251" t="s">
        <v>651</v>
      </c>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c r="AA192" s="252"/>
      <c r="AB192" s="252"/>
      <c r="AC192" s="252"/>
      <c r="AD192" s="252"/>
      <c r="AE192" s="252"/>
      <c r="AF192" s="252"/>
      <c r="AG192" s="252"/>
      <c r="AH192" s="252"/>
      <c r="AI192" s="252"/>
      <c r="AJ192" s="252"/>
      <c r="AK192" s="252"/>
      <c r="AL192" s="252"/>
      <c r="AM192" s="252"/>
      <c r="AN192" s="1252"/>
      <c r="AO192" s="273"/>
      <c r="AP192" s="273"/>
      <c r="AQ192" s="273"/>
      <c r="AR192" s="273"/>
      <c r="AS192" s="273"/>
      <c r="AT192" s="273"/>
      <c r="AU192" s="273"/>
      <c r="AV192" s="273"/>
      <c r="AW192" s="273"/>
      <c r="AX192" s="273"/>
      <c r="AY192" s="273"/>
    </row>
    <row r="193" spans="1:55">
      <c r="A193" s="4" t="s">
        <v>652</v>
      </c>
      <c r="B193" s="259"/>
      <c r="C193" s="12"/>
      <c r="D193" s="12"/>
      <c r="E193" s="12"/>
      <c r="F193" s="12"/>
      <c r="G193" s="12"/>
      <c r="H193" s="12"/>
      <c r="I193" s="12"/>
      <c r="J193" s="12"/>
      <c r="K193" s="12"/>
      <c r="L193" s="12"/>
      <c r="M193" s="12"/>
      <c r="N193" s="12">
        <f t="shared" ref="N193:AM193" si="75">N188</f>
        <v>0</v>
      </c>
      <c r="O193" s="12">
        <f t="shared" si="75"/>
        <v>0</v>
      </c>
      <c r="P193" s="12">
        <f t="shared" si="75"/>
        <v>0</v>
      </c>
      <c r="Q193" s="12">
        <f t="shared" si="75"/>
        <v>29</v>
      </c>
      <c r="R193" s="12">
        <f t="shared" si="75"/>
        <v>27</v>
      </c>
      <c r="S193" s="12">
        <f t="shared" si="75"/>
        <v>29</v>
      </c>
      <c r="T193" s="12">
        <f t="shared" si="75"/>
        <v>27</v>
      </c>
      <c r="U193" s="12">
        <f t="shared" si="75"/>
        <v>27</v>
      </c>
      <c r="V193" s="12">
        <f t="shared" si="75"/>
        <v>26.3</v>
      </c>
      <c r="W193" s="12">
        <f t="shared" si="75"/>
        <v>25</v>
      </c>
      <c r="X193" s="12">
        <f t="shared" si="75"/>
        <v>24.4</v>
      </c>
      <c r="Y193" s="12">
        <f t="shared" si="75"/>
        <v>25.4</v>
      </c>
      <c r="Z193" s="12">
        <f t="shared" si="75"/>
        <v>25</v>
      </c>
      <c r="AA193" s="12">
        <f t="shared" si="75"/>
        <v>22.5</v>
      </c>
      <c r="AB193" s="12">
        <f t="shared" si="75"/>
        <v>25.2</v>
      </c>
      <c r="AC193" s="12">
        <f t="shared" si="75"/>
        <v>23.1</v>
      </c>
      <c r="AD193" s="12">
        <f t="shared" si="75"/>
        <v>22.9</v>
      </c>
      <c r="AE193" s="12">
        <f t="shared" si="75"/>
        <v>23.1</v>
      </c>
      <c r="AF193" s="12">
        <f t="shared" si="75"/>
        <v>23.9</v>
      </c>
      <c r="AG193" s="12">
        <f t="shared" si="75"/>
        <v>23</v>
      </c>
      <c r="AH193" s="12">
        <f t="shared" si="75"/>
        <v>25.1</v>
      </c>
      <c r="AI193" s="12">
        <f t="shared" si="75"/>
        <v>23.5</v>
      </c>
      <c r="AJ193" s="12">
        <f t="shared" si="75"/>
        <v>22.7</v>
      </c>
      <c r="AK193" s="12">
        <f t="shared" si="75"/>
        <v>23</v>
      </c>
      <c r="AL193" s="12">
        <f t="shared" si="75"/>
        <v>21</v>
      </c>
      <c r="AM193" s="12">
        <f t="shared" si="75"/>
        <v>22.1</v>
      </c>
      <c r="AN193" s="306"/>
      <c r="AO193" s="259"/>
      <c r="AP193" s="177"/>
      <c r="AQ193" s="177"/>
      <c r="AR193" s="177"/>
      <c r="AS193" s="177">
        <f t="shared" ref="AS193:AY193" si="76">AS188</f>
        <v>30</v>
      </c>
      <c r="AT193" s="177">
        <f t="shared" si="76"/>
        <v>28</v>
      </c>
      <c r="AU193" s="177">
        <f t="shared" si="76"/>
        <v>28</v>
      </c>
      <c r="AV193" s="177">
        <f t="shared" si="76"/>
        <v>24</v>
      </c>
      <c r="AW193" s="177">
        <f t="shared" si="76"/>
        <v>22.9</v>
      </c>
      <c r="AX193" s="177">
        <f t="shared" si="76"/>
        <v>23.200000000000003</v>
      </c>
      <c r="AY193" s="177">
        <f t="shared" si="76"/>
        <v>23.5</v>
      </c>
    </row>
    <row r="194" spans="1:55">
      <c r="A194" s="4" t="s">
        <v>655</v>
      </c>
      <c r="B194" s="259"/>
      <c r="C194" s="12"/>
      <c r="D194" s="12"/>
      <c r="E194" s="12"/>
      <c r="F194" s="12"/>
      <c r="G194" s="12"/>
      <c r="H194" s="12"/>
      <c r="I194" s="12"/>
      <c r="J194" s="12"/>
      <c r="K194" s="12"/>
      <c r="L194" s="12"/>
      <c r="M194" s="12"/>
      <c r="N194" s="12">
        <f t="shared" ref="N194:AM194" si="77">N189-N188</f>
        <v>0</v>
      </c>
      <c r="O194" s="12">
        <f t="shared" si="77"/>
        <v>0</v>
      </c>
      <c r="P194" s="12">
        <f t="shared" si="77"/>
        <v>0</v>
      </c>
      <c r="Q194" s="12">
        <f t="shared" si="77"/>
        <v>12</v>
      </c>
      <c r="R194" s="12">
        <f t="shared" si="77"/>
        <v>12</v>
      </c>
      <c r="S194" s="12">
        <f t="shared" si="77"/>
        <v>10</v>
      </c>
      <c r="T194" s="12">
        <f t="shared" si="77"/>
        <v>9</v>
      </c>
      <c r="U194" s="12">
        <f t="shared" si="77"/>
        <v>10</v>
      </c>
      <c r="V194" s="12">
        <f t="shared" si="77"/>
        <v>11.2</v>
      </c>
      <c r="W194" s="12">
        <f t="shared" si="77"/>
        <v>11</v>
      </c>
      <c r="X194" s="12">
        <f t="shared" si="77"/>
        <v>9.8000000000000043</v>
      </c>
      <c r="Y194" s="12">
        <f t="shared" si="77"/>
        <v>11.100000000000001</v>
      </c>
      <c r="Z194" s="12">
        <f t="shared" si="77"/>
        <v>11</v>
      </c>
      <c r="AA194" s="12">
        <f t="shared" si="77"/>
        <v>10.5</v>
      </c>
      <c r="AB194" s="12">
        <f t="shared" si="77"/>
        <v>10.900000000000002</v>
      </c>
      <c r="AC194" s="12">
        <f t="shared" si="77"/>
        <v>11.899999999999999</v>
      </c>
      <c r="AD194" s="12">
        <f t="shared" si="77"/>
        <v>12.600000000000001</v>
      </c>
      <c r="AE194" s="12">
        <f t="shared" si="77"/>
        <v>12.699999999999996</v>
      </c>
      <c r="AF194" s="12">
        <f t="shared" si="77"/>
        <v>12.399999999999999</v>
      </c>
      <c r="AG194" s="12">
        <f t="shared" si="77"/>
        <v>12.5</v>
      </c>
      <c r="AH194" s="12">
        <f t="shared" si="77"/>
        <v>12.600000000000001</v>
      </c>
      <c r="AI194" s="12">
        <f t="shared" si="77"/>
        <v>11.700000000000003</v>
      </c>
      <c r="AJ194" s="12">
        <f t="shared" si="77"/>
        <v>11.599999999999998</v>
      </c>
      <c r="AK194" s="12">
        <f t="shared" si="77"/>
        <v>11.399999999999999</v>
      </c>
      <c r="AL194" s="12">
        <f t="shared" si="77"/>
        <v>11.899999999999999</v>
      </c>
      <c r="AM194" s="12">
        <f t="shared" si="77"/>
        <v>11</v>
      </c>
      <c r="AN194" s="306"/>
      <c r="AO194" s="259"/>
      <c r="AP194" s="177"/>
      <c r="AQ194" s="177"/>
      <c r="AR194" s="177"/>
      <c r="AS194" s="177">
        <f t="shared" ref="AS194:AY194" si="78">AS189-AS188</f>
        <v>12</v>
      </c>
      <c r="AT194" s="177">
        <f t="shared" si="78"/>
        <v>11</v>
      </c>
      <c r="AU194" s="177">
        <f t="shared" si="78"/>
        <v>10</v>
      </c>
      <c r="AV194" s="177">
        <f t="shared" si="78"/>
        <v>10</v>
      </c>
      <c r="AW194" s="177">
        <f t="shared" si="78"/>
        <v>11.100000000000001</v>
      </c>
      <c r="AX194" s="177">
        <f t="shared" si="78"/>
        <v>12.299999999999997</v>
      </c>
      <c r="AY194" s="177">
        <f t="shared" si="78"/>
        <v>11</v>
      </c>
    </row>
    <row r="195" spans="1:55">
      <c r="A195" s="4" t="s">
        <v>653</v>
      </c>
      <c r="B195" s="259"/>
      <c r="C195" s="12"/>
      <c r="D195" s="12"/>
      <c r="E195" s="12"/>
      <c r="F195" s="12"/>
      <c r="G195" s="12"/>
      <c r="H195" s="12"/>
      <c r="I195" s="12"/>
      <c r="J195" s="12"/>
      <c r="K195" s="12"/>
      <c r="L195" s="12"/>
      <c r="M195" s="12"/>
      <c r="N195" s="12">
        <f t="shared" ref="N195:AM195" si="79">N189</f>
        <v>0</v>
      </c>
      <c r="O195" s="12">
        <f t="shared" si="79"/>
        <v>0</v>
      </c>
      <c r="P195" s="12">
        <f t="shared" si="79"/>
        <v>0</v>
      </c>
      <c r="Q195" s="12">
        <f t="shared" si="79"/>
        <v>41</v>
      </c>
      <c r="R195" s="12">
        <f t="shared" si="79"/>
        <v>39</v>
      </c>
      <c r="S195" s="12">
        <f t="shared" si="79"/>
        <v>39</v>
      </c>
      <c r="T195" s="12">
        <f t="shared" si="79"/>
        <v>36</v>
      </c>
      <c r="U195" s="12">
        <f t="shared" si="79"/>
        <v>37</v>
      </c>
      <c r="V195" s="12">
        <f t="shared" si="79"/>
        <v>37.5</v>
      </c>
      <c r="W195" s="12">
        <f t="shared" si="79"/>
        <v>36</v>
      </c>
      <c r="X195" s="12">
        <f t="shared" si="79"/>
        <v>34.200000000000003</v>
      </c>
      <c r="Y195" s="12">
        <f t="shared" si="79"/>
        <v>36.5</v>
      </c>
      <c r="Z195" s="12">
        <f t="shared" si="79"/>
        <v>36</v>
      </c>
      <c r="AA195" s="12">
        <f t="shared" si="79"/>
        <v>33</v>
      </c>
      <c r="AB195" s="12">
        <f t="shared" si="79"/>
        <v>36.1</v>
      </c>
      <c r="AC195" s="12">
        <f t="shared" si="79"/>
        <v>35</v>
      </c>
      <c r="AD195" s="12">
        <f t="shared" si="79"/>
        <v>35.5</v>
      </c>
      <c r="AE195" s="12">
        <f t="shared" si="79"/>
        <v>35.799999999999997</v>
      </c>
      <c r="AF195" s="12">
        <f t="shared" si="79"/>
        <v>36.299999999999997</v>
      </c>
      <c r="AG195" s="12">
        <f t="shared" si="79"/>
        <v>35.5</v>
      </c>
      <c r="AH195" s="12">
        <f t="shared" si="79"/>
        <v>37.700000000000003</v>
      </c>
      <c r="AI195" s="12">
        <f t="shared" si="79"/>
        <v>35.200000000000003</v>
      </c>
      <c r="AJ195" s="12">
        <f t="shared" si="79"/>
        <v>34.299999999999997</v>
      </c>
      <c r="AK195" s="12">
        <f t="shared" si="79"/>
        <v>34.4</v>
      </c>
      <c r="AL195" s="12">
        <f t="shared" si="79"/>
        <v>32.9</v>
      </c>
      <c r="AM195" s="12">
        <f t="shared" si="79"/>
        <v>33.1</v>
      </c>
      <c r="AN195" s="306"/>
      <c r="AO195" s="259"/>
      <c r="AP195" s="177"/>
      <c r="AQ195" s="177"/>
      <c r="AR195" s="177"/>
      <c r="AS195" s="177">
        <f t="shared" ref="AS195:AY195" si="80">AS189</f>
        <v>42</v>
      </c>
      <c r="AT195" s="177">
        <f t="shared" si="80"/>
        <v>39</v>
      </c>
      <c r="AU195" s="177">
        <f t="shared" si="80"/>
        <v>38</v>
      </c>
      <c r="AV195" s="177">
        <f t="shared" si="80"/>
        <v>34</v>
      </c>
      <c r="AW195" s="177">
        <f t="shared" si="80"/>
        <v>34</v>
      </c>
      <c r="AX195" s="177">
        <f t="shared" si="80"/>
        <v>35.5</v>
      </c>
      <c r="AY195" s="177">
        <f t="shared" si="80"/>
        <v>34.5</v>
      </c>
    </row>
    <row r="196" spans="1:55">
      <c r="A196" s="4" t="s">
        <v>656</v>
      </c>
      <c r="B196" s="259"/>
      <c r="C196" s="260"/>
      <c r="D196" s="260"/>
      <c r="E196" s="260"/>
      <c r="F196" s="260"/>
      <c r="G196" s="260"/>
      <c r="H196" s="260"/>
      <c r="I196" s="260"/>
      <c r="J196" s="260"/>
      <c r="K196" s="260"/>
      <c r="L196" s="260"/>
      <c r="M196" s="260"/>
      <c r="N196" s="260">
        <f t="shared" ref="N196:AM196" si="81">100-N195</f>
        <v>100</v>
      </c>
      <c r="O196" s="260">
        <f t="shared" si="81"/>
        <v>100</v>
      </c>
      <c r="P196" s="260">
        <f t="shared" si="81"/>
        <v>100</v>
      </c>
      <c r="Q196" s="260">
        <f t="shared" si="81"/>
        <v>59</v>
      </c>
      <c r="R196" s="260">
        <f t="shared" si="81"/>
        <v>61</v>
      </c>
      <c r="S196" s="260">
        <f t="shared" si="81"/>
        <v>61</v>
      </c>
      <c r="T196" s="260">
        <f t="shared" si="81"/>
        <v>64</v>
      </c>
      <c r="U196" s="260">
        <f t="shared" si="81"/>
        <v>63</v>
      </c>
      <c r="V196" s="260">
        <f t="shared" si="81"/>
        <v>62.5</v>
      </c>
      <c r="W196" s="260">
        <f t="shared" si="81"/>
        <v>64</v>
      </c>
      <c r="X196" s="260">
        <f t="shared" si="81"/>
        <v>65.8</v>
      </c>
      <c r="Y196" s="260">
        <f t="shared" si="81"/>
        <v>63.5</v>
      </c>
      <c r="Z196" s="256">
        <f t="shared" si="81"/>
        <v>64</v>
      </c>
      <c r="AA196" s="256">
        <f t="shared" si="81"/>
        <v>67</v>
      </c>
      <c r="AB196" s="256">
        <f t="shared" si="81"/>
        <v>63.9</v>
      </c>
      <c r="AC196" s="256">
        <f t="shared" si="81"/>
        <v>65</v>
      </c>
      <c r="AD196" s="256">
        <f t="shared" si="81"/>
        <v>64.5</v>
      </c>
      <c r="AE196" s="256">
        <f t="shared" si="81"/>
        <v>64.2</v>
      </c>
      <c r="AF196" s="256">
        <f t="shared" si="81"/>
        <v>63.7</v>
      </c>
      <c r="AG196" s="256">
        <f t="shared" si="81"/>
        <v>64.5</v>
      </c>
      <c r="AH196" s="256">
        <f t="shared" si="81"/>
        <v>62.3</v>
      </c>
      <c r="AI196" s="256">
        <f t="shared" si="81"/>
        <v>64.8</v>
      </c>
      <c r="AJ196" s="256">
        <f t="shared" si="81"/>
        <v>65.7</v>
      </c>
      <c r="AK196" s="256">
        <f t="shared" si="81"/>
        <v>65.599999999999994</v>
      </c>
      <c r="AL196" s="256">
        <f t="shared" si="81"/>
        <v>67.099999999999994</v>
      </c>
      <c r="AM196" s="256">
        <f t="shared" si="81"/>
        <v>66.900000000000006</v>
      </c>
      <c r="AN196" s="306"/>
      <c r="AO196" s="259"/>
      <c r="AP196" s="164"/>
      <c r="AQ196" s="164"/>
      <c r="AR196" s="164"/>
      <c r="AS196" s="164">
        <f t="shared" ref="AS196:AY196" si="82">100-AS195</f>
        <v>58</v>
      </c>
      <c r="AT196" s="164">
        <f t="shared" si="82"/>
        <v>61</v>
      </c>
      <c r="AU196" s="164">
        <f t="shared" si="82"/>
        <v>62</v>
      </c>
      <c r="AV196" s="164">
        <f t="shared" si="82"/>
        <v>66</v>
      </c>
      <c r="AW196" s="164">
        <f t="shared" si="82"/>
        <v>66</v>
      </c>
      <c r="AX196" s="164">
        <f t="shared" si="82"/>
        <v>64.5</v>
      </c>
      <c r="AY196" s="164">
        <f t="shared" si="82"/>
        <v>65.5</v>
      </c>
    </row>
    <row r="197" spans="1:5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281"/>
      <c r="AO197" s="4"/>
      <c r="AP197" s="4"/>
      <c r="AQ197" s="4"/>
      <c r="AX197">
        <f>AR3</f>
        <v>0</v>
      </c>
      <c r="AZ197" s="360"/>
      <c r="BA197" s="360"/>
      <c r="BB197" s="360"/>
      <c r="BC197" s="360"/>
    </row>
    <row r="198" spans="1:55">
      <c r="A198" s="251" t="s">
        <v>657</v>
      </c>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c r="AA198" s="252"/>
      <c r="AB198" s="252"/>
      <c r="AC198" s="252"/>
      <c r="AD198" s="252"/>
      <c r="AE198" s="252"/>
      <c r="AF198" s="252"/>
      <c r="AG198" s="252"/>
      <c r="AH198" s="252"/>
      <c r="AI198" s="252"/>
      <c r="AJ198" s="252"/>
      <c r="AK198" s="252"/>
      <c r="AL198" s="252"/>
      <c r="AM198" s="252"/>
      <c r="AN198" s="1252"/>
      <c r="AO198" s="273"/>
      <c r="AP198" s="273"/>
      <c r="AQ198" s="273"/>
      <c r="AR198" s="273"/>
      <c r="AS198" s="273"/>
      <c r="AT198" s="273"/>
      <c r="AU198" s="273"/>
      <c r="AV198" s="273"/>
      <c r="AW198" s="273"/>
      <c r="AX198" s="273"/>
      <c r="AY198" s="273"/>
    </row>
    <row r="199" spans="1:55">
      <c r="A199" s="4" t="s">
        <v>652</v>
      </c>
      <c r="B199" s="4"/>
      <c r="C199" s="4"/>
      <c r="D199" s="4"/>
      <c r="E199" s="4"/>
      <c r="F199" s="17"/>
      <c r="G199" s="17"/>
      <c r="H199" s="17"/>
      <c r="I199" s="17"/>
      <c r="J199" s="17"/>
      <c r="K199" s="17"/>
      <c r="L199" s="18"/>
      <c r="M199" s="18"/>
      <c r="N199" s="18">
        <f t="shared" ref="N199:AM202" si="83">N193*(N$4/100)</f>
        <v>0</v>
      </c>
      <c r="O199" s="18">
        <f t="shared" si="83"/>
        <v>0</v>
      </c>
      <c r="P199" s="18">
        <f t="shared" si="83"/>
        <v>0</v>
      </c>
      <c r="Q199" s="18">
        <f t="shared" si="83"/>
        <v>39.008516166281751</v>
      </c>
      <c r="R199" s="18">
        <f t="shared" si="83"/>
        <v>37.827591240875918</v>
      </c>
      <c r="S199" s="18">
        <f t="shared" si="83"/>
        <v>42.621709595244837</v>
      </c>
      <c r="T199" s="18">
        <f t="shared" si="83"/>
        <v>40.836691559814</v>
      </c>
      <c r="U199" s="18">
        <f t="shared" si="83"/>
        <v>41.796120569355288</v>
      </c>
      <c r="V199" s="18">
        <f t="shared" si="83"/>
        <v>36.793700000000001</v>
      </c>
      <c r="W199" s="18">
        <f t="shared" si="83"/>
        <v>38.725000000000001</v>
      </c>
      <c r="X199" s="18">
        <f t="shared" si="83"/>
        <v>39.235199999999999</v>
      </c>
      <c r="Y199" s="18">
        <f t="shared" si="83"/>
        <v>43.713399999999993</v>
      </c>
      <c r="Z199" s="18">
        <f t="shared" si="83"/>
        <v>49.924999999999997</v>
      </c>
      <c r="AA199" s="18">
        <f t="shared" si="83"/>
        <v>47.88</v>
      </c>
      <c r="AB199" s="18">
        <f t="shared" si="83"/>
        <v>55.843199999999989</v>
      </c>
      <c r="AC199" s="18">
        <f t="shared" si="83"/>
        <v>53.684399999999997</v>
      </c>
      <c r="AD199" s="18">
        <f t="shared" si="83"/>
        <v>54.662299999999995</v>
      </c>
      <c r="AE199" s="18">
        <f t="shared" si="83"/>
        <v>57.033900000000003</v>
      </c>
      <c r="AF199" s="18">
        <f t="shared" si="83"/>
        <v>60.156299999999995</v>
      </c>
      <c r="AG199" s="18">
        <f t="shared" si="83"/>
        <v>60.811999999999991</v>
      </c>
      <c r="AH199" s="18">
        <f t="shared" si="83"/>
        <v>68.221800000000002</v>
      </c>
      <c r="AI199" s="18">
        <f t="shared" si="83"/>
        <v>65.353499999999997</v>
      </c>
      <c r="AJ199" s="18">
        <f t="shared" si="83"/>
        <v>64.013999999999996</v>
      </c>
      <c r="AK199" s="18">
        <f t="shared" si="83"/>
        <v>64.606999999999999</v>
      </c>
      <c r="AL199" s="18">
        <f t="shared" si="83"/>
        <v>60.143999999999998</v>
      </c>
      <c r="AM199" s="18">
        <f t="shared" si="83"/>
        <v>68.510000000000005</v>
      </c>
      <c r="AN199" s="281"/>
      <c r="AO199" s="4"/>
      <c r="AP199" s="23"/>
      <c r="AQ199" s="23"/>
      <c r="AR199" s="23"/>
      <c r="AS199" s="23">
        <f t="shared" ref="AS199:AY202" si="84">AS193*(AS$4/100)</f>
        <v>136.5</v>
      </c>
      <c r="AT199" s="23">
        <f t="shared" si="84"/>
        <v>147.56</v>
      </c>
      <c r="AU199" s="23">
        <f t="shared" si="84"/>
        <v>165.80754716981133</v>
      </c>
      <c r="AV199" s="23">
        <f t="shared" si="84"/>
        <v>150.648</v>
      </c>
      <c r="AW199" s="23">
        <f t="shared" si="84"/>
        <v>198.42849999999996</v>
      </c>
      <c r="AX199" s="23">
        <f t="shared" si="84"/>
        <v>232.39440000000002</v>
      </c>
      <c r="AY199" s="23">
        <f t="shared" si="84"/>
        <v>258.33550000000002</v>
      </c>
      <c r="AZ199" s="361"/>
      <c r="BA199" s="361"/>
      <c r="BB199" s="361"/>
      <c r="BC199" s="361"/>
    </row>
    <row r="200" spans="1:55">
      <c r="A200" s="4" t="s">
        <v>655</v>
      </c>
      <c r="B200" s="4"/>
      <c r="C200" s="4"/>
      <c r="D200" s="4"/>
      <c r="E200" s="4"/>
      <c r="F200" s="4"/>
      <c r="G200" s="4"/>
      <c r="H200" s="4"/>
      <c r="I200" s="4"/>
      <c r="J200" s="4"/>
      <c r="K200" s="4"/>
      <c r="L200" s="18"/>
      <c r="M200" s="18"/>
      <c r="N200" s="18">
        <f t="shared" si="83"/>
        <v>0</v>
      </c>
      <c r="O200" s="18">
        <f t="shared" si="83"/>
        <v>0</v>
      </c>
      <c r="P200" s="18">
        <f t="shared" si="83"/>
        <v>0</v>
      </c>
      <c r="Q200" s="18">
        <f t="shared" si="83"/>
        <v>16.141454965357966</v>
      </c>
      <c r="R200" s="18">
        <f t="shared" si="83"/>
        <v>16.81226277372263</v>
      </c>
      <c r="S200" s="18">
        <f t="shared" si="83"/>
        <v>14.697141239739599</v>
      </c>
      <c r="T200" s="18">
        <f t="shared" si="83"/>
        <v>13.612230519938</v>
      </c>
      <c r="U200" s="18">
        <f t="shared" si="83"/>
        <v>15.480044655316775</v>
      </c>
      <c r="V200" s="18">
        <f t="shared" si="83"/>
        <v>15.668799999999999</v>
      </c>
      <c r="W200" s="18">
        <f t="shared" si="83"/>
        <v>17.039000000000001</v>
      </c>
      <c r="X200" s="18">
        <f t="shared" si="83"/>
        <v>15.758400000000007</v>
      </c>
      <c r="Y200" s="18">
        <f t="shared" si="83"/>
        <v>19.103100000000001</v>
      </c>
      <c r="Z200" s="18">
        <f t="shared" si="83"/>
        <v>21.966999999999999</v>
      </c>
      <c r="AA200" s="18">
        <f t="shared" si="83"/>
        <v>22.344000000000001</v>
      </c>
      <c r="AB200" s="18">
        <f t="shared" si="83"/>
        <v>24.154400000000003</v>
      </c>
      <c r="AC200" s="18">
        <f t="shared" si="83"/>
        <v>27.655599999999996</v>
      </c>
      <c r="AD200" s="18">
        <f t="shared" si="83"/>
        <v>30.076200000000004</v>
      </c>
      <c r="AE200" s="18">
        <f t="shared" si="83"/>
        <v>31.356299999999987</v>
      </c>
      <c r="AF200" s="18">
        <f t="shared" si="83"/>
        <v>31.210799999999995</v>
      </c>
      <c r="AG200" s="18">
        <f t="shared" si="83"/>
        <v>33.049999999999997</v>
      </c>
      <c r="AH200" s="18">
        <f t="shared" si="83"/>
        <v>34.2468</v>
      </c>
      <c r="AI200" s="18">
        <f t="shared" si="83"/>
        <v>32.537700000000008</v>
      </c>
      <c r="AJ200" s="18">
        <f t="shared" si="83"/>
        <v>32.711999999999989</v>
      </c>
      <c r="AK200" s="18">
        <f t="shared" si="83"/>
        <v>32.02259999999999</v>
      </c>
      <c r="AL200" s="18">
        <f t="shared" si="83"/>
        <v>34.081599999999995</v>
      </c>
      <c r="AM200" s="18">
        <f t="shared" si="83"/>
        <v>34.1</v>
      </c>
      <c r="AN200" s="281"/>
      <c r="AO200" s="4"/>
      <c r="AP200" s="23"/>
      <c r="AQ200" s="23"/>
      <c r="AR200" s="23"/>
      <c r="AS200" s="23">
        <f t="shared" si="84"/>
        <v>54.599999999999994</v>
      </c>
      <c r="AT200" s="23">
        <f t="shared" si="84"/>
        <v>57.97</v>
      </c>
      <c r="AU200" s="23">
        <f t="shared" si="84"/>
        <v>59.216981132075475</v>
      </c>
      <c r="AV200" s="23">
        <f t="shared" si="84"/>
        <v>62.77</v>
      </c>
      <c r="AW200" s="23">
        <f t="shared" si="84"/>
        <v>96.1815</v>
      </c>
      <c r="AX200" s="23">
        <f t="shared" si="84"/>
        <v>123.20909999999996</v>
      </c>
      <c r="AY200" s="23">
        <f t="shared" si="84"/>
        <v>120.923</v>
      </c>
      <c r="AZ200" s="361"/>
      <c r="BA200" s="361"/>
      <c r="BB200" s="361"/>
      <c r="BC200" s="361"/>
    </row>
    <row r="201" spans="1:55">
      <c r="A201" s="4" t="s">
        <v>653</v>
      </c>
      <c r="B201" s="4"/>
      <c r="C201" s="4"/>
      <c r="D201" s="4"/>
      <c r="E201" s="4"/>
      <c r="F201" s="4"/>
      <c r="G201" s="4"/>
      <c r="H201" s="4"/>
      <c r="I201" s="4"/>
      <c r="J201" s="4"/>
      <c r="K201" s="4"/>
      <c r="L201" s="18"/>
      <c r="M201" s="18"/>
      <c r="N201" s="18">
        <f t="shared" si="83"/>
        <v>0</v>
      </c>
      <c r="O201" s="18">
        <f t="shared" si="83"/>
        <v>0</v>
      </c>
      <c r="P201" s="18">
        <f t="shared" si="83"/>
        <v>0</v>
      </c>
      <c r="Q201" s="18">
        <f t="shared" si="83"/>
        <v>55.149971131639724</v>
      </c>
      <c r="R201" s="18">
        <f t="shared" si="83"/>
        <v>54.639854014598548</v>
      </c>
      <c r="S201" s="18">
        <f t="shared" si="83"/>
        <v>57.318850834984438</v>
      </c>
      <c r="T201" s="18">
        <f t="shared" si="83"/>
        <v>54.448922079752002</v>
      </c>
      <c r="U201" s="18">
        <f t="shared" si="83"/>
        <v>57.276165224672063</v>
      </c>
      <c r="V201" s="18">
        <f t="shared" si="83"/>
        <v>52.462499999999999</v>
      </c>
      <c r="W201" s="18">
        <f t="shared" si="83"/>
        <v>55.764000000000003</v>
      </c>
      <c r="X201" s="18">
        <f t="shared" si="83"/>
        <v>54.993600000000008</v>
      </c>
      <c r="Y201" s="18">
        <f t="shared" si="83"/>
        <v>62.816499999999998</v>
      </c>
      <c r="Z201" s="18">
        <f t="shared" si="83"/>
        <v>71.891999999999996</v>
      </c>
      <c r="AA201" s="18">
        <f t="shared" si="83"/>
        <v>70.224000000000004</v>
      </c>
      <c r="AB201" s="18">
        <f t="shared" si="83"/>
        <v>79.997599999999991</v>
      </c>
      <c r="AC201" s="18">
        <f t="shared" si="83"/>
        <v>81.339999999999989</v>
      </c>
      <c r="AD201" s="18">
        <f t="shared" si="83"/>
        <v>84.738500000000002</v>
      </c>
      <c r="AE201" s="18">
        <f t="shared" si="83"/>
        <v>88.390199999999993</v>
      </c>
      <c r="AF201" s="18">
        <f t="shared" si="83"/>
        <v>91.367099999999994</v>
      </c>
      <c r="AG201" s="18">
        <f t="shared" si="83"/>
        <v>93.861999999999995</v>
      </c>
      <c r="AH201" s="18">
        <f t="shared" si="83"/>
        <v>102.46860000000001</v>
      </c>
      <c r="AI201" s="18">
        <f>AI195*(AI$4/100)</f>
        <v>97.891200000000012</v>
      </c>
      <c r="AJ201" s="18">
        <f t="shared" si="83"/>
        <v>96.725999999999985</v>
      </c>
      <c r="AK201" s="18">
        <f t="shared" si="83"/>
        <v>96.629599999999982</v>
      </c>
      <c r="AL201" s="18">
        <f t="shared" si="83"/>
        <v>94.225599999999986</v>
      </c>
      <c r="AM201" s="18">
        <f t="shared" si="83"/>
        <v>102.61000000000001</v>
      </c>
      <c r="AN201" s="281"/>
      <c r="AO201" s="4"/>
      <c r="AP201" s="23"/>
      <c r="AQ201" s="23"/>
      <c r="AR201" s="23"/>
      <c r="AS201" s="23">
        <f t="shared" si="84"/>
        <v>191.1</v>
      </c>
      <c r="AT201" s="23">
        <f t="shared" si="84"/>
        <v>205.52999999999997</v>
      </c>
      <c r="AU201" s="23">
        <f t="shared" si="84"/>
        <v>225.02452830188679</v>
      </c>
      <c r="AV201" s="23">
        <f t="shared" si="84"/>
        <v>213.41800000000001</v>
      </c>
      <c r="AW201" s="23">
        <f t="shared" si="84"/>
        <v>294.60999999999996</v>
      </c>
      <c r="AX201" s="23">
        <f t="shared" si="84"/>
        <v>355.6035</v>
      </c>
      <c r="AY201" s="23">
        <f t="shared" si="84"/>
        <v>379.25850000000003</v>
      </c>
      <c r="AZ201" s="361"/>
      <c r="BA201" s="361"/>
      <c r="BB201" s="361"/>
      <c r="BC201" s="361"/>
    </row>
    <row r="202" spans="1:55">
      <c r="A202" s="4" t="s">
        <v>656</v>
      </c>
      <c r="B202" s="4"/>
      <c r="C202" s="4"/>
      <c r="D202" s="4"/>
      <c r="E202" s="4"/>
      <c r="F202" s="4"/>
      <c r="G202" s="4"/>
      <c r="H202" s="17"/>
      <c r="I202" s="4"/>
      <c r="J202" s="4"/>
      <c r="K202" s="4"/>
      <c r="L202" s="18"/>
      <c r="M202" s="18"/>
      <c r="N202" s="18">
        <f t="shared" si="83"/>
        <v>118.5574644549763</v>
      </c>
      <c r="O202" s="18">
        <f t="shared" si="83"/>
        <v>123.7129485179407</v>
      </c>
      <c r="P202" s="18">
        <f t="shared" si="83"/>
        <v>129.06782026234998</v>
      </c>
      <c r="Q202" s="18">
        <f t="shared" si="83"/>
        <v>79.362153579676672</v>
      </c>
      <c r="R202" s="18">
        <f t="shared" si="83"/>
        <v>85.462335766423365</v>
      </c>
      <c r="S202" s="18">
        <f t="shared" si="83"/>
        <v>89.652561562411563</v>
      </c>
      <c r="T202" s="18">
        <f t="shared" si="83"/>
        <v>96.798083697336892</v>
      </c>
      <c r="U202" s="18">
        <f t="shared" si="83"/>
        <v>97.524281328495675</v>
      </c>
      <c r="V202" s="18">
        <f t="shared" si="83"/>
        <v>87.4375</v>
      </c>
      <c r="W202" s="18">
        <f t="shared" si="83"/>
        <v>99.13600000000001</v>
      </c>
      <c r="X202" s="18">
        <f t="shared" si="83"/>
        <v>105.8064</v>
      </c>
      <c r="Y202" s="18">
        <f t="shared" si="83"/>
        <v>109.28349999999999</v>
      </c>
      <c r="Z202" s="18">
        <f t="shared" si="83"/>
        <v>127.80799999999999</v>
      </c>
      <c r="AA202" s="18">
        <f t="shared" si="83"/>
        <v>142.57600000000002</v>
      </c>
      <c r="AB202" s="18">
        <f t="shared" si="83"/>
        <v>141.60239999999999</v>
      </c>
      <c r="AC202" s="18">
        <f t="shared" si="83"/>
        <v>151.06</v>
      </c>
      <c r="AD202" s="18">
        <f t="shared" si="83"/>
        <v>153.9615</v>
      </c>
      <c r="AE202" s="18">
        <f t="shared" si="83"/>
        <v>158.50979999999998</v>
      </c>
      <c r="AF202" s="18">
        <f t="shared" si="83"/>
        <v>160.3329</v>
      </c>
      <c r="AG202" s="18">
        <f t="shared" si="83"/>
        <v>170.53799999999998</v>
      </c>
      <c r="AH202" s="18">
        <f t="shared" si="83"/>
        <v>169.3314</v>
      </c>
      <c r="AI202" s="18">
        <f t="shared" si="83"/>
        <v>180.2088</v>
      </c>
      <c r="AJ202" s="18">
        <f t="shared" si="83"/>
        <v>185.274</v>
      </c>
      <c r="AK202" s="18">
        <f t="shared" si="83"/>
        <v>184.27039999999997</v>
      </c>
      <c r="AL202" s="18">
        <f t="shared" si="83"/>
        <v>192.17439999999996</v>
      </c>
      <c r="AM202" s="18">
        <f t="shared" si="83"/>
        <v>207.39000000000001</v>
      </c>
      <c r="AN202" s="281"/>
      <c r="AO202" s="4"/>
      <c r="AP202" s="23"/>
      <c r="AQ202" s="23"/>
      <c r="AR202" s="23"/>
      <c r="AS202" s="23">
        <f t="shared" si="84"/>
        <v>263.89999999999998</v>
      </c>
      <c r="AT202" s="23">
        <f t="shared" si="84"/>
        <v>321.46999999999997</v>
      </c>
      <c r="AU202" s="23">
        <f t="shared" si="84"/>
        <v>367.14528301886793</v>
      </c>
      <c r="AV202" s="23">
        <f t="shared" si="84"/>
        <v>414.28199999999998</v>
      </c>
      <c r="AW202" s="23">
        <f t="shared" si="84"/>
        <v>571.89</v>
      </c>
      <c r="AX202" s="23">
        <f t="shared" si="84"/>
        <v>646.09649999999999</v>
      </c>
      <c r="AY202" s="23">
        <f t="shared" si="84"/>
        <v>720.04150000000004</v>
      </c>
      <c r="AZ202" s="361"/>
      <c r="BA202" s="361"/>
      <c r="BB202" s="361"/>
      <c r="BC202" s="361"/>
    </row>
    <row r="203" spans="1:55">
      <c r="A203" s="4"/>
      <c r="B203" s="4"/>
      <c r="C203" s="4"/>
      <c r="D203" s="4"/>
      <c r="E203" s="4"/>
      <c r="F203" s="4"/>
      <c r="G203" s="4"/>
      <c r="H203" s="17"/>
      <c r="I203" s="4"/>
      <c r="J203" s="4"/>
      <c r="K203" s="4"/>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281"/>
      <c r="AO203" s="4"/>
      <c r="AP203" s="4"/>
      <c r="AQ203" s="4"/>
      <c r="AR203" s="4"/>
      <c r="AS203" s="4"/>
      <c r="AT203" s="4"/>
      <c r="AU203" s="4"/>
      <c r="AV203" s="4"/>
      <c r="AW203" s="4"/>
      <c r="AX203" s="4"/>
      <c r="AY203" s="4"/>
      <c r="BB203" s="309"/>
    </row>
    <row r="204" spans="1:55">
      <c r="A204" s="251" t="s">
        <v>633</v>
      </c>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252"/>
      <c r="AH204" s="252"/>
      <c r="AI204" s="252"/>
      <c r="AJ204" s="252"/>
      <c r="AK204" s="252"/>
      <c r="AL204" s="252"/>
      <c r="AM204" s="252"/>
      <c r="AN204" s="1252"/>
      <c r="AO204" s="273"/>
      <c r="AP204" s="273"/>
      <c r="AQ204" s="273"/>
      <c r="AR204" s="273"/>
      <c r="AS204" s="273"/>
      <c r="AT204" s="273"/>
      <c r="AU204" s="273"/>
      <c r="AV204" s="273"/>
      <c r="AW204" s="273"/>
      <c r="AX204" s="273"/>
      <c r="AY204" s="273"/>
    </row>
    <row r="205" spans="1:55">
      <c r="A205" s="4" t="s">
        <v>652</v>
      </c>
      <c r="B205" s="4"/>
      <c r="C205" s="4"/>
      <c r="D205" s="4"/>
      <c r="E205" s="4"/>
      <c r="F205" s="4"/>
      <c r="G205" s="4"/>
      <c r="H205" s="4"/>
      <c r="I205" s="4"/>
      <c r="J205" s="4"/>
      <c r="K205" s="4"/>
      <c r="L205" s="4"/>
      <c r="M205" s="260"/>
      <c r="N205" s="260"/>
      <c r="O205" s="312" t="e">
        <f t="shared" ref="O205:AL208" si="85">(O199/N199-1)*100</f>
        <v>#DIV/0!</v>
      </c>
      <c r="P205" s="312" t="e">
        <f t="shared" si="85"/>
        <v>#DIV/0!</v>
      </c>
      <c r="Q205" s="312" t="e">
        <f t="shared" si="85"/>
        <v>#DIV/0!</v>
      </c>
      <c r="R205" s="312">
        <f t="shared" si="85"/>
        <v>-3.0273515669550166</v>
      </c>
      <c r="S205" s="312">
        <f t="shared" si="85"/>
        <v>12.673601984967164</v>
      </c>
      <c r="T205" s="312">
        <f t="shared" si="85"/>
        <v>-4.1880488895968293</v>
      </c>
      <c r="U205" s="312">
        <f t="shared" si="85"/>
        <v>2.3494288417953868</v>
      </c>
      <c r="V205" s="312">
        <f t="shared" si="85"/>
        <v>-11.96862412398877</v>
      </c>
      <c r="W205" s="312">
        <f t="shared" si="85"/>
        <v>5.2489964314542892</v>
      </c>
      <c r="X205" s="312">
        <f t="shared" si="85"/>
        <v>1.3174951581665484</v>
      </c>
      <c r="Y205" s="312">
        <f t="shared" si="85"/>
        <v>11.413730527689413</v>
      </c>
      <c r="Z205" s="312">
        <f t="shared" si="85"/>
        <v>14.209830395256384</v>
      </c>
      <c r="AA205" s="312">
        <f t="shared" si="85"/>
        <v>-4.096144216324471</v>
      </c>
      <c r="AB205" s="312">
        <f t="shared" si="85"/>
        <v>16.631578947368396</v>
      </c>
      <c r="AC205" s="312">
        <f t="shared" si="85"/>
        <v>-3.8658243080625598</v>
      </c>
      <c r="AD205" s="312">
        <f t="shared" si="85"/>
        <v>1.8215720022948911</v>
      </c>
      <c r="AE205" s="312">
        <f t="shared" si="85"/>
        <v>4.3386392449640931</v>
      </c>
      <c r="AF205" s="312">
        <f t="shared" si="85"/>
        <v>5.4746387674698527</v>
      </c>
      <c r="AG205" s="312">
        <f t="shared" si="85"/>
        <v>1.0899938992258384</v>
      </c>
      <c r="AH205" s="312">
        <f t="shared" si="85"/>
        <v>12.184766164572803</v>
      </c>
      <c r="AI205" s="312">
        <f>(AI199/AH199-1)*100</f>
        <v>-4.2043745547610918</v>
      </c>
      <c r="AJ205" s="312">
        <f t="shared" si="85"/>
        <v>-2.0496224379719541</v>
      </c>
      <c r="AK205" s="312">
        <f t="shared" si="85"/>
        <v>0.92635985878088967</v>
      </c>
      <c r="AL205" s="312">
        <f t="shared" si="85"/>
        <v>-6.9079201944061808</v>
      </c>
      <c r="AM205" s="312">
        <f>(AM199/AL199-1)*100</f>
        <v>13.909949454642213</v>
      </c>
      <c r="AN205" s="281"/>
      <c r="AO205" s="4"/>
      <c r="AP205" s="19"/>
      <c r="AQ205" s="19"/>
      <c r="AR205" s="19"/>
      <c r="AS205" s="19" t="e">
        <f t="shared" ref="AS205:AY208" si="86">AS199/AR199-1</f>
        <v>#DIV/0!</v>
      </c>
      <c r="AT205" s="19">
        <f t="shared" si="86"/>
        <v>8.1025641025641137E-2</v>
      </c>
      <c r="AU205" s="19">
        <f t="shared" si="86"/>
        <v>0.12366188106405063</v>
      </c>
      <c r="AV205" s="19">
        <f t="shared" si="86"/>
        <v>-9.1428571428571526E-2</v>
      </c>
      <c r="AW205" s="19">
        <f t="shared" si="86"/>
        <v>0.31716650735489327</v>
      </c>
      <c r="AX205" s="19">
        <f t="shared" si="86"/>
        <v>0.17117450366252873</v>
      </c>
      <c r="AY205" s="19">
        <f t="shared" si="86"/>
        <v>0.11162532315752882</v>
      </c>
    </row>
    <row r="206" spans="1:55">
      <c r="A206" s="4" t="s">
        <v>655</v>
      </c>
      <c r="B206" s="4"/>
      <c r="C206" s="4"/>
      <c r="D206" s="4"/>
      <c r="E206" s="4"/>
      <c r="F206" s="4"/>
      <c r="G206" s="4"/>
      <c r="H206" s="4"/>
      <c r="I206" s="4"/>
      <c r="J206" s="4"/>
      <c r="K206" s="4"/>
      <c r="L206" s="4"/>
      <c r="M206" s="4"/>
      <c r="N206" s="4"/>
      <c r="O206" s="312" t="e">
        <f t="shared" si="85"/>
        <v>#DIV/0!</v>
      </c>
      <c r="P206" s="312" t="e">
        <f t="shared" si="85"/>
        <v>#DIV/0!</v>
      </c>
      <c r="Q206" s="312" t="e">
        <f t="shared" si="85"/>
        <v>#DIV/0!</v>
      </c>
      <c r="R206" s="312">
        <f t="shared" si="85"/>
        <v>4.1558075762335056</v>
      </c>
      <c r="S206" s="312">
        <f t="shared" si="85"/>
        <v>-12.580826046146154</v>
      </c>
      <c r="T206" s="312">
        <f t="shared" si="85"/>
        <v>-7.3817805932769325</v>
      </c>
      <c r="U206" s="312">
        <f t="shared" si="85"/>
        <v>13.721587601994866</v>
      </c>
      <c r="V206" s="312">
        <f t="shared" si="85"/>
        <v>1.2193462543946598</v>
      </c>
      <c r="W206" s="312">
        <f t="shared" si="85"/>
        <v>8.7447666700704687</v>
      </c>
      <c r="X206" s="312">
        <f t="shared" si="85"/>
        <v>-7.5156992781266201</v>
      </c>
      <c r="Y206" s="312">
        <f t="shared" si="85"/>
        <v>21.224870545232967</v>
      </c>
      <c r="Z206" s="312">
        <f t="shared" si="85"/>
        <v>14.991807612377039</v>
      </c>
      <c r="AA206" s="312">
        <f t="shared" si="85"/>
        <v>1.7162106796558607</v>
      </c>
      <c r="AB206" s="312">
        <f t="shared" si="85"/>
        <v>8.1023988542785688</v>
      </c>
      <c r="AC206" s="312">
        <f t="shared" si="85"/>
        <v>14.495081641440045</v>
      </c>
      <c r="AD206" s="312">
        <f t="shared" si="85"/>
        <v>8.7526576895818877</v>
      </c>
      <c r="AE206" s="312">
        <f t="shared" si="85"/>
        <v>4.2561892792307043</v>
      </c>
      <c r="AF206" s="312">
        <f t="shared" si="85"/>
        <v>-0.46402158417923056</v>
      </c>
      <c r="AG206" s="312">
        <f t="shared" si="85"/>
        <v>5.8928319684211861</v>
      </c>
      <c r="AH206" s="312">
        <f t="shared" si="85"/>
        <v>3.6211800302571984</v>
      </c>
      <c r="AI206" s="312">
        <f t="shared" si="85"/>
        <v>-4.9905392620624216</v>
      </c>
      <c r="AJ206" s="312">
        <f t="shared" si="85"/>
        <v>0.53568629620404096</v>
      </c>
      <c r="AK206" s="312">
        <f t="shared" si="85"/>
        <v>-2.1074834922964025</v>
      </c>
      <c r="AL206" s="312">
        <f t="shared" si="85"/>
        <v>6.4298339297871099</v>
      </c>
      <c r="AM206" s="312">
        <f t="shared" ref="AM206:AM208" si="87">(AM200/AL200-1)*100</f>
        <v>5.3988075677224856E-2</v>
      </c>
      <c r="AN206" s="281"/>
      <c r="AO206" s="4"/>
      <c r="AP206" s="19"/>
      <c r="AQ206" s="19"/>
      <c r="AR206" s="19"/>
      <c r="AS206" s="19" t="e">
        <f t="shared" si="86"/>
        <v>#DIV/0!</v>
      </c>
      <c r="AT206" s="19">
        <f t="shared" si="86"/>
        <v>6.1721611721611724E-2</v>
      </c>
      <c r="AU206" s="19">
        <f t="shared" si="86"/>
        <v>2.1510800967318833E-2</v>
      </c>
      <c r="AV206" s="19">
        <f t="shared" si="86"/>
        <v>6.0000000000000053E-2</v>
      </c>
      <c r="AW206" s="19">
        <f t="shared" si="86"/>
        <v>0.53228453082682803</v>
      </c>
      <c r="AX206" s="19">
        <f t="shared" si="86"/>
        <v>0.28100622261037689</v>
      </c>
      <c r="AY206" s="19">
        <f t="shared" si="86"/>
        <v>-1.8554635980621237E-2</v>
      </c>
    </row>
    <row r="207" spans="1:55">
      <c r="A207" s="4" t="s">
        <v>653</v>
      </c>
      <c r="B207" s="4"/>
      <c r="C207" s="4"/>
      <c r="D207" s="4"/>
      <c r="E207" s="4"/>
      <c r="F207" s="4"/>
      <c r="G207" s="4"/>
      <c r="H207" s="4"/>
      <c r="I207" s="4"/>
      <c r="J207" s="4"/>
      <c r="K207" s="4"/>
      <c r="L207" s="4"/>
      <c r="M207" s="4"/>
      <c r="N207" s="4"/>
      <c r="O207" s="312" t="e">
        <f t="shared" si="85"/>
        <v>#DIV/0!</v>
      </c>
      <c r="P207" s="312" t="e">
        <f t="shared" si="85"/>
        <v>#DIV/0!</v>
      </c>
      <c r="Q207" s="312" t="e">
        <f t="shared" si="85"/>
        <v>#DIV/0!</v>
      </c>
      <c r="R207" s="312">
        <f t="shared" si="85"/>
        <v>-0.92496352504619628</v>
      </c>
      <c r="S207" s="312">
        <f t="shared" si="85"/>
        <v>4.9030087446246151</v>
      </c>
      <c r="T207" s="312">
        <f t="shared" si="85"/>
        <v>-5.0069544546430089</v>
      </c>
      <c r="U207" s="312">
        <f t="shared" si="85"/>
        <v>5.1924685318452513</v>
      </c>
      <c r="V207" s="312">
        <f t="shared" si="85"/>
        <v>-8.404307805506761</v>
      </c>
      <c r="W207" s="312">
        <f t="shared" si="85"/>
        <v>6.2930664760543431</v>
      </c>
      <c r="X207" s="312">
        <f t="shared" si="85"/>
        <v>-1.3815364751452508</v>
      </c>
      <c r="Y207" s="312">
        <f t="shared" si="85"/>
        <v>14.225109830962124</v>
      </c>
      <c r="Z207" s="312">
        <f t="shared" si="85"/>
        <v>14.447637165394433</v>
      </c>
      <c r="AA207" s="312">
        <f t="shared" si="85"/>
        <v>-2.3201468869971542</v>
      </c>
      <c r="AB207" s="312">
        <f t="shared" si="85"/>
        <v>13.917748917748906</v>
      </c>
      <c r="AC207" s="312">
        <f t="shared" si="85"/>
        <v>1.678050341510251</v>
      </c>
      <c r="AD207" s="312">
        <f t="shared" si="85"/>
        <v>4.1781411359724796</v>
      </c>
      <c r="AE207" s="312">
        <f t="shared" si="85"/>
        <v>4.3093753134643586</v>
      </c>
      <c r="AF207" s="312">
        <f t="shared" si="85"/>
        <v>3.3679073019407202</v>
      </c>
      <c r="AG207" s="312">
        <f t="shared" si="85"/>
        <v>2.7306327988958934</v>
      </c>
      <c r="AH207" s="312">
        <f t="shared" si="85"/>
        <v>9.1694189341799728</v>
      </c>
      <c r="AI207" s="312">
        <f>(AI201/AH201-1)*100</f>
        <v>-4.4671245630368723</v>
      </c>
      <c r="AJ207" s="312">
        <f t="shared" si="85"/>
        <v>-1.190301068941868</v>
      </c>
      <c r="AK207" s="312">
        <f t="shared" si="85"/>
        <v>-9.9662965490154853E-2</v>
      </c>
      <c r="AL207" s="312">
        <f t="shared" si="85"/>
        <v>-2.4878505137142182</v>
      </c>
      <c r="AM207" s="312">
        <f t="shared" si="87"/>
        <v>8.8982187431016833</v>
      </c>
      <c r="AN207" s="281"/>
      <c r="AO207" s="4"/>
      <c r="AP207" s="19"/>
      <c r="AQ207" s="19"/>
      <c r="AR207" s="19"/>
      <c r="AS207" s="19" t="e">
        <f t="shared" si="86"/>
        <v>#DIV/0!</v>
      </c>
      <c r="AT207" s="19">
        <f t="shared" si="86"/>
        <v>7.5510204081632448E-2</v>
      </c>
      <c r="AU207" s="19">
        <f t="shared" si="86"/>
        <v>9.485003795984448E-2</v>
      </c>
      <c r="AV207" s="19">
        <f t="shared" si="86"/>
        <v>-5.1578947368421058E-2</v>
      </c>
      <c r="AW207" s="19">
        <f t="shared" si="86"/>
        <v>0.38043651425840341</v>
      </c>
      <c r="AX207" s="19">
        <f t="shared" si="86"/>
        <v>0.20703132955432624</v>
      </c>
      <c r="AY207" s="19">
        <f t="shared" si="86"/>
        <v>6.6520717596986634E-2</v>
      </c>
    </row>
    <row r="208" spans="1:55">
      <c r="A208" s="4" t="s">
        <v>658</v>
      </c>
      <c r="B208" s="4"/>
      <c r="C208" s="4"/>
      <c r="D208" s="4"/>
      <c r="E208" s="4"/>
      <c r="F208" s="4"/>
      <c r="G208" s="4"/>
      <c r="H208" s="4"/>
      <c r="I208" s="4"/>
      <c r="J208" s="4"/>
      <c r="K208" s="4"/>
      <c r="L208" s="4"/>
      <c r="M208" s="4"/>
      <c r="N208" s="4"/>
      <c r="O208" s="312">
        <f t="shared" si="85"/>
        <v>4.3485107299357395</v>
      </c>
      <c r="P208" s="312">
        <f t="shared" si="85"/>
        <v>4.3284650544342274</v>
      </c>
      <c r="Q208" s="312">
        <f t="shared" si="85"/>
        <v>-38.511277700079681</v>
      </c>
      <c r="R208" s="312">
        <f t="shared" si="85"/>
        <v>7.6865129178007141</v>
      </c>
      <c r="S208" s="312">
        <f t="shared" si="85"/>
        <v>4.9030087446246373</v>
      </c>
      <c r="T208" s="312">
        <f t="shared" si="85"/>
        <v>7.9702375597500152</v>
      </c>
      <c r="U208" s="312">
        <f t="shared" si="85"/>
        <v>0.75021901614231723</v>
      </c>
      <c r="V208" s="312">
        <f t="shared" si="85"/>
        <v>-10.342840973644185</v>
      </c>
      <c r="W208" s="312">
        <f t="shared" si="85"/>
        <v>13.379270907791296</v>
      </c>
      <c r="X208" s="312">
        <f t="shared" si="85"/>
        <v>6.7285345384118678</v>
      </c>
      <c r="Y208" s="312">
        <f t="shared" si="85"/>
        <v>3.2862851396512793</v>
      </c>
      <c r="Z208" s="312">
        <f t="shared" si="85"/>
        <v>16.950866324742542</v>
      </c>
      <c r="AA208" s="312">
        <f t="shared" si="85"/>
        <v>11.554832248372593</v>
      </c>
      <c r="AB208" s="312">
        <f t="shared" si="85"/>
        <v>-0.68286387610820842</v>
      </c>
      <c r="AC208" s="312">
        <f t="shared" si="85"/>
        <v>6.6789828420987352</v>
      </c>
      <c r="AD208" s="312">
        <f t="shared" si="85"/>
        <v>1.920759962928642</v>
      </c>
      <c r="AE208" s="312">
        <f t="shared" si="85"/>
        <v>2.9541801034674187</v>
      </c>
      <c r="AF208" s="312">
        <f t="shared" si="85"/>
        <v>1.1501497068320043</v>
      </c>
      <c r="AG208" s="312">
        <f t="shared" si="85"/>
        <v>6.3649444374797692</v>
      </c>
      <c r="AH208" s="312">
        <f t="shared" si="85"/>
        <v>-0.70752559546845006</v>
      </c>
      <c r="AI208" s="312">
        <f t="shared" si="85"/>
        <v>6.4237347591763916</v>
      </c>
      <c r="AJ208" s="312">
        <f t="shared" si="85"/>
        <v>2.8107395421311354</v>
      </c>
      <c r="AK208" s="312">
        <f t="shared" si="85"/>
        <v>-0.54168420825374541</v>
      </c>
      <c r="AL208" s="312">
        <f t="shared" si="85"/>
        <v>4.2893486962637395</v>
      </c>
      <c r="AM208" s="312">
        <f t="shared" si="87"/>
        <v>7.9175998468058451</v>
      </c>
      <c r="AN208" s="281"/>
      <c r="AO208" s="4"/>
      <c r="AP208" s="19"/>
      <c r="AQ208" s="19"/>
      <c r="AR208" s="19"/>
      <c r="AS208" s="19" t="e">
        <f t="shared" si="86"/>
        <v>#DIV/0!</v>
      </c>
      <c r="AT208" s="19">
        <f t="shared" si="86"/>
        <v>0.21815081470253883</v>
      </c>
      <c r="AU208" s="19">
        <f t="shared" si="86"/>
        <v>0.14208256763887128</v>
      </c>
      <c r="AV208" s="19">
        <f t="shared" si="86"/>
        <v>0.12838709677419358</v>
      </c>
      <c r="AW208" s="19">
        <f t="shared" si="86"/>
        <v>0.38043651425840364</v>
      </c>
      <c r="AX208" s="19">
        <f t="shared" si="86"/>
        <v>0.1297565965482872</v>
      </c>
      <c r="AY208" s="19">
        <f t="shared" si="86"/>
        <v>0.11444884781143383</v>
      </c>
    </row>
    <row r="209" spans="1:5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281"/>
      <c r="AO209" s="4"/>
      <c r="AP209" s="4"/>
      <c r="AQ209" s="4"/>
      <c r="AR209" s="4"/>
      <c r="AS209" s="4"/>
      <c r="AT209" s="4"/>
      <c r="AU209" s="4"/>
      <c r="AV209" s="4"/>
      <c r="AW209" s="4"/>
      <c r="AX209" s="4"/>
      <c r="AY209" s="4"/>
    </row>
    <row r="210" spans="1:51">
      <c r="A210" s="251" t="s">
        <v>634</v>
      </c>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c r="AA210" s="252"/>
      <c r="AB210" s="252"/>
      <c r="AC210" s="252"/>
      <c r="AD210" s="252"/>
      <c r="AE210" s="252"/>
      <c r="AF210" s="252"/>
      <c r="AG210" s="252"/>
      <c r="AH210" s="252"/>
      <c r="AI210" s="252"/>
      <c r="AJ210" s="252"/>
      <c r="AK210" s="252"/>
      <c r="AL210" s="252"/>
      <c r="AM210" s="252"/>
      <c r="AN210" s="1252"/>
      <c r="AO210" s="273"/>
      <c r="AP210" s="273"/>
      <c r="AQ210" s="273"/>
      <c r="AR210" s="273"/>
      <c r="AS210" s="273"/>
      <c r="AT210" s="273"/>
      <c r="AU210" s="273"/>
      <c r="AV210" s="273"/>
      <c r="AW210" s="273"/>
      <c r="AX210" s="273"/>
      <c r="AY210" s="273"/>
    </row>
    <row r="211" spans="1:51">
      <c r="A211" s="4" t="s">
        <v>652</v>
      </c>
      <c r="B211" s="4"/>
      <c r="C211" s="4"/>
      <c r="D211" s="4"/>
      <c r="E211" s="4"/>
      <c r="F211" s="4"/>
      <c r="G211" s="4"/>
      <c r="H211" s="4"/>
      <c r="I211" s="4"/>
      <c r="J211" s="4"/>
      <c r="K211" s="4"/>
      <c r="L211" s="4"/>
      <c r="M211" s="260"/>
      <c r="N211" s="260"/>
      <c r="O211" s="260"/>
      <c r="P211" s="260"/>
      <c r="Q211" s="260"/>
      <c r="R211" s="312" t="e">
        <f t="shared" ref="R211:AM214" si="88">(R199/N199-1)*100</f>
        <v>#DIV/0!</v>
      </c>
      <c r="S211" s="312" t="e">
        <f t="shared" si="88"/>
        <v>#DIV/0!</v>
      </c>
      <c r="T211" s="312" t="e">
        <f t="shared" si="88"/>
        <v>#DIV/0!</v>
      </c>
      <c r="U211" s="312">
        <f t="shared" si="88"/>
        <v>7.1461431426686595</v>
      </c>
      <c r="V211" s="312">
        <f t="shared" si="88"/>
        <v>-2.7331670004901332</v>
      </c>
      <c r="W211" s="312">
        <f t="shared" si="88"/>
        <v>-9.1425464446399864</v>
      </c>
      <c r="X211" s="312">
        <f t="shared" si="88"/>
        <v>-3.9216976171252194</v>
      </c>
      <c r="Y211" s="312">
        <f t="shared" si="88"/>
        <v>4.5872186330385034</v>
      </c>
      <c r="Z211" s="312">
        <f t="shared" si="88"/>
        <v>35.688990234741254</v>
      </c>
      <c r="AA211" s="312">
        <f t="shared" si="88"/>
        <v>23.641058747579091</v>
      </c>
      <c r="AB211" s="312">
        <f t="shared" si="88"/>
        <v>42.329336921947622</v>
      </c>
      <c r="AC211" s="312">
        <f t="shared" si="88"/>
        <v>22.809939286351554</v>
      </c>
      <c r="AD211" s="312">
        <f t="shared" si="88"/>
        <v>9.4888332498748174</v>
      </c>
      <c r="AE211" s="312">
        <f t="shared" si="88"/>
        <v>19.118421052631575</v>
      </c>
      <c r="AF211" s="312">
        <f t="shared" si="88"/>
        <v>7.7235903386625449</v>
      </c>
      <c r="AG211" s="312">
        <f t="shared" si="88"/>
        <v>13.276855101295704</v>
      </c>
      <c r="AH211" s="312">
        <f t="shared" si="88"/>
        <v>24.805944865108142</v>
      </c>
      <c r="AI211" s="312">
        <f t="shared" si="88"/>
        <v>14.587113979580547</v>
      </c>
      <c r="AJ211" s="312">
        <f t="shared" si="88"/>
        <v>6.4127946698849581</v>
      </c>
      <c r="AK211" s="312">
        <f t="shared" si="88"/>
        <v>6.2405446293494871</v>
      </c>
      <c r="AL211" s="312">
        <f t="shared" si="88"/>
        <v>-11.840496732715945</v>
      </c>
      <c r="AM211" s="312">
        <f t="shared" si="88"/>
        <v>4.8298866931381079</v>
      </c>
      <c r="AN211" s="281"/>
      <c r="AO211" s="4"/>
      <c r="AP211" s="4"/>
      <c r="AQ211" s="4"/>
      <c r="AR211" s="4"/>
      <c r="AS211" s="4"/>
      <c r="AT211" s="19"/>
      <c r="AU211" s="19"/>
      <c r="AV211" s="19"/>
      <c r="AW211" s="19"/>
      <c r="AX211" s="19"/>
      <c r="AY211" s="19"/>
    </row>
    <row r="212" spans="1:51">
      <c r="A212" s="4" t="s">
        <v>655</v>
      </c>
      <c r="B212" s="4"/>
      <c r="C212" s="4"/>
      <c r="D212" s="4"/>
      <c r="E212" s="4"/>
      <c r="F212" s="4"/>
      <c r="G212" s="4"/>
      <c r="H212" s="4"/>
      <c r="I212" s="4"/>
      <c r="J212" s="4"/>
      <c r="K212" s="4"/>
      <c r="L212" s="4"/>
      <c r="M212" s="4"/>
      <c r="N212" s="4"/>
      <c r="O212" s="4"/>
      <c r="P212" s="4"/>
      <c r="Q212" s="4"/>
      <c r="R212" s="312" t="e">
        <f t="shared" si="88"/>
        <v>#DIV/0!</v>
      </c>
      <c r="S212" s="312" t="e">
        <f t="shared" si="88"/>
        <v>#DIV/0!</v>
      </c>
      <c r="T212" s="312" t="e">
        <f t="shared" si="88"/>
        <v>#DIV/0!</v>
      </c>
      <c r="U212" s="312">
        <f t="shared" si="88"/>
        <v>-4.0975879278582923</v>
      </c>
      <c r="V212" s="312">
        <f t="shared" si="88"/>
        <v>-6.80136153659131</v>
      </c>
      <c r="W212" s="312">
        <f t="shared" si="88"/>
        <v>15.934110736639395</v>
      </c>
      <c r="X212" s="312">
        <f t="shared" si="88"/>
        <v>15.766479100677033</v>
      </c>
      <c r="Y212" s="312">
        <f t="shared" si="88"/>
        <v>23.40468277291987</v>
      </c>
      <c r="Z212" s="312">
        <f t="shared" si="88"/>
        <v>40.195803124680893</v>
      </c>
      <c r="AA212" s="312">
        <f t="shared" si="88"/>
        <v>31.134456247432361</v>
      </c>
      <c r="AB212" s="312">
        <f t="shared" si="88"/>
        <v>53.279520763529241</v>
      </c>
      <c r="AC212" s="312">
        <f t="shared" si="88"/>
        <v>44.770220540121741</v>
      </c>
      <c r="AD212" s="312">
        <f t="shared" si="88"/>
        <v>36.915373059589406</v>
      </c>
      <c r="AE212" s="312">
        <f t="shared" si="88"/>
        <v>40.334317937701329</v>
      </c>
      <c r="AF212" s="312">
        <f t="shared" si="88"/>
        <v>29.213725035604241</v>
      </c>
      <c r="AG212" s="312">
        <f t="shared" si="88"/>
        <v>19.505633578732695</v>
      </c>
      <c r="AH212" s="312">
        <f t="shared" si="88"/>
        <v>13.866778382907397</v>
      </c>
      <c r="AI212" s="312">
        <f t="shared" si="88"/>
        <v>3.7676639144287538</v>
      </c>
      <c r="AJ212" s="312">
        <f t="shared" si="88"/>
        <v>4.8098735053250685</v>
      </c>
      <c r="AK212" s="312">
        <f t="shared" si="88"/>
        <v>-3.1086232980333084</v>
      </c>
      <c r="AL212" s="312">
        <f t="shared" si="88"/>
        <v>-0.4823808355817305</v>
      </c>
      <c r="AM212" s="312">
        <f t="shared" si="88"/>
        <v>4.8015071747541826</v>
      </c>
      <c r="AN212" s="281"/>
      <c r="AO212" s="4"/>
      <c r="AP212" s="4"/>
      <c r="AQ212" s="4"/>
      <c r="AR212" s="4"/>
      <c r="AS212" s="4"/>
      <c r="AT212" s="19"/>
      <c r="AU212" s="19"/>
      <c r="AV212" s="19"/>
      <c r="AW212" s="19"/>
      <c r="AX212" s="19"/>
      <c r="AY212" s="19"/>
    </row>
    <row r="213" spans="1:51">
      <c r="A213" s="4" t="s">
        <v>653</v>
      </c>
      <c r="B213" s="4"/>
      <c r="C213" s="4"/>
      <c r="D213" s="4"/>
      <c r="E213" s="4"/>
      <c r="F213" s="4"/>
      <c r="G213" s="4"/>
      <c r="H213" s="4"/>
      <c r="I213" s="4"/>
      <c r="J213" s="4"/>
      <c r="K213" s="4"/>
      <c r="L213" s="4"/>
      <c r="M213" s="4"/>
      <c r="N213" s="4"/>
      <c r="O213" s="4"/>
      <c r="P213" s="4"/>
      <c r="Q213" s="4"/>
      <c r="R213" s="312" t="e">
        <f t="shared" si="88"/>
        <v>#DIV/0!</v>
      </c>
      <c r="S213" s="312" t="e">
        <f t="shared" si="88"/>
        <v>#DIV/0!</v>
      </c>
      <c r="T213" s="312" t="e">
        <f t="shared" si="88"/>
        <v>#DIV/0!</v>
      </c>
      <c r="U213" s="312">
        <f t="shared" si="88"/>
        <v>3.8552950244656436</v>
      </c>
      <c r="V213" s="312">
        <f t="shared" si="88"/>
        <v>-3.984919165444345</v>
      </c>
      <c r="W213" s="312">
        <f t="shared" si="88"/>
        <v>-2.7126343468760417</v>
      </c>
      <c r="X213" s="312">
        <f t="shared" si="88"/>
        <v>1.0003465623253494</v>
      </c>
      <c r="Y213" s="312">
        <f t="shared" si="88"/>
        <v>9.6730197519253593</v>
      </c>
      <c r="Z213" s="312">
        <f t="shared" si="88"/>
        <v>37.035025017869906</v>
      </c>
      <c r="AA213" s="312">
        <f t="shared" si="88"/>
        <v>25.930707983645362</v>
      </c>
      <c r="AB213" s="312">
        <f t="shared" si="88"/>
        <v>45.467108899944677</v>
      </c>
      <c r="AC213" s="312">
        <f t="shared" si="88"/>
        <v>29.48827139366248</v>
      </c>
      <c r="AD213" s="312">
        <f t="shared" si="88"/>
        <v>17.869164858398712</v>
      </c>
      <c r="AE213" s="312">
        <f t="shared" si="88"/>
        <v>25.868933697881058</v>
      </c>
      <c r="AF213" s="312">
        <f t="shared" si="88"/>
        <v>14.21230136904108</v>
      </c>
      <c r="AG213" s="312">
        <f t="shared" si="88"/>
        <v>15.394639783624298</v>
      </c>
      <c r="AH213" s="312">
        <f t="shared" si="88"/>
        <v>20.923311127763668</v>
      </c>
      <c r="AI213" s="312">
        <f t="shared" si="88"/>
        <v>10.748929179931732</v>
      </c>
      <c r="AJ213" s="312">
        <f t="shared" si="88"/>
        <v>5.8652403326799218</v>
      </c>
      <c r="AK213" s="312">
        <f t="shared" si="88"/>
        <v>2.9485840915386197</v>
      </c>
      <c r="AL213" s="312">
        <f t="shared" si="88"/>
        <v>-8.0444155575464364</v>
      </c>
      <c r="AM213" s="312">
        <f t="shared" si="88"/>
        <v>4.8204537282207305</v>
      </c>
      <c r="AN213" s="281"/>
      <c r="AO213" s="4"/>
      <c r="AP213" s="4"/>
      <c r="AQ213" s="4"/>
      <c r="AR213" s="4"/>
      <c r="AS213" s="4"/>
      <c r="AT213" s="19"/>
      <c r="AU213" s="19"/>
      <c r="AV213" s="19"/>
      <c r="AW213" s="19"/>
      <c r="AX213" s="19"/>
      <c r="AY213" s="19"/>
    </row>
    <row r="214" spans="1:51">
      <c r="A214" s="4" t="s">
        <v>656</v>
      </c>
      <c r="B214" s="4"/>
      <c r="C214" s="4"/>
      <c r="D214" s="4"/>
      <c r="E214" s="4"/>
      <c r="F214" s="4"/>
      <c r="G214" s="4"/>
      <c r="H214" s="4"/>
      <c r="I214" s="4"/>
      <c r="J214" s="4"/>
      <c r="K214" s="4"/>
      <c r="L214" s="4"/>
      <c r="M214" s="4"/>
      <c r="N214" s="4"/>
      <c r="O214" s="4"/>
      <c r="P214" s="4"/>
      <c r="Q214" s="4"/>
      <c r="R214" s="312">
        <f t="shared" si="88"/>
        <v>-27.914841836990554</v>
      </c>
      <c r="S214" s="312">
        <f t="shared" si="88"/>
        <v>-27.531788194822425</v>
      </c>
      <c r="T214" s="312">
        <f t="shared" si="88"/>
        <v>-25.002155068102905</v>
      </c>
      <c r="U214" s="312">
        <f t="shared" si="88"/>
        <v>22.885124621252739</v>
      </c>
      <c r="V214" s="312">
        <f t="shared" si="88"/>
        <v>2.3111517089527522</v>
      </c>
      <c r="W214" s="312">
        <f t="shared" si="88"/>
        <v>10.577989376228313</v>
      </c>
      <c r="X214" s="312">
        <f t="shared" si="88"/>
        <v>9.3062961151481272</v>
      </c>
      <c r="Y214" s="312">
        <f t="shared" si="88"/>
        <v>12.057734249684128</v>
      </c>
      <c r="Z214" s="312">
        <f t="shared" si="88"/>
        <v>46.170693352394565</v>
      </c>
      <c r="AA214" s="312">
        <f t="shared" si="88"/>
        <v>43.818592640413165</v>
      </c>
      <c r="AB214" s="312">
        <f t="shared" si="88"/>
        <v>33.831601869074078</v>
      </c>
      <c r="AC214" s="312">
        <f t="shared" si="88"/>
        <v>38.227637291997432</v>
      </c>
      <c r="AD214" s="312">
        <f t="shared" si="88"/>
        <v>20.463116549824733</v>
      </c>
      <c r="AE214" s="312">
        <f t="shared" si="88"/>
        <v>11.175653686454922</v>
      </c>
      <c r="AF214" s="312">
        <f t="shared" si="88"/>
        <v>13.2275300418637</v>
      </c>
      <c r="AG214" s="312">
        <f t="shared" si="88"/>
        <v>12.894214219515421</v>
      </c>
      <c r="AH214" s="312">
        <f t="shared" si="88"/>
        <v>9.9829502830252927</v>
      </c>
      <c r="AI214" s="312">
        <f t="shared" si="88"/>
        <v>13.689374410919708</v>
      </c>
      <c r="AJ214" s="312">
        <f t="shared" si="88"/>
        <v>15.555821668540904</v>
      </c>
      <c r="AK214" s="312">
        <f t="shared" si="88"/>
        <v>8.0523988788422365</v>
      </c>
      <c r="AL214" s="312">
        <f t="shared" si="88"/>
        <v>13.490114650915274</v>
      </c>
      <c r="AM214" s="312">
        <f t="shared" si="88"/>
        <v>15.083170189247141</v>
      </c>
      <c r="AN214" s="281"/>
      <c r="AO214" s="4"/>
      <c r="AP214" s="4"/>
      <c r="AQ214" s="4"/>
      <c r="AR214" s="4"/>
      <c r="AS214" s="4"/>
      <c r="AT214" s="19"/>
      <c r="AU214" s="19"/>
      <c r="AV214" s="19"/>
      <c r="AW214" s="19"/>
      <c r="AX214" s="19"/>
      <c r="AY214" s="19"/>
    </row>
    <row r="215" spans="1:5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281"/>
      <c r="AO215" s="4"/>
      <c r="AP215" s="4"/>
      <c r="AQ215" s="4"/>
      <c r="AR215" s="4"/>
      <c r="AS215" s="4"/>
      <c r="AT215" s="4"/>
      <c r="AU215" s="4"/>
      <c r="AV215" s="4"/>
      <c r="AW215" s="4"/>
      <c r="AX215" s="4"/>
      <c r="AY215" s="4"/>
    </row>
    <row r="216" spans="1:51">
      <c r="A216" s="251" t="s">
        <v>659</v>
      </c>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1252"/>
      <c r="AO216" s="273"/>
      <c r="AP216" s="273"/>
      <c r="AQ216" s="273"/>
      <c r="AR216" s="273"/>
      <c r="AS216" s="273"/>
      <c r="AT216" s="273"/>
      <c r="AU216" s="273"/>
      <c r="AV216" s="273"/>
      <c r="AW216" s="273"/>
      <c r="AX216" s="273"/>
      <c r="AY216" s="273"/>
    </row>
    <row r="217" spans="1:51">
      <c r="A217" s="4" t="s">
        <v>652</v>
      </c>
      <c r="B217" s="4"/>
      <c r="C217" s="4"/>
      <c r="D217" s="4"/>
      <c r="E217" s="4"/>
      <c r="F217" s="4"/>
      <c r="G217" s="4"/>
      <c r="H217" s="4"/>
      <c r="I217" s="4"/>
      <c r="J217" s="4"/>
      <c r="K217" s="4"/>
      <c r="L217" s="4"/>
      <c r="M217" s="260"/>
      <c r="N217" s="260"/>
      <c r="O217" s="260"/>
      <c r="P217" s="260"/>
      <c r="Q217" s="260"/>
      <c r="R217" s="312"/>
      <c r="S217" s="312"/>
      <c r="T217" s="312">
        <f t="shared" ref="T217:AM220" si="89">T199+S199+R199+Q199</f>
        <v>160.29450856221649</v>
      </c>
      <c r="U217" s="312">
        <f t="shared" si="89"/>
        <v>163.08211296529004</v>
      </c>
      <c r="V217" s="312">
        <f t="shared" si="89"/>
        <v>162.04822172441413</v>
      </c>
      <c r="W217" s="312">
        <f t="shared" si="89"/>
        <v>158.15151212916928</v>
      </c>
      <c r="X217" s="312">
        <f t="shared" si="89"/>
        <v>156.5500205693553</v>
      </c>
      <c r="Y217" s="312">
        <f t="shared" si="89"/>
        <v>158.46729999999999</v>
      </c>
      <c r="Z217" s="312">
        <f t="shared" si="89"/>
        <v>171.59859999999998</v>
      </c>
      <c r="AA217" s="312">
        <f t="shared" si="89"/>
        <v>180.75359999999998</v>
      </c>
      <c r="AB217" s="312">
        <f t="shared" si="89"/>
        <v>197.36159999999995</v>
      </c>
      <c r="AC217" s="312">
        <f t="shared" si="89"/>
        <v>207.33259999999996</v>
      </c>
      <c r="AD217" s="312">
        <f t="shared" si="89"/>
        <v>212.06989999999999</v>
      </c>
      <c r="AE217" s="312">
        <f t="shared" si="89"/>
        <v>221.22380000000001</v>
      </c>
      <c r="AF217" s="312">
        <f t="shared" si="89"/>
        <v>225.5369</v>
      </c>
      <c r="AG217" s="312">
        <f t="shared" si="89"/>
        <v>232.66449999999998</v>
      </c>
      <c r="AH217" s="312">
        <f t="shared" si="89"/>
        <v>246.22399999999999</v>
      </c>
      <c r="AI217" s="312">
        <f t="shared" si="89"/>
        <v>254.54359999999997</v>
      </c>
      <c r="AJ217" s="312">
        <f t="shared" si="89"/>
        <v>258.40129999999999</v>
      </c>
      <c r="AK217" s="312">
        <f t="shared" si="89"/>
        <v>262.19629999999995</v>
      </c>
      <c r="AL217" s="312">
        <f t="shared" si="89"/>
        <v>254.11849999999998</v>
      </c>
      <c r="AM217" s="312">
        <f t="shared" si="89"/>
        <v>257.27499999999998</v>
      </c>
      <c r="AN217" s="281"/>
      <c r="AO217" s="4"/>
      <c r="AP217" s="4"/>
      <c r="AQ217" s="4"/>
      <c r="AR217" s="4"/>
      <c r="AS217" s="4"/>
      <c r="AT217" s="19"/>
      <c r="AU217" s="19"/>
      <c r="AV217" s="19"/>
      <c r="AW217" s="19"/>
      <c r="AX217" s="19"/>
      <c r="AY217" s="19"/>
    </row>
    <row r="218" spans="1:51">
      <c r="A218" s="4" t="s">
        <v>655</v>
      </c>
      <c r="B218" s="4"/>
      <c r="C218" s="4"/>
      <c r="D218" s="4"/>
      <c r="E218" s="4"/>
      <c r="F218" s="4"/>
      <c r="G218" s="4"/>
      <c r="H218" s="4"/>
      <c r="I218" s="4"/>
      <c r="J218" s="4"/>
      <c r="K218" s="4"/>
      <c r="L218" s="4"/>
      <c r="M218" s="4"/>
      <c r="N218" s="4"/>
      <c r="O218" s="4"/>
      <c r="P218" s="4"/>
      <c r="Q218" s="4"/>
      <c r="R218" s="312"/>
      <c r="S218" s="312"/>
      <c r="T218" s="312">
        <f t="shared" si="89"/>
        <v>61.263089498758191</v>
      </c>
      <c r="U218" s="312">
        <f t="shared" si="89"/>
        <v>60.601679188717007</v>
      </c>
      <c r="V218" s="312">
        <f t="shared" si="89"/>
        <v>59.458216414994375</v>
      </c>
      <c r="W218" s="312">
        <f t="shared" si="89"/>
        <v>61.800075175254776</v>
      </c>
      <c r="X218" s="312">
        <f t="shared" si="89"/>
        <v>63.946244655316782</v>
      </c>
      <c r="Y218" s="312">
        <f t="shared" si="89"/>
        <v>67.569300000000013</v>
      </c>
      <c r="Z218" s="312">
        <f t="shared" si="89"/>
        <v>73.867500000000007</v>
      </c>
      <c r="AA218" s="312">
        <f t="shared" si="89"/>
        <v>79.172500000000014</v>
      </c>
      <c r="AB218" s="312">
        <f t="shared" si="89"/>
        <v>87.5685</v>
      </c>
      <c r="AC218" s="312">
        <f t="shared" si="89"/>
        <v>96.120999999999995</v>
      </c>
      <c r="AD218" s="312">
        <f t="shared" si="89"/>
        <v>104.2302</v>
      </c>
      <c r="AE218" s="312">
        <f t="shared" si="89"/>
        <v>113.24249999999998</v>
      </c>
      <c r="AF218" s="312">
        <f t="shared" si="89"/>
        <v>120.29889999999997</v>
      </c>
      <c r="AG218" s="312">
        <f t="shared" si="89"/>
        <v>125.69329999999998</v>
      </c>
      <c r="AH218" s="312">
        <f t="shared" si="89"/>
        <v>129.86389999999997</v>
      </c>
      <c r="AI218" s="312">
        <f t="shared" si="89"/>
        <v>131.0453</v>
      </c>
      <c r="AJ218" s="312">
        <f t="shared" si="89"/>
        <v>132.54649999999998</v>
      </c>
      <c r="AK218" s="312">
        <f t="shared" si="89"/>
        <v>131.51909999999998</v>
      </c>
      <c r="AL218" s="312">
        <f t="shared" si="89"/>
        <v>131.35389999999998</v>
      </c>
      <c r="AM218" s="312">
        <f t="shared" si="89"/>
        <v>132.91619999999998</v>
      </c>
      <c r="AN218" s="281"/>
      <c r="AO218" s="4"/>
      <c r="AP218" s="4"/>
      <c r="AQ218" s="4"/>
      <c r="AR218" s="4"/>
      <c r="AS218" s="4"/>
      <c r="AT218" s="19"/>
      <c r="AU218" s="19"/>
      <c r="AV218" s="19"/>
      <c r="AW218" s="19"/>
      <c r="AX218" s="19"/>
      <c r="AY218" s="19"/>
    </row>
    <row r="219" spans="1:51">
      <c r="A219" s="4" t="s">
        <v>653</v>
      </c>
      <c r="B219" s="4"/>
      <c r="C219" s="4"/>
      <c r="D219" s="4"/>
      <c r="E219" s="4"/>
      <c r="F219" s="4"/>
      <c r="G219" s="4"/>
      <c r="H219" s="4"/>
      <c r="I219" s="4"/>
      <c r="J219" s="4"/>
      <c r="K219" s="4"/>
      <c r="L219" s="4"/>
      <c r="M219" s="4"/>
      <c r="N219" s="4"/>
      <c r="O219" s="4"/>
      <c r="P219" s="4"/>
      <c r="Q219" s="4"/>
      <c r="R219" s="312"/>
      <c r="S219" s="312"/>
      <c r="T219" s="312">
        <f t="shared" si="89"/>
        <v>221.5575980609747</v>
      </c>
      <c r="U219" s="312">
        <f t="shared" si="89"/>
        <v>223.68379215400705</v>
      </c>
      <c r="V219" s="312">
        <f t="shared" si="89"/>
        <v>221.50643813940849</v>
      </c>
      <c r="W219" s="312">
        <f t="shared" si="89"/>
        <v>219.95158730442407</v>
      </c>
      <c r="X219" s="312">
        <f t="shared" si="89"/>
        <v>220.49626522467207</v>
      </c>
      <c r="Y219" s="312">
        <f t="shared" si="89"/>
        <v>226.03660000000002</v>
      </c>
      <c r="Z219" s="312">
        <f t="shared" si="89"/>
        <v>245.46610000000001</v>
      </c>
      <c r="AA219" s="312">
        <f t="shared" si="89"/>
        <v>259.92609999999996</v>
      </c>
      <c r="AB219" s="312">
        <f t="shared" si="89"/>
        <v>284.93009999999998</v>
      </c>
      <c r="AC219" s="312">
        <f t="shared" si="89"/>
        <v>303.45359999999999</v>
      </c>
      <c r="AD219" s="312">
        <f t="shared" si="89"/>
        <v>316.30009999999999</v>
      </c>
      <c r="AE219" s="312">
        <f t="shared" si="89"/>
        <v>334.46629999999993</v>
      </c>
      <c r="AF219" s="312">
        <f t="shared" si="89"/>
        <v>345.83579999999995</v>
      </c>
      <c r="AG219" s="312">
        <f t="shared" si="89"/>
        <v>358.35779999999994</v>
      </c>
      <c r="AH219" s="312">
        <f t="shared" si="89"/>
        <v>376.08789999999999</v>
      </c>
      <c r="AI219" s="312">
        <f t="shared" si="89"/>
        <v>385.58890000000002</v>
      </c>
      <c r="AJ219" s="312">
        <f t="shared" si="89"/>
        <v>390.94780000000003</v>
      </c>
      <c r="AK219" s="312">
        <f t="shared" si="89"/>
        <v>393.71540000000005</v>
      </c>
      <c r="AL219" s="312">
        <f t="shared" si="89"/>
        <v>385.47239999999999</v>
      </c>
      <c r="AM219" s="312">
        <f t="shared" si="89"/>
        <v>390.19119999999998</v>
      </c>
      <c r="AN219" s="281"/>
      <c r="AO219" s="4"/>
      <c r="AP219" s="4"/>
      <c r="AQ219" s="4"/>
      <c r="AR219" s="4"/>
      <c r="AS219" s="4"/>
      <c r="AT219" s="19"/>
      <c r="AU219" s="19"/>
      <c r="AV219" s="19"/>
      <c r="AW219" s="19"/>
      <c r="AX219" s="19"/>
      <c r="AY219" s="19"/>
    </row>
    <row r="220" spans="1:51">
      <c r="A220" s="4" t="s">
        <v>656</v>
      </c>
      <c r="B220" s="4"/>
      <c r="C220" s="4"/>
      <c r="D220" s="4"/>
      <c r="E220" s="4"/>
      <c r="F220" s="4"/>
      <c r="G220" s="4"/>
      <c r="H220" s="4"/>
      <c r="I220" s="4"/>
      <c r="J220" s="4"/>
      <c r="K220" s="4"/>
      <c r="L220" s="4"/>
      <c r="M220" s="4"/>
      <c r="N220" s="4"/>
      <c r="O220" s="4"/>
      <c r="P220" s="4"/>
      <c r="Q220" s="4"/>
      <c r="R220" s="312"/>
      <c r="S220" s="312"/>
      <c r="T220" s="312">
        <f t="shared" si="89"/>
        <v>351.27513460584845</v>
      </c>
      <c r="U220" s="312">
        <f t="shared" si="89"/>
        <v>369.4372623546675</v>
      </c>
      <c r="V220" s="312">
        <f t="shared" si="89"/>
        <v>371.41242658824416</v>
      </c>
      <c r="W220" s="312">
        <f t="shared" si="89"/>
        <v>380.89586502583256</v>
      </c>
      <c r="X220" s="312">
        <f t="shared" si="89"/>
        <v>389.90418132849572</v>
      </c>
      <c r="Y220" s="312">
        <f t="shared" si="89"/>
        <v>401.66340000000002</v>
      </c>
      <c r="Z220" s="312">
        <f t="shared" si="89"/>
        <v>442.03390000000002</v>
      </c>
      <c r="AA220" s="312">
        <f t="shared" si="89"/>
        <v>485.47390000000001</v>
      </c>
      <c r="AB220" s="312">
        <f t="shared" si="89"/>
        <v>521.26990000000001</v>
      </c>
      <c r="AC220" s="312">
        <f t="shared" si="89"/>
        <v>563.04639999999995</v>
      </c>
      <c r="AD220" s="312">
        <f t="shared" si="89"/>
        <v>589.19990000000007</v>
      </c>
      <c r="AE220" s="312">
        <f t="shared" si="89"/>
        <v>605.13369999999998</v>
      </c>
      <c r="AF220" s="312">
        <f t="shared" si="89"/>
        <v>623.86419999999998</v>
      </c>
      <c r="AG220" s="312">
        <f t="shared" si="89"/>
        <v>643.34220000000005</v>
      </c>
      <c r="AH220" s="312">
        <f t="shared" si="89"/>
        <v>658.71209999999996</v>
      </c>
      <c r="AI220" s="312">
        <f t="shared" si="89"/>
        <v>680.41110000000003</v>
      </c>
      <c r="AJ220" s="312">
        <f t="shared" si="89"/>
        <v>705.35220000000004</v>
      </c>
      <c r="AK220" s="312">
        <f t="shared" si="89"/>
        <v>719.08460000000002</v>
      </c>
      <c r="AL220" s="312">
        <f t="shared" si="89"/>
        <v>741.92759999999987</v>
      </c>
      <c r="AM220" s="312">
        <f t="shared" si="89"/>
        <v>769.10879999999997</v>
      </c>
      <c r="AN220" s="281"/>
      <c r="AO220" s="4"/>
      <c r="AP220" s="4"/>
      <c r="AQ220" s="4"/>
      <c r="AR220" s="4"/>
      <c r="AS220" s="4"/>
      <c r="AT220" s="19"/>
      <c r="AU220" s="19"/>
      <c r="AV220" s="19"/>
      <c r="AW220" s="19"/>
      <c r="AX220" s="19"/>
      <c r="AY220" s="19"/>
    </row>
    <row r="221" spans="1:51" ht="13.5" customHeight="1">
      <c r="A221" s="4"/>
      <c r="B221" s="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c r="AB221" s="249"/>
      <c r="AC221" s="249"/>
      <c r="AD221" s="249"/>
      <c r="AE221" s="249"/>
      <c r="AF221" s="249"/>
      <c r="AG221" s="249"/>
      <c r="AH221" s="249"/>
      <c r="AI221" s="249"/>
      <c r="AJ221" s="249"/>
      <c r="AK221" s="249"/>
      <c r="AL221" s="249"/>
      <c r="AM221" s="249"/>
      <c r="AN221" s="308"/>
      <c r="AO221" s="9"/>
      <c r="AP221" s="261"/>
      <c r="AQ221" s="261"/>
      <c r="AR221" s="261"/>
      <c r="AS221" s="9"/>
      <c r="AT221" s="4"/>
      <c r="AU221" s="4"/>
      <c r="AV221" s="4"/>
      <c r="AW221" s="4"/>
      <c r="AX221" s="4"/>
      <c r="AY221" s="4"/>
    </row>
    <row r="222" spans="1:51">
      <c r="A222" s="251" t="s">
        <v>660</v>
      </c>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c r="AA222" s="252"/>
      <c r="AB222" s="252"/>
      <c r="AC222" s="252"/>
      <c r="AD222" s="252"/>
      <c r="AE222" s="252"/>
      <c r="AF222" s="252"/>
      <c r="AG222" s="252"/>
      <c r="AH222" s="252"/>
      <c r="AI222" s="252"/>
      <c r="AJ222" s="252"/>
      <c r="AK222" s="252"/>
      <c r="AL222" s="252"/>
      <c r="AM222" s="252"/>
      <c r="AN222" s="1252"/>
      <c r="AO222" s="273"/>
      <c r="AP222" s="273"/>
      <c r="AQ222" s="273"/>
      <c r="AR222" s="273"/>
      <c r="AS222" s="273"/>
      <c r="AT222" s="273"/>
      <c r="AU222" s="273"/>
      <c r="AV222" s="273"/>
      <c r="AW222" s="273"/>
      <c r="AX222" s="273"/>
      <c r="AY222" s="273"/>
    </row>
    <row r="223" spans="1:51">
      <c r="A223" s="4" t="s">
        <v>652</v>
      </c>
      <c r="B223" s="4"/>
      <c r="C223" s="4"/>
      <c r="D223" s="4"/>
      <c r="E223" s="4"/>
      <c r="F223" s="4"/>
      <c r="G223" s="4"/>
      <c r="H223" s="4"/>
      <c r="I223" s="4"/>
      <c r="J223" s="4"/>
      <c r="K223" s="4"/>
      <c r="L223" s="4"/>
      <c r="M223" s="260"/>
      <c r="N223" s="260"/>
      <c r="O223" s="260"/>
      <c r="P223" s="260"/>
      <c r="Q223" s="260"/>
      <c r="R223" s="312"/>
      <c r="S223" s="312"/>
      <c r="T223" s="312"/>
      <c r="U223" s="312"/>
      <c r="V223" s="312"/>
      <c r="W223" s="312"/>
      <c r="X223" s="312">
        <f t="shared" ref="X223:AM226" si="90">(X217/T217-1)*100</f>
        <v>-2.3360051610300858</v>
      </c>
      <c r="Y223" s="312">
        <f t="shared" si="90"/>
        <v>-2.8297480829625021</v>
      </c>
      <c r="Z223" s="312">
        <f t="shared" si="90"/>
        <v>5.8935409311850373</v>
      </c>
      <c r="AA223" s="312">
        <f t="shared" si="90"/>
        <v>14.291414332080855</v>
      </c>
      <c r="AB223" s="312">
        <f t="shared" si="90"/>
        <v>26.069354243594091</v>
      </c>
      <c r="AC223" s="312">
        <f t="shared" si="90"/>
        <v>30.836204062289173</v>
      </c>
      <c r="AD223" s="312">
        <f t="shared" si="90"/>
        <v>23.584866076995969</v>
      </c>
      <c r="AE223" s="312">
        <f t="shared" si="90"/>
        <v>22.389706207787864</v>
      </c>
      <c r="AF223" s="312">
        <f t="shared" si="90"/>
        <v>14.275978711157622</v>
      </c>
      <c r="AG223" s="312">
        <f t="shared" si="90"/>
        <v>12.218001414152923</v>
      </c>
      <c r="AH223" s="312">
        <f t="shared" si="90"/>
        <v>16.105114398601582</v>
      </c>
      <c r="AI223" s="312">
        <f t="shared" si="90"/>
        <v>15.061580173561783</v>
      </c>
      <c r="AJ223" s="312">
        <f t="shared" si="90"/>
        <v>14.571628855411234</v>
      </c>
      <c r="AK223" s="312">
        <f t="shared" si="90"/>
        <v>12.692868916401068</v>
      </c>
      <c r="AL223" s="312">
        <f t="shared" si="90"/>
        <v>3.2062268503476377</v>
      </c>
      <c r="AM223" s="312">
        <f t="shared" si="90"/>
        <v>1.0730578179926731</v>
      </c>
      <c r="AN223" s="281"/>
      <c r="AO223" s="4"/>
      <c r="AP223" s="4"/>
      <c r="AQ223" s="4"/>
      <c r="AR223" s="4"/>
      <c r="AS223" s="4"/>
      <c r="AT223" s="19"/>
      <c r="AU223" s="19"/>
      <c r="AV223" s="19"/>
      <c r="AW223" s="19"/>
      <c r="AX223" s="19"/>
      <c r="AY223" s="19"/>
    </row>
    <row r="224" spans="1:51">
      <c r="A224" s="4" t="s">
        <v>655</v>
      </c>
      <c r="B224" s="4"/>
      <c r="C224" s="4"/>
      <c r="D224" s="4"/>
      <c r="E224" s="4"/>
      <c r="F224" s="4"/>
      <c r="G224" s="4"/>
      <c r="H224" s="4"/>
      <c r="I224" s="4"/>
      <c r="J224" s="4"/>
      <c r="K224" s="4"/>
      <c r="L224" s="4"/>
      <c r="M224" s="4"/>
      <c r="N224" s="4"/>
      <c r="O224" s="4"/>
      <c r="P224" s="4"/>
      <c r="Q224" s="4"/>
      <c r="R224" s="312"/>
      <c r="S224" s="312"/>
      <c r="T224" s="312"/>
      <c r="U224" s="312"/>
      <c r="V224" s="312"/>
      <c r="W224" s="312"/>
      <c r="X224" s="312">
        <f t="shared" si="90"/>
        <v>4.379725506029164</v>
      </c>
      <c r="Y224" s="312">
        <f t="shared" si="90"/>
        <v>11.49740552499452</v>
      </c>
      <c r="Z224" s="312">
        <f t="shared" si="90"/>
        <v>24.234301756437905</v>
      </c>
      <c r="AA224" s="312">
        <f t="shared" si="90"/>
        <v>28.11068558651413</v>
      </c>
      <c r="AB224" s="312">
        <f t="shared" si="90"/>
        <v>36.940801562330925</v>
      </c>
      <c r="AC224" s="312">
        <f t="shared" si="90"/>
        <v>42.255432570708848</v>
      </c>
      <c r="AD224" s="312">
        <f t="shared" si="90"/>
        <v>41.104274545639143</v>
      </c>
      <c r="AE224" s="312">
        <f t="shared" si="90"/>
        <v>43.032618649152113</v>
      </c>
      <c r="AF224" s="312">
        <f t="shared" si="90"/>
        <v>37.376910647093389</v>
      </c>
      <c r="AG224" s="312">
        <f t="shared" si="90"/>
        <v>30.765701563654126</v>
      </c>
      <c r="AH224" s="312">
        <f t="shared" si="90"/>
        <v>24.593352022734273</v>
      </c>
      <c r="AI224" s="312">
        <f t="shared" si="90"/>
        <v>15.720952822482737</v>
      </c>
      <c r="AJ224" s="312">
        <f t="shared" si="90"/>
        <v>10.180974223371964</v>
      </c>
      <c r="AK224" s="312">
        <f t="shared" si="90"/>
        <v>4.6349328086700003</v>
      </c>
      <c r="AL224" s="312">
        <f t="shared" si="90"/>
        <v>1.1473550386212006</v>
      </c>
      <c r="AM224" s="312">
        <f t="shared" si="90"/>
        <v>1.4276742469970127</v>
      </c>
      <c r="AN224" s="281"/>
      <c r="AO224" s="4"/>
      <c r="AP224" s="4"/>
      <c r="AQ224" s="4"/>
      <c r="AR224" s="4"/>
      <c r="AS224" s="4"/>
      <c r="AT224" s="19"/>
      <c r="AU224" s="19"/>
      <c r="AV224" s="19"/>
      <c r="AW224" s="19"/>
      <c r="AX224" s="19"/>
      <c r="AY224" s="19"/>
    </row>
    <row r="225" spans="1:51">
      <c r="A225" s="4" t="s">
        <v>653</v>
      </c>
      <c r="B225" s="4"/>
      <c r="C225" s="4"/>
      <c r="D225" s="4"/>
      <c r="E225" s="4"/>
      <c r="F225" s="4"/>
      <c r="G225" s="4"/>
      <c r="H225" s="4"/>
      <c r="I225" s="4"/>
      <c r="J225" s="4"/>
      <c r="K225" s="4"/>
      <c r="L225" s="4"/>
      <c r="M225" s="4"/>
      <c r="N225" s="4"/>
      <c r="O225" s="4"/>
      <c r="P225" s="4"/>
      <c r="Q225" s="4"/>
      <c r="R225" s="312"/>
      <c r="S225" s="312"/>
      <c r="T225" s="312"/>
      <c r="U225" s="312"/>
      <c r="V225" s="312"/>
      <c r="W225" s="312"/>
      <c r="X225" s="312">
        <f t="shared" si="90"/>
        <v>-0.47903247082978773</v>
      </c>
      <c r="Y225" s="312">
        <f t="shared" si="90"/>
        <v>1.0518454749609552</v>
      </c>
      <c r="Z225" s="312">
        <f t="shared" si="90"/>
        <v>10.816688698462173</v>
      </c>
      <c r="AA225" s="312">
        <f t="shared" si="90"/>
        <v>18.174232423360138</v>
      </c>
      <c r="AB225" s="312">
        <f t="shared" si="90"/>
        <v>29.222188733978705</v>
      </c>
      <c r="AC225" s="312">
        <f t="shared" si="90"/>
        <v>34.249763091463926</v>
      </c>
      <c r="AD225" s="312">
        <f t="shared" si="90"/>
        <v>28.856937882664834</v>
      </c>
      <c r="AE225" s="312">
        <f t="shared" si="90"/>
        <v>28.677458708455973</v>
      </c>
      <c r="AF225" s="312">
        <f t="shared" si="90"/>
        <v>21.375663715416504</v>
      </c>
      <c r="AG225" s="312">
        <f t="shared" si="90"/>
        <v>18.093112093578711</v>
      </c>
      <c r="AH225" s="312">
        <f t="shared" si="90"/>
        <v>18.902238728346909</v>
      </c>
      <c r="AI225" s="312">
        <f t="shared" si="90"/>
        <v>15.284828396762284</v>
      </c>
      <c r="AJ225" s="312">
        <f t="shared" si="90"/>
        <v>13.044340695786861</v>
      </c>
      <c r="AK225" s="312">
        <f t="shared" si="90"/>
        <v>9.8665635295227538</v>
      </c>
      <c r="AL225" s="312">
        <f t="shared" si="90"/>
        <v>2.4952943181633769</v>
      </c>
      <c r="AM225" s="312">
        <f t="shared" si="90"/>
        <v>1.1935768897911592</v>
      </c>
      <c r="AN225" s="281"/>
      <c r="AO225" s="4"/>
      <c r="AP225" s="4"/>
      <c r="AQ225" s="4"/>
      <c r="AR225" s="4"/>
      <c r="AS225" s="4"/>
      <c r="AT225" s="19"/>
      <c r="AU225" s="19"/>
      <c r="AV225" s="19"/>
      <c r="AW225" s="19"/>
      <c r="AX225" s="19"/>
      <c r="AY225" s="19"/>
    </row>
    <row r="226" spans="1:51">
      <c r="A226" s="4" t="s">
        <v>656</v>
      </c>
      <c r="B226" s="4"/>
      <c r="C226" s="4"/>
      <c r="D226" s="4"/>
      <c r="E226" s="4"/>
      <c r="F226" s="4"/>
      <c r="G226" s="4"/>
      <c r="H226" s="4"/>
      <c r="I226" s="4"/>
      <c r="J226" s="4"/>
      <c r="K226" s="4"/>
      <c r="L226" s="4"/>
      <c r="M226" s="4"/>
      <c r="N226" s="4"/>
      <c r="O226" s="4"/>
      <c r="P226" s="4"/>
      <c r="Q226" s="4"/>
      <c r="R226" s="312"/>
      <c r="S226" s="312"/>
      <c r="T226" s="312"/>
      <c r="U226" s="312"/>
      <c r="V226" s="312"/>
      <c r="W226" s="312"/>
      <c r="X226" s="312">
        <f t="shared" si="90"/>
        <v>10.996806467953203</v>
      </c>
      <c r="Y226" s="312">
        <f t="shared" si="90"/>
        <v>8.7230339029512383</v>
      </c>
      <c r="Z226" s="312">
        <f t="shared" si="90"/>
        <v>19.014300103116465</v>
      </c>
      <c r="AA226" s="312">
        <f t="shared" si="90"/>
        <v>27.455807367999373</v>
      </c>
      <c r="AB226" s="312">
        <f t="shared" si="90"/>
        <v>33.69179530824988</v>
      </c>
      <c r="AC226" s="312">
        <f t="shared" si="90"/>
        <v>40.178667013225478</v>
      </c>
      <c r="AD226" s="312">
        <f t="shared" si="90"/>
        <v>33.292921651484207</v>
      </c>
      <c r="AE226" s="312">
        <f t="shared" si="90"/>
        <v>24.648039781335296</v>
      </c>
      <c r="AF226" s="312">
        <f t="shared" si="90"/>
        <v>19.6816083184546</v>
      </c>
      <c r="AG226" s="312">
        <f t="shared" si="90"/>
        <v>14.260956113030844</v>
      </c>
      <c r="AH226" s="312">
        <f t="shared" si="90"/>
        <v>11.797727732132991</v>
      </c>
      <c r="AI226" s="312">
        <f t="shared" si="90"/>
        <v>12.439796362357614</v>
      </c>
      <c r="AJ226" s="312">
        <f t="shared" si="90"/>
        <v>13.061816978759166</v>
      </c>
      <c r="AK226" s="312">
        <f t="shared" si="90"/>
        <v>11.773267788122709</v>
      </c>
      <c r="AL226" s="312">
        <f t="shared" si="90"/>
        <v>12.63306078634352</v>
      </c>
      <c r="AM226" s="312">
        <f t="shared" si="90"/>
        <v>13.035898444337546</v>
      </c>
      <c r="AN226" s="281"/>
      <c r="AO226" s="4"/>
      <c r="AP226" s="4"/>
      <c r="AQ226" s="4"/>
      <c r="AR226" s="4"/>
      <c r="AS226" s="4"/>
      <c r="AT226" s="19"/>
      <c r="AU226" s="19"/>
      <c r="AV226" s="19"/>
      <c r="AW226" s="19"/>
      <c r="AX226" s="19"/>
      <c r="AY226" s="19"/>
    </row>
    <row r="227" spans="1:51" ht="13.5" customHeight="1">
      <c r="A227" s="4"/>
      <c r="B227" s="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c r="AB227" s="249"/>
      <c r="AC227" s="249"/>
      <c r="AD227" s="249"/>
      <c r="AE227" s="249"/>
      <c r="AF227" s="249"/>
      <c r="AG227" s="249"/>
      <c r="AH227" s="249"/>
      <c r="AI227" s="249"/>
      <c r="AJ227" s="249"/>
      <c r="AK227" s="249"/>
      <c r="AL227" s="249"/>
      <c r="AM227" s="249"/>
      <c r="AN227" s="308"/>
      <c r="AO227" s="9"/>
      <c r="AP227" s="261"/>
      <c r="AQ227" s="261"/>
      <c r="AR227" s="261"/>
      <c r="AS227" s="9"/>
      <c r="AT227" s="4"/>
      <c r="AU227" s="4"/>
      <c r="AV227" s="4"/>
      <c r="AW227" s="4"/>
      <c r="AX227" s="4"/>
      <c r="AY227" s="4"/>
    </row>
    <row r="228" spans="1:51">
      <c r="A228" s="251" t="s">
        <v>661</v>
      </c>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c r="AK228" s="252"/>
      <c r="AL228" s="252"/>
      <c r="AM228" s="252"/>
      <c r="AN228" s="1252"/>
      <c r="AO228" s="273"/>
      <c r="AP228" s="273"/>
      <c r="AQ228" s="273"/>
      <c r="AR228" s="273"/>
      <c r="AS228" s="273"/>
      <c r="AT228" s="273"/>
      <c r="AU228" s="273"/>
      <c r="AV228" s="273"/>
      <c r="AW228" s="273"/>
      <c r="AX228" s="273"/>
      <c r="AY228" s="273"/>
    </row>
    <row r="229" spans="1:51">
      <c r="A229" s="4" t="s">
        <v>662</v>
      </c>
      <c r="B229" s="13">
        <v>9228</v>
      </c>
      <c r="C229" s="14">
        <v>9592</v>
      </c>
      <c r="D229" s="14">
        <v>9517</v>
      </c>
      <c r="E229" s="14">
        <v>9476</v>
      </c>
      <c r="F229" s="14">
        <v>9022</v>
      </c>
      <c r="G229" s="14">
        <v>8868</v>
      </c>
      <c r="H229" s="14">
        <v>8809</v>
      </c>
      <c r="I229" s="14">
        <v>8853</v>
      </c>
      <c r="J229" s="14">
        <v>8963</v>
      </c>
      <c r="K229" s="14">
        <v>9022</v>
      </c>
      <c r="L229" s="14">
        <v>9081</v>
      </c>
      <c r="M229" s="14">
        <v>9423</v>
      </c>
      <c r="N229" s="14">
        <v>9764</v>
      </c>
      <c r="O229" s="14">
        <v>10025</v>
      </c>
      <c r="P229" s="14">
        <v>10144</v>
      </c>
      <c r="Q229" s="14">
        <v>10263</v>
      </c>
      <c r="R229" s="14">
        <v>10297</v>
      </c>
      <c r="S229" s="14">
        <v>10800</v>
      </c>
      <c r="T229" s="14">
        <v>10849</v>
      </c>
      <c r="U229" s="14">
        <v>11156</v>
      </c>
      <c r="V229" s="14">
        <v>10598</v>
      </c>
      <c r="W229" s="14">
        <v>11162</v>
      </c>
      <c r="X229" s="14">
        <v>11424</v>
      </c>
      <c r="Y229" s="14">
        <v>12391</v>
      </c>
      <c r="Z229" s="14">
        <v>20491</v>
      </c>
      <c r="AA229" s="14">
        <v>20786</v>
      </c>
      <c r="AB229" s="14">
        <v>22130</v>
      </c>
      <c r="AC229" s="14">
        <v>22500</v>
      </c>
      <c r="AD229" s="14">
        <v>22742</v>
      </c>
      <c r="AE229" s="14">
        <v>22991</v>
      </c>
      <c r="AF229" s="14">
        <v>22505</v>
      </c>
      <c r="AG229" s="14">
        <v>23224</v>
      </c>
      <c r="AH229" s="14">
        <v>24224</v>
      </c>
      <c r="AI229" s="14">
        <v>24638</v>
      </c>
      <c r="AJ229" s="14">
        <v>24607</v>
      </c>
      <c r="AK229" s="14">
        <v>24726</v>
      </c>
      <c r="AL229" s="14">
        <v>26612</v>
      </c>
      <c r="AM229" s="14">
        <v>28053</v>
      </c>
      <c r="AN229" s="285"/>
      <c r="AO229" s="13"/>
      <c r="AP229" s="13"/>
      <c r="AQ229" s="14"/>
      <c r="AR229" s="14"/>
      <c r="AS229" s="14">
        <v>9423</v>
      </c>
      <c r="AT229" s="14">
        <v>10263</v>
      </c>
      <c r="AU229" s="14">
        <v>11156</v>
      </c>
      <c r="AV229" s="14">
        <v>12391</v>
      </c>
      <c r="AW229" s="14">
        <v>22500</v>
      </c>
      <c r="AX229" s="14">
        <v>23224</v>
      </c>
      <c r="AY229" s="14">
        <v>24726</v>
      </c>
    </row>
    <row r="230" spans="1:51">
      <c r="A230" s="4" t="s">
        <v>316</v>
      </c>
      <c r="B230" s="13" t="e">
        <f t="shared" ref="B230:AM230" si="91">B229-A229</f>
        <v>#VALUE!</v>
      </c>
      <c r="C230" s="13">
        <f t="shared" si="91"/>
        <v>364</v>
      </c>
      <c r="D230" s="13">
        <f t="shared" si="91"/>
        <v>-75</v>
      </c>
      <c r="E230" s="13">
        <f t="shared" si="91"/>
        <v>-41</v>
      </c>
      <c r="F230" s="13">
        <f t="shared" si="91"/>
        <v>-454</v>
      </c>
      <c r="G230" s="13">
        <f t="shared" si="91"/>
        <v>-154</v>
      </c>
      <c r="H230" s="13">
        <f t="shared" si="91"/>
        <v>-59</v>
      </c>
      <c r="I230" s="13">
        <f t="shared" si="91"/>
        <v>44</v>
      </c>
      <c r="J230" s="13">
        <f t="shared" si="91"/>
        <v>110</v>
      </c>
      <c r="K230" s="13">
        <f t="shared" si="91"/>
        <v>59</v>
      </c>
      <c r="L230" s="13">
        <f t="shared" si="91"/>
        <v>59</v>
      </c>
      <c r="M230" s="13">
        <f t="shared" si="91"/>
        <v>342</v>
      </c>
      <c r="N230" s="13">
        <f t="shared" si="91"/>
        <v>341</v>
      </c>
      <c r="O230" s="13">
        <f t="shared" si="91"/>
        <v>261</v>
      </c>
      <c r="P230" s="13">
        <f t="shared" si="91"/>
        <v>119</v>
      </c>
      <c r="Q230" s="13">
        <f t="shared" si="91"/>
        <v>119</v>
      </c>
      <c r="R230" s="13">
        <f t="shared" si="91"/>
        <v>34</v>
      </c>
      <c r="S230" s="13">
        <f t="shared" si="91"/>
        <v>503</v>
      </c>
      <c r="T230" s="13">
        <f t="shared" si="91"/>
        <v>49</v>
      </c>
      <c r="U230" s="13">
        <f t="shared" si="91"/>
        <v>307</v>
      </c>
      <c r="V230" s="13">
        <f t="shared" si="91"/>
        <v>-558</v>
      </c>
      <c r="W230" s="13">
        <f t="shared" si="91"/>
        <v>564</v>
      </c>
      <c r="X230" s="13">
        <f t="shared" si="91"/>
        <v>262</v>
      </c>
      <c r="Y230" s="13">
        <f t="shared" si="91"/>
        <v>967</v>
      </c>
      <c r="Z230" s="13">
        <f t="shared" si="91"/>
        <v>8100</v>
      </c>
      <c r="AA230" s="13">
        <f t="shared" si="91"/>
        <v>295</v>
      </c>
      <c r="AB230" s="13">
        <f t="shared" si="91"/>
        <v>1344</v>
      </c>
      <c r="AC230" s="13">
        <f t="shared" si="91"/>
        <v>370</v>
      </c>
      <c r="AD230" s="13">
        <f t="shared" si="91"/>
        <v>242</v>
      </c>
      <c r="AE230" s="13">
        <f t="shared" si="91"/>
        <v>249</v>
      </c>
      <c r="AF230" s="13">
        <f t="shared" si="91"/>
        <v>-486</v>
      </c>
      <c r="AG230" s="13">
        <f t="shared" si="91"/>
        <v>719</v>
      </c>
      <c r="AH230" s="13">
        <f t="shared" si="91"/>
        <v>1000</v>
      </c>
      <c r="AI230" s="13">
        <f t="shared" si="91"/>
        <v>414</v>
      </c>
      <c r="AJ230" s="13">
        <f t="shared" si="91"/>
        <v>-31</v>
      </c>
      <c r="AK230" s="13">
        <f t="shared" si="91"/>
        <v>119</v>
      </c>
      <c r="AL230" s="13">
        <f t="shared" si="91"/>
        <v>1886</v>
      </c>
      <c r="AM230" s="13">
        <f t="shared" si="91"/>
        <v>1441</v>
      </c>
      <c r="AN230" s="285"/>
      <c r="AO230" s="13"/>
      <c r="AP230" s="13"/>
      <c r="AQ230" s="14"/>
      <c r="AR230" s="13"/>
      <c r="AS230" s="13">
        <f>AS229-AR229</f>
        <v>9423</v>
      </c>
      <c r="AT230" s="13">
        <f>AT229-AS229</f>
        <v>840</v>
      </c>
      <c r="AU230" s="13">
        <f>AU229-AT229</f>
        <v>893</v>
      </c>
      <c r="AV230" s="13">
        <f>AV229-AU229</f>
        <v>1235</v>
      </c>
      <c r="AW230" s="13">
        <f t="shared" ref="AW230:AY230" si="92">AW229-AV229</f>
        <v>10109</v>
      </c>
      <c r="AX230" s="13">
        <f t="shared" si="92"/>
        <v>724</v>
      </c>
      <c r="AY230" s="13">
        <f t="shared" si="92"/>
        <v>1502</v>
      </c>
    </row>
    <row r="231" spans="1:51">
      <c r="A231" s="4" t="s">
        <v>663</v>
      </c>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9">
        <f t="shared" ref="AH231:AL231" si="93">AH229/AG229-1</f>
        <v>4.305890458146755E-2</v>
      </c>
      <c r="AI231" s="9">
        <f t="shared" si="93"/>
        <v>1.7090488771466239E-2</v>
      </c>
      <c r="AJ231" s="9">
        <f t="shared" si="93"/>
        <v>-1.2582190112834235E-3</v>
      </c>
      <c r="AK231" s="9">
        <f t="shared" si="93"/>
        <v>4.836022270085838E-3</v>
      </c>
      <c r="AL231" s="9">
        <f t="shared" si="93"/>
        <v>7.6275984793334972E-2</v>
      </c>
      <c r="AM231" s="9">
        <f>AM229/AL229-1</f>
        <v>5.4148504434089917E-2</v>
      </c>
      <c r="AN231" s="285"/>
      <c r="AO231" s="13"/>
      <c r="AP231" s="13"/>
      <c r="AQ231" s="14"/>
      <c r="AR231" s="13"/>
      <c r="AS231" s="14">
        <v>1080</v>
      </c>
      <c r="AT231" s="13"/>
      <c r="AU231" s="13"/>
      <c r="AV231" s="13"/>
      <c r="AW231" s="13"/>
      <c r="AX231" s="13"/>
      <c r="AY231" s="13"/>
    </row>
    <row r="232" spans="1:51">
      <c r="A232" s="4" t="s">
        <v>664</v>
      </c>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285"/>
      <c r="AO232" s="13"/>
      <c r="AP232" s="13"/>
      <c r="AQ232" s="14"/>
      <c r="AR232" s="13"/>
      <c r="AS232" s="14"/>
      <c r="AT232" s="13"/>
      <c r="AU232" s="13"/>
      <c r="AV232" s="14">
        <f>AW232/6</f>
        <v>280</v>
      </c>
      <c r="AW232" s="14">
        <v>1680</v>
      </c>
      <c r="AX232" s="14"/>
      <c r="AY232" s="14"/>
    </row>
    <row r="233" spans="1:51">
      <c r="A233" s="4"/>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285"/>
      <c r="AO233" s="13"/>
      <c r="AP233" s="13"/>
      <c r="AQ233" s="14"/>
      <c r="AR233" s="13"/>
      <c r="AS233" s="13"/>
      <c r="AT233" s="13"/>
      <c r="AU233" s="13"/>
      <c r="AV233" s="13"/>
      <c r="AW233" s="13"/>
      <c r="AX233" s="13"/>
      <c r="AY233" s="13"/>
    </row>
    <row r="234" spans="1:51">
      <c r="A234" s="4" t="s">
        <v>665</v>
      </c>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v>700</v>
      </c>
      <c r="AE234" s="13">
        <v>550</v>
      </c>
      <c r="AF234" s="13"/>
      <c r="AG234" s="13"/>
      <c r="AH234" s="13"/>
      <c r="AI234" s="13"/>
      <c r="AJ234" s="13"/>
      <c r="AK234" s="13"/>
      <c r="AL234" s="13"/>
      <c r="AM234" s="13"/>
      <c r="AN234" s="285"/>
      <c r="AO234" s="13"/>
      <c r="AP234" s="13"/>
      <c r="AQ234" s="14"/>
      <c r="AR234" s="13"/>
      <c r="AS234" s="13"/>
      <c r="AT234" s="13"/>
      <c r="AU234" s="13"/>
      <c r="AV234" s="13"/>
      <c r="AW234" s="13"/>
      <c r="AX234" s="13"/>
      <c r="AY234" s="13"/>
    </row>
    <row r="235" spans="1:51">
      <c r="A235" s="4"/>
      <c r="B235" s="13"/>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285"/>
      <c r="AO235" s="13"/>
      <c r="AP235" s="13"/>
      <c r="AQ235" s="14"/>
      <c r="AR235" s="14"/>
      <c r="AS235" s="14"/>
      <c r="AT235" s="14"/>
      <c r="AU235" s="14"/>
      <c r="AV235" s="14"/>
      <c r="AW235" s="14"/>
      <c r="AX235" s="14"/>
      <c r="AY235" s="14"/>
    </row>
    <row r="236" spans="1:51">
      <c r="A236" s="4" t="s">
        <v>666</v>
      </c>
      <c r="B236" s="13">
        <f t="shared" ref="B236:AC236" si="94">B237+B238</f>
        <v>1855</v>
      </c>
      <c r="C236" s="13">
        <f t="shared" si="94"/>
        <v>1845</v>
      </c>
      <c r="D236" s="13">
        <f t="shared" si="94"/>
        <v>1874</v>
      </c>
      <c r="E236" s="13">
        <f t="shared" si="94"/>
        <v>1902</v>
      </c>
      <c r="F236" s="13">
        <f t="shared" si="94"/>
        <v>1901</v>
      </c>
      <c r="G236" s="13">
        <f t="shared" si="94"/>
        <v>1906</v>
      </c>
      <c r="H236" s="13">
        <f t="shared" si="94"/>
        <v>1857</v>
      </c>
      <c r="I236" s="13">
        <f t="shared" si="94"/>
        <v>1877</v>
      </c>
      <c r="J236" s="13">
        <f t="shared" si="94"/>
        <v>1984</v>
      </c>
      <c r="K236" s="13">
        <f t="shared" si="94"/>
        <v>2040</v>
      </c>
      <c r="L236" s="13">
        <f t="shared" si="94"/>
        <v>2018</v>
      </c>
      <c r="M236" s="13">
        <f t="shared" si="94"/>
        <v>2088</v>
      </c>
      <c r="N236" s="13">
        <f t="shared" si="94"/>
        <v>2217</v>
      </c>
      <c r="O236" s="13">
        <f t="shared" si="94"/>
        <v>2369</v>
      </c>
      <c r="P236" s="13">
        <f t="shared" si="94"/>
        <v>2408</v>
      </c>
      <c r="Q236" s="13">
        <f t="shared" si="94"/>
        <v>2345</v>
      </c>
      <c r="R236" s="13">
        <f t="shared" si="94"/>
        <v>2429</v>
      </c>
      <c r="S236" s="13">
        <f t="shared" si="94"/>
        <v>2468</v>
      </c>
      <c r="T236" s="13">
        <f t="shared" si="94"/>
        <v>2451</v>
      </c>
      <c r="U236" s="13">
        <f t="shared" si="94"/>
        <v>2451</v>
      </c>
      <c r="V236" s="13">
        <f t="shared" si="94"/>
        <v>2260</v>
      </c>
      <c r="W236" s="13">
        <f t="shared" si="94"/>
        <v>2524</v>
      </c>
      <c r="X236" s="13">
        <f t="shared" si="94"/>
        <v>2506</v>
      </c>
      <c r="Y236" s="13">
        <f t="shared" si="94"/>
        <v>2536</v>
      </c>
      <c r="Z236" s="13">
        <f t="shared" si="94"/>
        <v>3361</v>
      </c>
      <c r="AA236" s="13">
        <f t="shared" si="94"/>
        <v>3458</v>
      </c>
      <c r="AB236" s="13">
        <f t="shared" si="94"/>
        <v>3360</v>
      </c>
      <c r="AC236" s="13">
        <f t="shared" si="94"/>
        <v>0</v>
      </c>
      <c r="AD236" s="13"/>
      <c r="AE236" s="13"/>
      <c r="AF236" s="13"/>
      <c r="AG236" s="13"/>
      <c r="AH236" s="13"/>
      <c r="AI236" s="13"/>
      <c r="AJ236" s="13"/>
      <c r="AK236" s="13"/>
      <c r="AL236" s="13"/>
      <c r="AM236" s="13"/>
      <c r="AN236" s="285"/>
      <c r="AO236" s="13"/>
      <c r="AP236" s="13"/>
      <c r="AQ236" s="14"/>
      <c r="AR236" s="13"/>
      <c r="AS236" s="13">
        <f>AS237+AS238</f>
        <v>2088</v>
      </c>
      <c r="AT236" s="13">
        <f>AT237+AT238</f>
        <v>2345</v>
      </c>
      <c r="AU236" s="13">
        <f>AU237+AU238</f>
        <v>2451</v>
      </c>
      <c r="AV236" s="13">
        <f>AV237+AV238</f>
        <v>2536</v>
      </c>
      <c r="AW236" s="13"/>
      <c r="AX236" s="13"/>
      <c r="AY236" s="13"/>
    </row>
    <row r="237" spans="1:51">
      <c r="A237" s="258" t="s">
        <v>667</v>
      </c>
      <c r="B237" s="13">
        <v>1855</v>
      </c>
      <c r="C237" s="14">
        <v>1845</v>
      </c>
      <c r="D237" s="14">
        <v>1874</v>
      </c>
      <c r="E237" s="14">
        <v>1902</v>
      </c>
      <c r="F237" s="14">
        <v>1901</v>
      </c>
      <c r="G237" s="14">
        <v>1906</v>
      </c>
      <c r="H237" s="14">
        <v>1857</v>
      </c>
      <c r="I237" s="14">
        <v>1877</v>
      </c>
      <c r="J237" s="14">
        <v>1984</v>
      </c>
      <c r="K237" s="14">
        <v>2040</v>
      </c>
      <c r="L237" s="14">
        <v>2018</v>
      </c>
      <c r="M237" s="14">
        <v>2088</v>
      </c>
      <c r="N237" s="14">
        <v>2217</v>
      </c>
      <c r="O237" s="14">
        <v>2369</v>
      </c>
      <c r="P237" s="14">
        <v>2408</v>
      </c>
      <c r="Q237" s="14">
        <v>2345</v>
      </c>
      <c r="R237" s="14">
        <v>2429</v>
      </c>
      <c r="S237" s="14">
        <v>2468</v>
      </c>
      <c r="T237" s="14">
        <v>2451</v>
      </c>
      <c r="U237" s="14">
        <v>2451</v>
      </c>
      <c r="V237" s="14">
        <v>2260</v>
      </c>
      <c r="W237" s="14">
        <v>2523</v>
      </c>
      <c r="X237" s="14">
        <v>2505</v>
      </c>
      <c r="Y237" s="14">
        <v>2536</v>
      </c>
      <c r="Z237" s="14">
        <f>3332</f>
        <v>3332</v>
      </c>
      <c r="AA237" s="14">
        <v>3420</v>
      </c>
      <c r="AB237" s="14">
        <v>3322</v>
      </c>
      <c r="AC237" s="14"/>
      <c r="AD237" s="14"/>
      <c r="AE237" s="14"/>
      <c r="AF237" s="14"/>
      <c r="AG237" s="14"/>
      <c r="AH237" s="14"/>
      <c r="AI237" s="14"/>
      <c r="AJ237" s="14"/>
      <c r="AK237" s="14"/>
      <c r="AL237" s="14"/>
      <c r="AM237" s="14"/>
      <c r="AN237" s="285"/>
      <c r="AO237" s="13"/>
      <c r="AP237" s="13"/>
      <c r="AQ237" s="14"/>
      <c r="AR237" s="14"/>
      <c r="AS237" s="14">
        <v>2088</v>
      </c>
      <c r="AT237" s="14">
        <v>2345</v>
      </c>
      <c r="AU237" s="14">
        <v>2451</v>
      </c>
      <c r="AV237" s="14">
        <v>2536</v>
      </c>
      <c r="AW237" s="14"/>
      <c r="AX237" s="14"/>
      <c r="AY237" s="14"/>
    </row>
    <row r="238" spans="1:51">
      <c r="A238" s="258" t="s">
        <v>668</v>
      </c>
      <c r="B238" s="13"/>
      <c r="C238" s="14"/>
      <c r="D238" s="14"/>
      <c r="E238" s="14"/>
      <c r="F238" s="14"/>
      <c r="G238" s="14"/>
      <c r="H238" s="14"/>
      <c r="I238" s="14"/>
      <c r="J238" s="14"/>
      <c r="K238" s="14"/>
      <c r="L238" s="14"/>
      <c r="M238" s="14"/>
      <c r="N238" s="14"/>
      <c r="O238" s="14"/>
      <c r="P238" s="14"/>
      <c r="Q238" s="14"/>
      <c r="R238" s="14"/>
      <c r="S238" s="14"/>
      <c r="T238" s="14"/>
      <c r="U238" s="14"/>
      <c r="V238" s="14"/>
      <c r="W238" s="14">
        <v>1</v>
      </c>
      <c r="X238" s="14">
        <v>1</v>
      </c>
      <c r="Y238" s="14"/>
      <c r="Z238" s="14">
        <v>29</v>
      </c>
      <c r="AA238" s="14">
        <v>38</v>
      </c>
      <c r="AB238" s="14">
        <v>38</v>
      </c>
      <c r="AC238" s="14"/>
      <c r="AD238" s="14"/>
      <c r="AE238" s="14"/>
      <c r="AF238" s="14"/>
      <c r="AG238" s="14"/>
      <c r="AH238" s="14"/>
      <c r="AI238" s="14"/>
      <c r="AJ238" s="14"/>
      <c r="AK238" s="14"/>
      <c r="AL238" s="14"/>
      <c r="AM238" s="14"/>
      <c r="AN238" s="285"/>
      <c r="AO238" s="13"/>
      <c r="AP238" s="13"/>
      <c r="AQ238" s="14"/>
      <c r="AR238" s="14"/>
      <c r="AS238" s="14"/>
      <c r="AT238" s="14"/>
      <c r="AU238" s="14"/>
      <c r="AV238" s="14"/>
      <c r="AW238" s="14"/>
      <c r="AX238" s="14"/>
      <c r="AY238" s="14"/>
    </row>
    <row r="239" spans="1:51">
      <c r="A239" s="4"/>
      <c r="B239" s="13"/>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285"/>
      <c r="AO239" s="13"/>
      <c r="AP239" s="13"/>
      <c r="AQ239" s="14"/>
      <c r="AR239" s="14"/>
      <c r="AS239" s="14"/>
      <c r="AT239" s="14"/>
      <c r="AU239" s="14"/>
      <c r="AV239" s="14"/>
      <c r="AW239" s="14"/>
      <c r="AX239" s="14"/>
      <c r="AY239" s="14"/>
    </row>
    <row r="240" spans="1:51">
      <c r="A240" s="4" t="s">
        <v>669</v>
      </c>
      <c r="B240" s="13">
        <f t="shared" ref="B240:AB240" si="95">B241+B242</f>
        <v>6662</v>
      </c>
      <c r="C240" s="13">
        <f t="shared" si="95"/>
        <v>7008</v>
      </c>
      <c r="D240" s="13">
        <f t="shared" si="95"/>
        <v>6910</v>
      </c>
      <c r="E240" s="13">
        <f t="shared" si="95"/>
        <v>6841</v>
      </c>
      <c r="F240" s="13">
        <f t="shared" si="95"/>
        <v>6374</v>
      </c>
      <c r="G240" s="13">
        <f t="shared" si="95"/>
        <v>6203</v>
      </c>
      <c r="H240" s="13">
        <f t="shared" si="95"/>
        <v>6180</v>
      </c>
      <c r="I240" s="13">
        <f t="shared" si="95"/>
        <v>6189</v>
      </c>
      <c r="J240" s="13">
        <f t="shared" si="95"/>
        <v>6164</v>
      </c>
      <c r="K240" s="13">
        <f t="shared" si="95"/>
        <v>6156</v>
      </c>
      <c r="L240" s="13">
        <f t="shared" si="95"/>
        <v>6217</v>
      </c>
      <c r="M240" s="13">
        <f t="shared" si="95"/>
        <v>6500</v>
      </c>
      <c r="N240" s="13">
        <f t="shared" si="95"/>
        <v>6684</v>
      </c>
      <c r="O240" s="13">
        <f t="shared" si="95"/>
        <v>2369</v>
      </c>
      <c r="P240" s="13">
        <f t="shared" si="95"/>
        <v>6881</v>
      </c>
      <c r="Q240" s="13">
        <f t="shared" si="95"/>
        <v>7018</v>
      </c>
      <c r="R240" s="13">
        <f t="shared" si="95"/>
        <v>7063</v>
      </c>
      <c r="S240" s="13">
        <f t="shared" si="95"/>
        <v>7453</v>
      </c>
      <c r="T240" s="13">
        <f t="shared" si="95"/>
        <v>7515</v>
      </c>
      <c r="U240" s="13">
        <f t="shared" si="95"/>
        <v>7823</v>
      </c>
      <c r="V240" s="13">
        <f t="shared" si="95"/>
        <v>7476</v>
      </c>
      <c r="W240" s="13">
        <f t="shared" si="95"/>
        <v>7757</v>
      </c>
      <c r="X240" s="13">
        <f t="shared" si="95"/>
        <v>8032</v>
      </c>
      <c r="Y240" s="13">
        <f t="shared" si="95"/>
        <v>8933</v>
      </c>
      <c r="Z240" s="13">
        <f t="shared" si="95"/>
        <v>15978</v>
      </c>
      <c r="AA240" s="13">
        <f t="shared" si="95"/>
        <v>16121</v>
      </c>
      <c r="AB240" s="13">
        <f t="shared" si="95"/>
        <v>17578</v>
      </c>
      <c r="AC240" s="13"/>
      <c r="AD240" s="13"/>
      <c r="AE240" s="13"/>
      <c r="AF240" s="13"/>
      <c r="AG240" s="13"/>
      <c r="AH240" s="13"/>
      <c r="AI240" s="13"/>
      <c r="AJ240" s="13"/>
      <c r="AK240" s="13"/>
      <c r="AL240" s="13"/>
      <c r="AM240" s="13"/>
      <c r="AN240" s="285"/>
      <c r="AO240" s="13"/>
      <c r="AP240" s="13"/>
      <c r="AQ240" s="14"/>
      <c r="AR240" s="13"/>
      <c r="AS240" s="13">
        <f>AS241+AS242</f>
        <v>6500</v>
      </c>
      <c r="AT240" s="13">
        <f>AT241+AT242</f>
        <v>7018</v>
      </c>
      <c r="AU240" s="13">
        <f>AU241+AU242</f>
        <v>7823</v>
      </c>
      <c r="AV240" s="13">
        <f>AV241+AV242</f>
        <v>8933</v>
      </c>
      <c r="AW240" s="13"/>
      <c r="AX240" s="13"/>
      <c r="AY240" s="13"/>
    </row>
    <row r="241" spans="1:51">
      <c r="A241" s="258" t="s">
        <v>667</v>
      </c>
      <c r="B241" s="13">
        <v>6662</v>
      </c>
      <c r="C241" s="14">
        <v>7008</v>
      </c>
      <c r="D241" s="14">
        <v>6910</v>
      </c>
      <c r="E241" s="14">
        <v>6841</v>
      </c>
      <c r="F241" s="14">
        <v>6374</v>
      </c>
      <c r="G241" s="14">
        <v>6203</v>
      </c>
      <c r="H241" s="14">
        <v>6180</v>
      </c>
      <c r="I241" s="14">
        <v>6189</v>
      </c>
      <c r="J241" s="14">
        <v>6164</v>
      </c>
      <c r="K241" s="14">
        <v>6156</v>
      </c>
      <c r="L241" s="14">
        <v>6217</v>
      </c>
      <c r="M241" s="14">
        <v>6500</v>
      </c>
      <c r="N241" s="14">
        <v>6684</v>
      </c>
      <c r="O241" s="14">
        <v>2369</v>
      </c>
      <c r="P241" s="14">
        <v>6881</v>
      </c>
      <c r="Q241" s="14">
        <v>7018</v>
      </c>
      <c r="R241" s="14">
        <v>7063</v>
      </c>
      <c r="S241" s="14">
        <v>7453</v>
      </c>
      <c r="T241" s="14">
        <v>7515</v>
      </c>
      <c r="U241" s="14">
        <v>7823</v>
      </c>
      <c r="V241" s="14">
        <v>7476</v>
      </c>
      <c r="W241" s="14">
        <v>7264</v>
      </c>
      <c r="X241" s="14">
        <v>7612</v>
      </c>
      <c r="Y241" s="14">
        <v>8933</v>
      </c>
      <c r="Z241" s="14">
        <v>8889</v>
      </c>
      <c r="AA241" s="14">
        <v>9615</v>
      </c>
      <c r="AB241" s="14">
        <v>10800</v>
      </c>
      <c r="AC241" s="14"/>
      <c r="AD241" s="14"/>
      <c r="AE241" s="14"/>
      <c r="AF241" s="14"/>
      <c r="AG241" s="14"/>
      <c r="AH241" s="14"/>
      <c r="AI241" s="14"/>
      <c r="AJ241" s="14"/>
      <c r="AK241" s="14"/>
      <c r="AL241" s="14"/>
      <c r="AM241" s="14"/>
      <c r="AN241" s="285"/>
      <c r="AO241" s="13"/>
      <c r="AP241" s="13"/>
      <c r="AQ241" s="14"/>
      <c r="AR241" s="14"/>
      <c r="AS241" s="14">
        <v>6500</v>
      </c>
      <c r="AT241" s="14">
        <v>7018</v>
      </c>
      <c r="AU241" s="14">
        <v>7823</v>
      </c>
      <c r="AV241" s="14">
        <v>8933</v>
      </c>
      <c r="AW241" s="14"/>
      <c r="AX241" s="14"/>
      <c r="AY241" s="14"/>
    </row>
    <row r="242" spans="1:51">
      <c r="A242" s="258" t="s">
        <v>668</v>
      </c>
      <c r="B242" s="13"/>
      <c r="C242" s="14"/>
      <c r="D242" s="14"/>
      <c r="E242" s="14"/>
      <c r="F242" s="14"/>
      <c r="G242" s="14"/>
      <c r="H242" s="14"/>
      <c r="I242" s="14"/>
      <c r="J242" s="14"/>
      <c r="K242" s="14"/>
      <c r="L242" s="14"/>
      <c r="M242" s="14"/>
      <c r="N242" s="14"/>
      <c r="O242" s="14"/>
      <c r="P242" s="14"/>
      <c r="Q242" s="14"/>
      <c r="R242" s="14"/>
      <c r="S242" s="14"/>
      <c r="T242" s="14"/>
      <c r="U242" s="14"/>
      <c r="V242" s="14"/>
      <c r="W242" s="14">
        <v>493</v>
      </c>
      <c r="X242" s="14">
        <v>420</v>
      </c>
      <c r="Y242" s="14"/>
      <c r="Z242" s="14">
        <v>7089</v>
      </c>
      <c r="AA242" s="14">
        <v>6506</v>
      </c>
      <c r="AB242" s="14">
        <v>6778</v>
      </c>
      <c r="AC242" s="14"/>
      <c r="AD242" s="14"/>
      <c r="AE242" s="14"/>
      <c r="AF242" s="14"/>
      <c r="AG242" s="14"/>
      <c r="AH242" s="14"/>
      <c r="AI242" s="14"/>
      <c r="AJ242" s="14"/>
      <c r="AK242" s="14"/>
      <c r="AL242" s="14"/>
      <c r="AM242" s="14"/>
      <c r="AN242" s="285"/>
      <c r="AO242" s="13"/>
      <c r="AP242" s="13"/>
      <c r="AQ242" s="14"/>
      <c r="AR242" s="14"/>
      <c r="AS242" s="14"/>
      <c r="AT242" s="14"/>
      <c r="AU242" s="14"/>
      <c r="AV242" s="14"/>
      <c r="AW242" s="14"/>
      <c r="AX242" s="14"/>
      <c r="AY242" s="14"/>
    </row>
    <row r="243" spans="1:51">
      <c r="A243" s="258"/>
      <c r="B243" s="13"/>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285"/>
      <c r="AO243" s="13"/>
      <c r="AP243" s="13"/>
      <c r="AQ243" s="14"/>
      <c r="AR243" s="14"/>
      <c r="AS243" s="14"/>
      <c r="AT243" s="14"/>
      <c r="AU243" s="14"/>
      <c r="AV243" s="14"/>
      <c r="AW243" s="14"/>
      <c r="AX243" s="14"/>
      <c r="AY243" s="14"/>
    </row>
    <row r="244" spans="1:51">
      <c r="A244" s="258" t="s">
        <v>670</v>
      </c>
      <c r="B244" s="13"/>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f t="shared" ref="AE244:AL244" si="96">AE246-AD246</f>
        <v>-266</v>
      </c>
      <c r="AF244" s="14">
        <f t="shared" si="96"/>
        <v>-348</v>
      </c>
      <c r="AG244" s="14">
        <f t="shared" si="96"/>
        <v>201</v>
      </c>
      <c r="AH244" s="14">
        <f t="shared" si="96"/>
        <v>302</v>
      </c>
      <c r="AI244" s="14">
        <f t="shared" si="96"/>
        <v>90</v>
      </c>
      <c r="AJ244" s="14">
        <f t="shared" si="96"/>
        <v>185</v>
      </c>
      <c r="AK244" s="14">
        <f t="shared" si="96"/>
        <v>103</v>
      </c>
      <c r="AL244" s="14">
        <f t="shared" si="96"/>
        <v>804</v>
      </c>
      <c r="AM244" s="14">
        <f>AM246-AL246</f>
        <v>431</v>
      </c>
      <c r="AN244" s="285"/>
      <c r="AO244" s="13"/>
      <c r="AP244" s="13"/>
      <c r="AQ244" s="14"/>
      <c r="AR244" s="14"/>
      <c r="AS244" s="14"/>
      <c r="AT244" s="14"/>
      <c r="AU244" s="14"/>
      <c r="AV244" s="14"/>
      <c r="AW244" s="14"/>
      <c r="AX244" s="14"/>
      <c r="AY244" s="14"/>
    </row>
    <row r="245" spans="1:51">
      <c r="A245" s="366" t="s">
        <v>671</v>
      </c>
      <c r="B245" s="13"/>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f t="shared" ref="Z245:AA246" si="97">Z237+Z241</f>
        <v>12221</v>
      </c>
      <c r="AA245" s="14">
        <f t="shared" si="97"/>
        <v>13035</v>
      </c>
      <c r="AB245" s="14">
        <f>AB237+AB241</f>
        <v>14122</v>
      </c>
      <c r="AC245" s="14">
        <v>14903</v>
      </c>
      <c r="AD245" s="14">
        <v>15448</v>
      </c>
      <c r="AE245" s="14">
        <v>15912</v>
      </c>
      <c r="AF245" s="14">
        <v>15721</v>
      </c>
      <c r="AG245" s="14">
        <v>16182</v>
      </c>
      <c r="AH245" s="14">
        <v>16827</v>
      </c>
      <c r="AI245" s="14">
        <v>17106</v>
      </c>
      <c r="AJ245" s="14">
        <v>16897</v>
      </c>
      <c r="AK245" s="14">
        <v>16930</v>
      </c>
      <c r="AL245" s="14">
        <v>17920</v>
      </c>
      <c r="AM245" s="14">
        <v>18912</v>
      </c>
      <c r="AN245" s="285"/>
      <c r="AO245" s="13"/>
      <c r="AP245" s="13"/>
      <c r="AQ245" s="14"/>
      <c r="AR245" s="14"/>
      <c r="AS245" s="14"/>
      <c r="AT245" s="14"/>
      <c r="AU245" s="14"/>
      <c r="AV245" s="14"/>
      <c r="AW245" s="14">
        <v>14903</v>
      </c>
      <c r="AX245" s="14">
        <v>16182</v>
      </c>
      <c r="AY245" s="14">
        <v>16930</v>
      </c>
    </row>
    <row r="246" spans="1:51">
      <c r="A246" s="366" t="s">
        <v>672</v>
      </c>
      <c r="B246" s="13"/>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f t="shared" si="97"/>
        <v>7118</v>
      </c>
      <c r="AA246" s="14">
        <f t="shared" si="97"/>
        <v>6544</v>
      </c>
      <c r="AB246" s="14">
        <f>AB238+AB242</f>
        <v>6816</v>
      </c>
      <c r="AC246" s="14">
        <v>6391</v>
      </c>
      <c r="AD246" s="14">
        <v>6046</v>
      </c>
      <c r="AE246" s="14">
        <v>5780</v>
      </c>
      <c r="AF246" s="14">
        <v>5432</v>
      </c>
      <c r="AG246" s="14">
        <v>5633</v>
      </c>
      <c r="AH246" s="14">
        <v>5935</v>
      </c>
      <c r="AI246" s="14">
        <v>6025</v>
      </c>
      <c r="AJ246" s="14">
        <v>6210</v>
      </c>
      <c r="AK246" s="14">
        <v>6313</v>
      </c>
      <c r="AL246" s="14">
        <v>7117</v>
      </c>
      <c r="AM246" s="14">
        <v>7548</v>
      </c>
      <c r="AN246" s="285"/>
      <c r="AO246" s="13"/>
      <c r="AP246" s="13"/>
      <c r="AQ246" s="14"/>
      <c r="AR246" s="14"/>
      <c r="AS246" s="14"/>
      <c r="AT246" s="14"/>
      <c r="AU246" s="14"/>
      <c r="AV246" s="14"/>
      <c r="AW246" s="14">
        <v>6391</v>
      </c>
      <c r="AX246" s="14">
        <v>5633</v>
      </c>
      <c r="AY246" s="14">
        <v>6313</v>
      </c>
    </row>
    <row r="247" spans="1:51">
      <c r="A247" s="258"/>
      <c r="B247" s="13"/>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575"/>
      <c r="AG247" s="327"/>
      <c r="AH247" s="327"/>
      <c r="AI247" s="327"/>
      <c r="AL247" s="327">
        <f>AL246/AH246-1</f>
        <v>0.19915754001684927</v>
      </c>
      <c r="AM247" s="327">
        <f>AM246/AI246-1</f>
        <v>0.25278008298755195</v>
      </c>
      <c r="AN247" s="285"/>
      <c r="AO247" s="13"/>
      <c r="AP247" s="13"/>
      <c r="AQ247" s="14"/>
      <c r="AR247" s="14"/>
      <c r="AS247" s="14"/>
      <c r="AT247" s="14"/>
      <c r="AU247" s="14"/>
      <c r="AV247" s="14"/>
      <c r="AW247" s="14"/>
      <c r="AX247" s="14"/>
      <c r="AY247" s="14"/>
    </row>
    <row r="248" spans="1:51">
      <c r="A248" s="258" t="s">
        <v>673</v>
      </c>
      <c r="B248" s="13"/>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22">
        <f t="shared" ref="AA248:AM249" si="98">AA245-Z245</f>
        <v>814</v>
      </c>
      <c r="AB248" s="122">
        <f t="shared" si="98"/>
        <v>1087</v>
      </c>
      <c r="AC248" s="122">
        <f t="shared" si="98"/>
        <v>781</v>
      </c>
      <c r="AD248" s="122">
        <f t="shared" si="98"/>
        <v>545</v>
      </c>
      <c r="AE248" s="122">
        <f t="shared" si="98"/>
        <v>464</v>
      </c>
      <c r="AF248" s="122">
        <f t="shared" si="98"/>
        <v>-191</v>
      </c>
      <c r="AG248" s="122">
        <f t="shared" si="98"/>
        <v>461</v>
      </c>
      <c r="AH248" s="122">
        <f t="shared" si="98"/>
        <v>645</v>
      </c>
      <c r="AI248" s="122">
        <f t="shared" si="98"/>
        <v>279</v>
      </c>
      <c r="AJ248" s="122">
        <f t="shared" si="98"/>
        <v>-209</v>
      </c>
      <c r="AK248" s="122">
        <f t="shared" si="98"/>
        <v>33</v>
      </c>
      <c r="AL248" s="122">
        <f t="shared" si="98"/>
        <v>990</v>
      </c>
      <c r="AM248" s="122">
        <f t="shared" si="98"/>
        <v>992</v>
      </c>
      <c r="AN248" s="285"/>
      <c r="AO248" s="13"/>
      <c r="AP248" s="13"/>
      <c r="AQ248" s="14"/>
      <c r="AR248" s="14"/>
      <c r="AS248" s="14"/>
      <c r="AT248" s="14"/>
      <c r="AU248" s="14"/>
      <c r="AV248" s="14"/>
      <c r="AW248" s="14"/>
      <c r="AX248" s="14"/>
      <c r="AY248" s="14"/>
    </row>
    <row r="249" spans="1:51">
      <c r="A249" s="258" t="s">
        <v>674</v>
      </c>
      <c r="B249" s="13"/>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22">
        <f t="shared" si="98"/>
        <v>-574</v>
      </c>
      <c r="AB249" s="122">
        <f t="shared" si="98"/>
        <v>272</v>
      </c>
      <c r="AC249" s="122">
        <f t="shared" si="98"/>
        <v>-425</v>
      </c>
      <c r="AD249" s="122">
        <f t="shared" si="98"/>
        <v>-345</v>
      </c>
      <c r="AE249" s="122">
        <f t="shared" si="98"/>
        <v>-266</v>
      </c>
      <c r="AF249" s="122">
        <f t="shared" si="98"/>
        <v>-348</v>
      </c>
      <c r="AG249" s="122">
        <f t="shared" si="98"/>
        <v>201</v>
      </c>
      <c r="AH249" s="122">
        <f t="shared" si="98"/>
        <v>302</v>
      </c>
      <c r="AI249" s="122">
        <f t="shared" si="98"/>
        <v>90</v>
      </c>
      <c r="AJ249" s="122">
        <f t="shared" si="98"/>
        <v>185</v>
      </c>
      <c r="AK249" s="122">
        <f t="shared" si="98"/>
        <v>103</v>
      </c>
      <c r="AL249" s="608">
        <f t="shared" si="98"/>
        <v>804</v>
      </c>
      <c r="AM249" s="608">
        <f>AM246-AL246</f>
        <v>431</v>
      </c>
      <c r="AN249" s="285"/>
      <c r="AO249" s="13"/>
      <c r="AP249" s="13"/>
      <c r="AQ249" s="14"/>
      <c r="AR249" s="14"/>
      <c r="AS249" s="14"/>
      <c r="AT249" s="14"/>
      <c r="AU249" s="14"/>
      <c r="AV249" s="14"/>
      <c r="AW249" s="14"/>
      <c r="AX249" s="14"/>
      <c r="AY249" s="14"/>
    </row>
    <row r="250" spans="1:51">
      <c r="A250" s="258"/>
      <c r="B250" s="13"/>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575"/>
      <c r="AG250" s="327"/>
      <c r="AH250" s="327"/>
      <c r="AI250" s="327"/>
      <c r="AJ250" s="327"/>
      <c r="AK250" s="327"/>
      <c r="AL250" s="327"/>
      <c r="AM250" s="327"/>
      <c r="AN250" s="285"/>
      <c r="AO250" s="13"/>
      <c r="AP250" s="13"/>
      <c r="AQ250" s="14"/>
      <c r="AR250" s="14"/>
      <c r="AS250" s="14"/>
      <c r="AT250" s="14"/>
      <c r="AU250" s="14"/>
      <c r="AV250" s="14"/>
      <c r="AW250" s="14"/>
      <c r="AX250" s="14"/>
      <c r="AY250" s="14"/>
    </row>
    <row r="251" spans="1:51">
      <c r="A251" s="4" t="s">
        <v>675</v>
      </c>
      <c r="B251" s="13">
        <f t="shared" ref="B251:Y251" si="99">B240+B236</f>
        <v>8517</v>
      </c>
      <c r="C251" s="13">
        <f t="shared" si="99"/>
        <v>8853</v>
      </c>
      <c r="D251" s="13">
        <f t="shared" si="99"/>
        <v>8784</v>
      </c>
      <c r="E251" s="13">
        <f t="shared" si="99"/>
        <v>8743</v>
      </c>
      <c r="F251" s="13">
        <f t="shared" si="99"/>
        <v>8275</v>
      </c>
      <c r="G251" s="13">
        <f t="shared" si="99"/>
        <v>8109</v>
      </c>
      <c r="H251" s="13">
        <f t="shared" si="99"/>
        <v>8037</v>
      </c>
      <c r="I251" s="13">
        <f t="shared" si="99"/>
        <v>8066</v>
      </c>
      <c r="J251" s="13">
        <f t="shared" si="99"/>
        <v>8148</v>
      </c>
      <c r="K251" s="13">
        <f t="shared" si="99"/>
        <v>8196</v>
      </c>
      <c r="L251" s="13">
        <f t="shared" si="99"/>
        <v>8235</v>
      </c>
      <c r="M251" s="13">
        <f t="shared" si="99"/>
        <v>8588</v>
      </c>
      <c r="N251" s="13">
        <f t="shared" si="99"/>
        <v>8901</v>
      </c>
      <c r="O251" s="13">
        <f t="shared" si="99"/>
        <v>4738</v>
      </c>
      <c r="P251" s="13">
        <f t="shared" si="99"/>
        <v>9289</v>
      </c>
      <c r="Q251" s="13">
        <f t="shared" si="99"/>
        <v>9363</v>
      </c>
      <c r="R251" s="13">
        <f t="shared" si="99"/>
        <v>9492</v>
      </c>
      <c r="S251" s="13">
        <f t="shared" si="99"/>
        <v>9921</v>
      </c>
      <c r="T251" s="13">
        <f t="shared" si="99"/>
        <v>9966</v>
      </c>
      <c r="U251" s="13">
        <f t="shared" si="99"/>
        <v>10274</v>
      </c>
      <c r="V251" s="13">
        <f t="shared" si="99"/>
        <v>9736</v>
      </c>
      <c r="W251" s="13">
        <f t="shared" si="99"/>
        <v>10281</v>
      </c>
      <c r="X251" s="13">
        <f t="shared" si="99"/>
        <v>10538</v>
      </c>
      <c r="Y251" s="13">
        <f t="shared" si="99"/>
        <v>11469</v>
      </c>
      <c r="Z251" s="13">
        <f>Z240+Z236</f>
        <v>19339</v>
      </c>
      <c r="AA251" s="13">
        <f>AA240+AA236</f>
        <v>19579</v>
      </c>
      <c r="AB251" s="13">
        <f>AB240+AB236</f>
        <v>20938</v>
      </c>
      <c r="AC251" s="13">
        <f t="shared" ref="AC251:AH251" si="100">AC245+AC246</f>
        <v>21294</v>
      </c>
      <c r="AD251" s="13">
        <f t="shared" si="100"/>
        <v>21494</v>
      </c>
      <c r="AE251" s="13">
        <f t="shared" si="100"/>
        <v>21692</v>
      </c>
      <c r="AF251" s="13">
        <f t="shared" si="100"/>
        <v>21153</v>
      </c>
      <c r="AG251" s="13">
        <f>AG245+AG246</f>
        <v>21815</v>
      </c>
      <c r="AH251" s="13">
        <f t="shared" si="100"/>
        <v>22762</v>
      </c>
      <c r="AI251" s="13">
        <f>AI245+AI246</f>
        <v>23131</v>
      </c>
      <c r="AJ251" s="13">
        <f>AJ245+AJ246</f>
        <v>23107</v>
      </c>
      <c r="AK251" s="13">
        <f>AK245+AK246</f>
        <v>23243</v>
      </c>
      <c r="AL251" s="13">
        <f t="shared" ref="AL251" si="101">AL245+AL246</f>
        <v>25037</v>
      </c>
      <c r="AM251" s="13">
        <f>AM245+AM246</f>
        <v>26460</v>
      </c>
      <c r="AN251" s="285"/>
      <c r="AO251" s="13"/>
      <c r="AP251" s="13"/>
      <c r="AQ251" s="14"/>
      <c r="AR251" s="13"/>
      <c r="AS251" s="13">
        <f>AS240+AS236</f>
        <v>8588</v>
      </c>
      <c r="AT251" s="13">
        <f>AT240+AT236</f>
        <v>9363</v>
      </c>
      <c r="AU251" s="13">
        <f>AU240+AU236</f>
        <v>10274</v>
      </c>
      <c r="AV251" s="13">
        <f>AV240+AV236</f>
        <v>11469</v>
      </c>
      <c r="AW251" s="13">
        <f>AW245+AW246</f>
        <v>21294</v>
      </c>
      <c r="AX251" s="13">
        <f t="shared" ref="AX251:AY251" si="102">AX245+AX246</f>
        <v>21815</v>
      </c>
      <c r="AY251" s="13">
        <f t="shared" si="102"/>
        <v>23243</v>
      </c>
    </row>
    <row r="252" spans="1:51">
      <c r="A252" s="4" t="s">
        <v>312</v>
      </c>
      <c r="B252" s="13">
        <f>139+65</f>
        <v>204</v>
      </c>
      <c r="C252" s="14">
        <f>144+68</f>
        <v>212</v>
      </c>
      <c r="D252" s="14">
        <f>136+63</f>
        <v>199</v>
      </c>
      <c r="E252" s="14">
        <f>127+72</f>
        <v>199</v>
      </c>
      <c r="F252" s="14">
        <f>72+132</f>
        <v>204</v>
      </c>
      <c r="G252" s="14">
        <f>141+76</f>
        <v>217</v>
      </c>
      <c r="H252" s="14">
        <f>139+82</f>
        <v>221</v>
      </c>
      <c r="I252" s="14">
        <f>133+81</f>
        <v>214</v>
      </c>
      <c r="J252" s="14">
        <f>137+85</f>
        <v>222</v>
      </c>
      <c r="K252" s="14">
        <f>135+85</f>
        <v>220</v>
      </c>
      <c r="L252" s="14">
        <f>147+85</f>
        <v>232</v>
      </c>
      <c r="M252" s="14">
        <f>145+85</f>
        <v>230</v>
      </c>
      <c r="N252" s="14">
        <f>131+90</f>
        <v>221</v>
      </c>
      <c r="O252" s="14">
        <f>123+94</f>
        <v>217</v>
      </c>
      <c r="P252" s="14">
        <f>114+94</f>
        <v>208</v>
      </c>
      <c r="Q252" s="14">
        <f>122+89</f>
        <v>211</v>
      </c>
      <c r="R252" s="14">
        <v>141</v>
      </c>
      <c r="S252" s="14">
        <v>185</v>
      </c>
      <c r="T252" s="14">
        <v>185</v>
      </c>
      <c r="U252" s="13">
        <v>170</v>
      </c>
      <c r="V252" s="14">
        <v>184</v>
      </c>
      <c r="W252" s="14">
        <v>191</v>
      </c>
      <c r="X252" s="14">
        <v>189</v>
      </c>
      <c r="Y252" s="14">
        <v>188</v>
      </c>
      <c r="Z252" s="14">
        <v>258</v>
      </c>
      <c r="AA252" s="14">
        <v>297</v>
      </c>
      <c r="AB252" s="14">
        <v>281</v>
      </c>
      <c r="AC252" s="14">
        <v>278</v>
      </c>
      <c r="AD252" s="14">
        <v>285</v>
      </c>
      <c r="AE252" s="14">
        <v>291</v>
      </c>
      <c r="AF252" s="14">
        <v>317</v>
      </c>
      <c r="AG252" s="14">
        <v>350</v>
      </c>
      <c r="AH252" s="14">
        <v>363</v>
      </c>
      <c r="AI252" s="14">
        <v>360</v>
      </c>
      <c r="AJ252" s="14">
        <v>368</v>
      </c>
      <c r="AK252" s="14">
        <v>388</v>
      </c>
      <c r="AL252" s="14">
        <v>442</v>
      </c>
      <c r="AM252" s="14">
        <v>443</v>
      </c>
      <c r="AN252" s="285"/>
      <c r="AO252" s="13"/>
      <c r="AP252" s="13"/>
      <c r="AQ252" s="14"/>
      <c r="AR252" s="14"/>
      <c r="AS252" s="14">
        <f>145+85</f>
        <v>230</v>
      </c>
      <c r="AT252" s="14">
        <f>122+89</f>
        <v>211</v>
      </c>
      <c r="AU252" s="13">
        <v>170</v>
      </c>
      <c r="AV252" s="14">
        <v>188</v>
      </c>
      <c r="AW252" s="14">
        <v>278</v>
      </c>
      <c r="AX252" s="14">
        <v>350</v>
      </c>
      <c r="AY252" s="14">
        <v>388</v>
      </c>
    </row>
    <row r="253" spans="1:51">
      <c r="A253" s="4" t="s">
        <v>85</v>
      </c>
      <c r="B253" s="13">
        <f t="shared" ref="B253:AB253" si="103">B229-B251-B252</f>
        <v>507</v>
      </c>
      <c r="C253" s="13">
        <f t="shared" si="103"/>
        <v>527</v>
      </c>
      <c r="D253" s="13">
        <f t="shared" si="103"/>
        <v>534</v>
      </c>
      <c r="E253" s="13">
        <f t="shared" si="103"/>
        <v>534</v>
      </c>
      <c r="F253" s="13">
        <f t="shared" si="103"/>
        <v>543</v>
      </c>
      <c r="G253" s="13">
        <f t="shared" si="103"/>
        <v>542</v>
      </c>
      <c r="H253" s="13">
        <f t="shared" si="103"/>
        <v>551</v>
      </c>
      <c r="I253" s="13">
        <f t="shared" si="103"/>
        <v>573</v>
      </c>
      <c r="J253" s="13">
        <f t="shared" si="103"/>
        <v>593</v>
      </c>
      <c r="K253" s="13">
        <f t="shared" si="103"/>
        <v>606</v>
      </c>
      <c r="L253" s="13">
        <f t="shared" si="103"/>
        <v>614</v>
      </c>
      <c r="M253" s="13">
        <f t="shared" si="103"/>
        <v>605</v>
      </c>
      <c r="N253" s="13">
        <f t="shared" si="103"/>
        <v>642</v>
      </c>
      <c r="O253" s="13">
        <f t="shared" si="103"/>
        <v>5070</v>
      </c>
      <c r="P253" s="13">
        <f t="shared" si="103"/>
        <v>647</v>
      </c>
      <c r="Q253" s="13">
        <f t="shared" si="103"/>
        <v>689</v>
      </c>
      <c r="R253" s="13">
        <f t="shared" si="103"/>
        <v>664</v>
      </c>
      <c r="S253" s="13">
        <f t="shared" si="103"/>
        <v>694</v>
      </c>
      <c r="T253" s="13">
        <f t="shared" si="103"/>
        <v>698</v>
      </c>
      <c r="U253" s="13">
        <f t="shared" si="103"/>
        <v>712</v>
      </c>
      <c r="V253" s="13">
        <f t="shared" si="103"/>
        <v>678</v>
      </c>
      <c r="W253" s="13">
        <f t="shared" si="103"/>
        <v>690</v>
      </c>
      <c r="X253" s="13">
        <f t="shared" si="103"/>
        <v>697</v>
      </c>
      <c r="Y253" s="13">
        <f t="shared" si="103"/>
        <v>734</v>
      </c>
      <c r="Z253" s="14">
        <f t="shared" si="103"/>
        <v>894</v>
      </c>
      <c r="AA253" s="14">
        <f t="shared" si="103"/>
        <v>910</v>
      </c>
      <c r="AB253" s="14">
        <f t="shared" si="103"/>
        <v>911</v>
      </c>
      <c r="AC253" s="14">
        <v>928</v>
      </c>
      <c r="AD253" s="14">
        <v>963</v>
      </c>
      <c r="AE253" s="14">
        <v>1008</v>
      </c>
      <c r="AF253" s="14">
        <v>1035</v>
      </c>
      <c r="AG253" s="14">
        <v>1059</v>
      </c>
      <c r="AH253" s="14">
        <v>1099</v>
      </c>
      <c r="AI253" s="14">
        <v>1147</v>
      </c>
      <c r="AJ253" s="14">
        <v>1132</v>
      </c>
      <c r="AK253" s="14">
        <v>1095</v>
      </c>
      <c r="AL253" s="14">
        <v>1133</v>
      </c>
      <c r="AM253" s="14">
        <v>1150</v>
      </c>
      <c r="AN253" s="285"/>
      <c r="AO253" s="13"/>
      <c r="AP253" s="13"/>
      <c r="AQ253" s="14"/>
      <c r="AR253" s="13"/>
      <c r="AS253" s="13">
        <f>AS229-AS251-AS252</f>
        <v>605</v>
      </c>
      <c r="AT253" s="13">
        <f>AT229-AT251-AT252</f>
        <v>689</v>
      </c>
      <c r="AU253" s="13">
        <f>AU229-AU251-AU252</f>
        <v>712</v>
      </c>
      <c r="AV253" s="13">
        <f>AV229-AV251-AV252</f>
        <v>734</v>
      </c>
      <c r="AW253" s="13">
        <v>928</v>
      </c>
      <c r="AX253" s="13">
        <v>1059</v>
      </c>
      <c r="AY253" s="13">
        <v>1095</v>
      </c>
    </row>
    <row r="254" spans="1:51">
      <c r="A254" s="4"/>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285"/>
      <c r="AO254" s="13"/>
      <c r="AP254" s="13"/>
      <c r="AQ254" s="14"/>
      <c r="AR254" s="13"/>
      <c r="AS254" s="13"/>
      <c r="AT254" s="13"/>
      <c r="AU254" s="13"/>
      <c r="AV254" s="13"/>
      <c r="AW254" s="13"/>
      <c r="AX254" s="13"/>
      <c r="AY254" s="13"/>
    </row>
    <row r="255" spans="1:51">
      <c r="A255" s="4" t="s">
        <v>676</v>
      </c>
      <c r="B255" s="13">
        <v>139</v>
      </c>
      <c r="C255" s="13">
        <v>144</v>
      </c>
      <c r="D255" s="13">
        <v>136</v>
      </c>
      <c r="E255" s="13">
        <v>127</v>
      </c>
      <c r="F255" s="13">
        <v>132</v>
      </c>
      <c r="G255" s="13">
        <v>141</v>
      </c>
      <c r="H255" s="13">
        <v>139</v>
      </c>
      <c r="I255" s="13">
        <v>133</v>
      </c>
      <c r="J255" s="13">
        <v>137</v>
      </c>
      <c r="K255" s="13">
        <v>135</v>
      </c>
      <c r="L255" s="13">
        <v>147</v>
      </c>
      <c r="M255" s="13">
        <v>145</v>
      </c>
      <c r="N255" s="13">
        <v>131</v>
      </c>
      <c r="O255" s="13">
        <v>123</v>
      </c>
      <c r="P255" s="13">
        <v>114</v>
      </c>
      <c r="Q255" s="13">
        <v>122</v>
      </c>
      <c r="R255" s="14">
        <v>141</v>
      </c>
      <c r="S255" s="14">
        <v>185</v>
      </c>
      <c r="T255" s="14">
        <v>185</v>
      </c>
      <c r="U255" s="13">
        <v>170</v>
      </c>
      <c r="V255" s="14">
        <v>184</v>
      </c>
      <c r="W255" s="14">
        <v>191</v>
      </c>
      <c r="X255" s="14">
        <v>189</v>
      </c>
      <c r="Y255" s="14">
        <v>188</v>
      </c>
      <c r="Z255" s="14">
        <v>258</v>
      </c>
      <c r="AA255" s="14">
        <v>297</v>
      </c>
      <c r="AB255" s="13">
        <f t="shared" ref="AB255:AH255" si="104">AB252</f>
        <v>281</v>
      </c>
      <c r="AC255" s="13">
        <f t="shared" si="104"/>
        <v>278</v>
      </c>
      <c r="AD255" s="13">
        <f t="shared" si="104"/>
        <v>285</v>
      </c>
      <c r="AE255" s="13">
        <f t="shared" si="104"/>
        <v>291</v>
      </c>
      <c r="AF255" s="13">
        <f t="shared" si="104"/>
        <v>317</v>
      </c>
      <c r="AG255" s="13">
        <f t="shared" si="104"/>
        <v>350</v>
      </c>
      <c r="AH255" s="13">
        <f t="shared" si="104"/>
        <v>363</v>
      </c>
      <c r="AI255" s="13">
        <f>AI252</f>
        <v>360</v>
      </c>
      <c r="AJ255" s="13">
        <f t="shared" ref="AJ255:AM255" si="105">AJ252</f>
        <v>368</v>
      </c>
      <c r="AK255" s="13">
        <f t="shared" si="105"/>
        <v>388</v>
      </c>
      <c r="AL255" s="13">
        <f t="shared" si="105"/>
        <v>442</v>
      </c>
      <c r="AM255" s="13">
        <f t="shared" si="105"/>
        <v>443</v>
      </c>
      <c r="AN255" s="285"/>
      <c r="AO255" s="13"/>
      <c r="AP255" s="13"/>
      <c r="AQ255" s="14"/>
      <c r="AR255" s="13"/>
      <c r="AS255" s="13">
        <v>145</v>
      </c>
      <c r="AT255" s="13">
        <v>122</v>
      </c>
      <c r="AU255" s="13">
        <v>170</v>
      </c>
      <c r="AV255" s="14">
        <v>188</v>
      </c>
      <c r="AW255" s="14">
        <v>278</v>
      </c>
      <c r="AX255" s="14">
        <v>350</v>
      </c>
      <c r="AY255" s="14">
        <v>388</v>
      </c>
    </row>
    <row r="256" spans="1:51">
      <c r="A256" s="4"/>
      <c r="B256" s="13"/>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285"/>
      <c r="AO256" s="13"/>
      <c r="AP256" s="13"/>
      <c r="AQ256" s="14"/>
      <c r="AR256" s="14"/>
      <c r="AS256" s="14"/>
      <c r="AT256" s="14"/>
      <c r="AU256" s="14"/>
      <c r="AV256" s="14"/>
      <c r="AW256" s="14"/>
      <c r="AX256" s="14"/>
      <c r="AY256" s="14"/>
    </row>
    <row r="257" spans="1:51">
      <c r="A257" s="4" t="s">
        <v>677</v>
      </c>
      <c r="B257" s="259"/>
      <c r="C257" s="262"/>
      <c r="D257" s="262"/>
      <c r="E257" s="262"/>
      <c r="F257" s="262"/>
      <c r="G257" s="262"/>
      <c r="H257" s="262"/>
      <c r="I257" s="262">
        <v>81</v>
      </c>
      <c r="J257" s="262"/>
      <c r="K257" s="262"/>
      <c r="L257" s="262"/>
      <c r="M257" s="262">
        <v>79.5</v>
      </c>
      <c r="N257" s="262"/>
      <c r="O257" s="262"/>
      <c r="P257" s="262"/>
      <c r="Q257" s="262">
        <v>79.3</v>
      </c>
      <c r="R257" s="262">
        <v>80.5</v>
      </c>
      <c r="S257" s="262">
        <v>80.7</v>
      </c>
      <c r="T257" s="262">
        <v>79.3</v>
      </c>
      <c r="U257" s="262">
        <v>78.099999999999994</v>
      </c>
      <c r="V257" s="262">
        <v>77</v>
      </c>
      <c r="W257" s="262">
        <v>81</v>
      </c>
      <c r="X257" s="262">
        <v>78.900000000000006</v>
      </c>
      <c r="Y257" s="262">
        <v>81</v>
      </c>
      <c r="Z257" s="262">
        <v>77</v>
      </c>
      <c r="AA257" s="262">
        <v>78.5</v>
      </c>
      <c r="AB257" s="262">
        <v>77.100000000000009</v>
      </c>
      <c r="AC257" s="262">
        <v>76.099999999999994</v>
      </c>
      <c r="AD257" s="262">
        <v>76.2</v>
      </c>
      <c r="AE257" s="262">
        <v>77.3</v>
      </c>
      <c r="AF257" s="262">
        <v>80.3</v>
      </c>
      <c r="AG257" s="262">
        <v>81.5</v>
      </c>
      <c r="AH257" s="262">
        <v>81</v>
      </c>
      <c r="AI257" s="262">
        <v>80</v>
      </c>
      <c r="AJ257" s="262">
        <v>79.400000000000006</v>
      </c>
      <c r="AK257" s="262">
        <v>81.7</v>
      </c>
      <c r="AL257" s="262">
        <v>81.599999999999994</v>
      </c>
      <c r="AM257" s="509">
        <v>81.7</v>
      </c>
      <c r="AN257" s="306"/>
      <c r="AO257" s="259"/>
      <c r="AP257" s="12"/>
      <c r="AQ257" s="12"/>
      <c r="AR257" s="262"/>
      <c r="AS257" s="262">
        <v>79.5</v>
      </c>
      <c r="AT257" s="262">
        <v>79.3</v>
      </c>
      <c r="AU257" s="262">
        <v>78.099999999999994</v>
      </c>
      <c r="AV257" s="262">
        <v>81</v>
      </c>
      <c r="AW257" s="262">
        <v>77.099999999999994</v>
      </c>
      <c r="AX257" s="262">
        <v>81.5</v>
      </c>
      <c r="AY257" s="262">
        <v>81.7</v>
      </c>
    </row>
    <row r="258" spans="1:51">
      <c r="A258" s="4" t="s">
        <v>678</v>
      </c>
      <c r="B258" s="259"/>
      <c r="C258" s="262"/>
      <c r="D258" s="262"/>
      <c r="E258" s="262"/>
      <c r="F258" s="262"/>
      <c r="G258" s="262"/>
      <c r="H258" s="262"/>
      <c r="I258" s="262"/>
      <c r="J258" s="262"/>
      <c r="K258" s="262"/>
      <c r="L258" s="262"/>
      <c r="M258" s="262"/>
      <c r="N258" s="262"/>
      <c r="O258" s="262"/>
      <c r="P258" s="262"/>
      <c r="Q258" s="262"/>
      <c r="R258" s="262"/>
      <c r="S258" s="262"/>
      <c r="T258" s="262"/>
      <c r="U258" s="262"/>
      <c r="V258" s="262"/>
      <c r="W258" s="262"/>
      <c r="X258" s="262"/>
      <c r="Y258" s="262"/>
      <c r="Z258" s="262"/>
      <c r="AA258" s="262"/>
      <c r="AB258" s="262"/>
      <c r="AC258" s="262"/>
      <c r="AD258" s="262"/>
      <c r="AE258" s="262"/>
      <c r="AF258" s="262"/>
      <c r="AG258" s="262"/>
      <c r="AH258" s="262"/>
      <c r="AI258" s="262"/>
      <c r="AJ258" s="262"/>
      <c r="AK258" s="262"/>
      <c r="AL258" s="262"/>
      <c r="AM258" s="262"/>
      <c r="AN258" s="306"/>
      <c r="AO258" s="259"/>
      <c r="AP258" s="12"/>
      <c r="AQ258" s="12"/>
      <c r="AR258" s="262"/>
      <c r="AS258" s="262"/>
      <c r="AT258" s="262"/>
      <c r="AU258" s="262"/>
      <c r="AV258" s="262"/>
      <c r="AW258" s="262">
        <v>80.2</v>
      </c>
      <c r="AX258" s="262"/>
      <c r="AY258" s="262"/>
    </row>
    <row r="259" spans="1:51">
      <c r="A259" s="4" t="s">
        <v>679</v>
      </c>
      <c r="B259" s="259"/>
      <c r="C259" s="262"/>
      <c r="D259" s="262"/>
      <c r="E259" s="262"/>
      <c r="F259" s="262"/>
      <c r="G259" s="262"/>
      <c r="H259" s="262"/>
      <c r="I259" s="262">
        <v>12.7</v>
      </c>
      <c r="J259" s="262"/>
      <c r="K259" s="262"/>
      <c r="L259" s="262"/>
      <c r="M259" s="262">
        <v>10.5</v>
      </c>
      <c r="N259" s="262"/>
      <c r="O259" s="262"/>
      <c r="P259" s="262"/>
      <c r="Q259" s="262">
        <v>12.24</v>
      </c>
      <c r="R259" s="262">
        <v>12.98</v>
      </c>
      <c r="S259" s="262">
        <v>12.3</v>
      </c>
      <c r="T259" s="262">
        <v>11.9</v>
      </c>
      <c r="U259" s="262">
        <v>11.8</v>
      </c>
      <c r="V259" s="262">
        <v>11.8</v>
      </c>
      <c r="W259" s="262">
        <v>10.5</v>
      </c>
      <c r="X259" s="262">
        <v>10.4</v>
      </c>
      <c r="Y259" s="262">
        <v>10.5</v>
      </c>
      <c r="Z259" s="262">
        <v>12.6</v>
      </c>
      <c r="AA259" s="262">
        <v>15.299999999999999</v>
      </c>
      <c r="AB259" s="262">
        <v>16.3</v>
      </c>
      <c r="AC259" s="262">
        <v>17.7</v>
      </c>
      <c r="AD259" s="262">
        <v>18</v>
      </c>
      <c r="AE259" s="262">
        <v>16.399999999999999</v>
      </c>
      <c r="AF259" s="534">
        <v>15.8</v>
      </c>
      <c r="AG259" s="534">
        <v>14.1</v>
      </c>
      <c r="AH259" s="534">
        <v>13.3</v>
      </c>
      <c r="AI259" s="534">
        <v>13</v>
      </c>
      <c r="AJ259" s="534">
        <v>12.1</v>
      </c>
      <c r="AK259" s="534">
        <v>11.5</v>
      </c>
      <c r="AL259" s="534">
        <v>11.4</v>
      </c>
      <c r="AM259" s="534">
        <v>11.4</v>
      </c>
      <c r="AN259" s="306"/>
      <c r="AO259" s="259"/>
      <c r="AP259" s="12"/>
      <c r="AQ259" s="12"/>
      <c r="AR259" s="262"/>
      <c r="AS259" s="262">
        <v>10.5</v>
      </c>
      <c r="AT259" s="262">
        <v>12.24</v>
      </c>
      <c r="AU259" s="262">
        <v>11.8</v>
      </c>
      <c r="AV259" s="262">
        <v>10.5</v>
      </c>
      <c r="AW259" s="262">
        <v>17.7</v>
      </c>
      <c r="AX259" s="262">
        <v>14.1</v>
      </c>
      <c r="AY259" s="262">
        <v>11.5</v>
      </c>
    </row>
    <row r="260" spans="1:51">
      <c r="A260" s="4" t="s">
        <v>471</v>
      </c>
      <c r="B260" s="259"/>
      <c r="C260" s="262"/>
      <c r="D260" s="262"/>
      <c r="E260" s="262"/>
      <c r="F260" s="262"/>
      <c r="G260" s="262"/>
      <c r="H260" s="262"/>
      <c r="I260" s="262">
        <v>64</v>
      </c>
      <c r="J260" s="262"/>
      <c r="K260" s="262"/>
      <c r="L260" s="262"/>
      <c r="M260" s="262">
        <v>70</v>
      </c>
      <c r="N260" s="262"/>
      <c r="O260" s="262"/>
      <c r="P260" s="262"/>
      <c r="Q260" s="262">
        <v>62</v>
      </c>
      <c r="R260" s="262">
        <v>67</v>
      </c>
      <c r="S260" s="262">
        <v>73</v>
      </c>
      <c r="T260" s="262">
        <v>67</v>
      </c>
      <c r="U260" s="262">
        <v>74</v>
      </c>
      <c r="V260" s="262">
        <v>71</v>
      </c>
      <c r="W260" s="262">
        <v>75</v>
      </c>
      <c r="X260" s="262">
        <v>75</v>
      </c>
      <c r="Y260" s="262">
        <v>70</v>
      </c>
      <c r="Z260" s="262">
        <v>71</v>
      </c>
      <c r="AA260" s="262">
        <v>66</v>
      </c>
      <c r="AB260" s="262">
        <v>70</v>
      </c>
      <c r="AC260" s="262">
        <v>63</v>
      </c>
      <c r="AD260" s="262">
        <v>72</v>
      </c>
      <c r="AE260" s="262">
        <v>70</v>
      </c>
      <c r="AF260" s="262">
        <v>73</v>
      </c>
      <c r="AG260" s="534">
        <v>61</v>
      </c>
      <c r="AH260" s="534">
        <v>61</v>
      </c>
      <c r="AI260" s="534">
        <v>64</v>
      </c>
      <c r="AJ260" s="534">
        <v>63</v>
      </c>
      <c r="AK260" s="534">
        <v>56</v>
      </c>
      <c r="AL260" s="534">
        <v>59</v>
      </c>
      <c r="AM260" s="534">
        <v>61</v>
      </c>
      <c r="AN260" s="306"/>
      <c r="AO260" s="259"/>
      <c r="AP260" s="12"/>
      <c r="AQ260" s="12"/>
      <c r="AR260" s="262"/>
      <c r="AS260" s="262">
        <v>70</v>
      </c>
      <c r="AT260" s="262">
        <v>62</v>
      </c>
      <c r="AU260" s="262">
        <v>74</v>
      </c>
      <c r="AV260" s="262">
        <v>70</v>
      </c>
      <c r="AW260" s="262">
        <v>63</v>
      </c>
      <c r="AX260" s="262">
        <v>61</v>
      </c>
      <c r="AY260" s="262">
        <v>56</v>
      </c>
    </row>
    <row r="261" spans="1:51">
      <c r="A261" s="4"/>
      <c r="B261" s="259"/>
      <c r="C261" s="262"/>
      <c r="D261" s="262"/>
      <c r="E261" s="262"/>
      <c r="F261" s="262"/>
      <c r="G261" s="262"/>
      <c r="H261" s="262"/>
      <c r="I261" s="262"/>
      <c r="J261" s="262"/>
      <c r="K261" s="262"/>
      <c r="L261" s="262"/>
      <c r="M261" s="262"/>
      <c r="N261" s="262"/>
      <c r="O261" s="262"/>
      <c r="P261" s="262"/>
      <c r="Q261" s="262"/>
      <c r="R261" s="262"/>
      <c r="S261" s="262"/>
      <c r="T261" s="262"/>
      <c r="U261" s="262"/>
      <c r="V261" s="262"/>
      <c r="W261" s="262"/>
      <c r="X261" s="262"/>
      <c r="Y261" s="262"/>
      <c r="Z261" s="262"/>
      <c r="AA261" s="262"/>
      <c r="AB261" s="262"/>
      <c r="AC261" s="262"/>
      <c r="AD261" s="262"/>
      <c r="AE261" s="262"/>
      <c r="AF261" s="262"/>
      <c r="AG261" s="262"/>
      <c r="AH261" s="262"/>
      <c r="AI261" s="262"/>
      <c r="AJ261" s="262"/>
      <c r="AK261" s="262"/>
      <c r="AL261" s="262"/>
      <c r="AM261" s="262"/>
      <c r="AN261" s="306"/>
      <c r="AO261" s="259"/>
      <c r="AP261" s="12"/>
      <c r="AQ261" s="12"/>
      <c r="AR261" s="12"/>
      <c r="AS261" s="259"/>
      <c r="AT261" s="4"/>
      <c r="AU261" s="4"/>
      <c r="AV261" s="4"/>
      <c r="AW261" s="4"/>
      <c r="AX261" s="4"/>
      <c r="AY261" s="4"/>
    </row>
    <row r="262" spans="1:51">
      <c r="A262" s="251" t="s">
        <v>682</v>
      </c>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c r="AA262" s="252"/>
      <c r="AB262" s="252"/>
      <c r="AC262" s="252"/>
      <c r="AD262" s="252"/>
      <c r="AE262" s="252"/>
      <c r="AF262" s="252"/>
      <c r="AG262" s="252"/>
      <c r="AH262" s="252"/>
      <c r="AI262" s="252"/>
      <c r="AJ262" s="252"/>
      <c r="AK262" s="252"/>
      <c r="AL262" s="252"/>
      <c r="AM262" s="252"/>
      <c r="AN262" s="1252"/>
      <c r="AO262" s="273"/>
      <c r="AP262" s="273"/>
      <c r="AQ262" s="273"/>
      <c r="AR262" s="273"/>
      <c r="AS262" s="273"/>
      <c r="AT262" s="273"/>
      <c r="AU262" s="273"/>
      <c r="AV262" s="273"/>
      <c r="AW262" s="273"/>
      <c r="AX262" s="273"/>
      <c r="AY262" s="273"/>
    </row>
    <row r="263" spans="1:51">
      <c r="A263" s="4" t="s">
        <v>683</v>
      </c>
      <c r="B263" s="13"/>
      <c r="C263" s="8"/>
      <c r="D263" s="8"/>
      <c r="E263" s="8"/>
      <c r="F263" s="8"/>
      <c r="G263" s="8"/>
      <c r="H263" s="8"/>
      <c r="I263" s="8">
        <v>67.39</v>
      </c>
      <c r="J263" s="8"/>
      <c r="K263" s="8"/>
      <c r="L263" s="8"/>
      <c r="M263" s="8">
        <v>64.55</v>
      </c>
      <c r="N263" s="8"/>
      <c r="O263" s="8"/>
      <c r="P263" s="8"/>
      <c r="Q263" s="8">
        <v>70.47</v>
      </c>
      <c r="R263" s="8">
        <v>69.400000000000006</v>
      </c>
      <c r="S263" s="8">
        <v>69.84</v>
      </c>
      <c r="T263" s="8">
        <v>71.290000000000006</v>
      </c>
      <c r="U263" s="8">
        <v>75.37</v>
      </c>
      <c r="V263" s="8">
        <v>75.53</v>
      </c>
      <c r="W263" s="8">
        <v>73.56</v>
      </c>
      <c r="X263" s="8">
        <v>73.010000000000005</v>
      </c>
      <c r="Y263" s="8">
        <v>73.17</v>
      </c>
      <c r="Z263" s="8">
        <v>74.33</v>
      </c>
      <c r="AA263" s="8">
        <v>74.19</v>
      </c>
      <c r="AB263" s="8">
        <v>74.5</v>
      </c>
      <c r="AC263" s="8">
        <v>75.900000000000006</v>
      </c>
      <c r="AD263" s="8">
        <v>79.03</v>
      </c>
      <c r="AE263" s="8">
        <v>81.38</v>
      </c>
      <c r="AF263" s="8">
        <v>82.73</v>
      </c>
      <c r="AG263" s="8">
        <v>82.11</v>
      </c>
      <c r="AH263" s="8">
        <v>82.1</v>
      </c>
      <c r="AI263" s="8">
        <v>83.08</v>
      </c>
      <c r="AJ263" s="8">
        <v>83.19</v>
      </c>
      <c r="AK263" s="8">
        <v>83.37</v>
      </c>
      <c r="AL263" s="8">
        <v>83.37</v>
      </c>
      <c r="AM263" s="8">
        <v>83.79</v>
      </c>
      <c r="AN263" s="1254"/>
      <c r="AO263" s="15"/>
      <c r="AP263" s="15"/>
      <c r="AQ263" s="15"/>
      <c r="AR263" s="8"/>
      <c r="AS263" s="8">
        <v>69.28</v>
      </c>
      <c r="AT263" s="8">
        <v>69.28</v>
      </c>
      <c r="AU263" s="8">
        <v>75.37</v>
      </c>
      <c r="AV263" s="8">
        <v>73.17</v>
      </c>
      <c r="AW263" s="8"/>
      <c r="AX263" s="8">
        <v>82.11</v>
      </c>
      <c r="AY263" s="8">
        <v>83.37</v>
      </c>
    </row>
    <row r="264" spans="1:51">
      <c r="A264" s="4" t="s">
        <v>684</v>
      </c>
      <c r="B264" s="13">
        <v>63.63</v>
      </c>
      <c r="C264" s="8">
        <v>65.36</v>
      </c>
      <c r="D264" s="8">
        <v>66.05</v>
      </c>
      <c r="E264" s="8">
        <v>67.72</v>
      </c>
      <c r="F264" s="8">
        <v>67.08</v>
      </c>
      <c r="G264" s="8">
        <v>66.91</v>
      </c>
      <c r="H264" s="8">
        <v>67.7</v>
      </c>
      <c r="I264" s="8">
        <v>64.86</v>
      </c>
      <c r="J264" s="8">
        <v>64.41</v>
      </c>
      <c r="K264" s="8">
        <v>64.39</v>
      </c>
      <c r="L264" s="8">
        <v>64.59</v>
      </c>
      <c r="M264" s="8">
        <v>65.14</v>
      </c>
      <c r="N264" s="8">
        <v>67.52</v>
      </c>
      <c r="O264" s="8">
        <v>70.510000000000005</v>
      </c>
      <c r="P264" s="8">
        <v>71.66</v>
      </c>
      <c r="Q264" s="8">
        <v>69.28</v>
      </c>
      <c r="R264" s="8">
        <v>68.5</v>
      </c>
      <c r="S264" s="8">
        <v>70.66</v>
      </c>
      <c r="T264" s="8">
        <v>70.97</v>
      </c>
      <c r="U264" s="8">
        <v>71.66</v>
      </c>
      <c r="V264" s="8">
        <v>75.37</v>
      </c>
      <c r="W264" s="8">
        <v>74.66</v>
      </c>
      <c r="X264" s="8">
        <v>74.040000000000006</v>
      </c>
      <c r="Y264" s="8">
        <v>73.19</v>
      </c>
      <c r="Z264" s="8">
        <v>73.23</v>
      </c>
      <c r="AA264" s="8">
        <v>73.89</v>
      </c>
      <c r="AB264" s="8">
        <v>74.87</v>
      </c>
      <c r="AC264" s="8">
        <v>74.87</v>
      </c>
      <c r="AD264" s="8">
        <v>76.48</v>
      </c>
      <c r="AE264" s="8">
        <v>79.28</v>
      </c>
      <c r="AF264" s="8">
        <v>81.86</v>
      </c>
      <c r="AG264" s="8">
        <v>82.35</v>
      </c>
      <c r="AH264" s="8">
        <v>82.15</v>
      </c>
      <c r="AI264" s="8">
        <v>82.67</v>
      </c>
      <c r="AJ264" s="8">
        <v>83.26</v>
      </c>
      <c r="AK264" s="8">
        <v>83.05</v>
      </c>
      <c r="AL264" s="8">
        <v>83.42</v>
      </c>
      <c r="AM264" s="8">
        <v>83.76</v>
      </c>
      <c r="AN264" s="1254"/>
      <c r="AO264" s="15"/>
      <c r="AP264" s="15"/>
      <c r="AQ264" s="15"/>
      <c r="AR264" s="8"/>
      <c r="AS264" s="8">
        <v>69.55</v>
      </c>
      <c r="AT264" s="8">
        <v>69.55</v>
      </c>
      <c r="AU264" s="8">
        <v>70.540000000000006</v>
      </c>
      <c r="AV264" s="8">
        <v>74.319999999999993</v>
      </c>
      <c r="AW264" s="8"/>
      <c r="AX264" s="8">
        <v>80.05</v>
      </c>
      <c r="AY264" s="8">
        <v>82.78</v>
      </c>
    </row>
    <row r="265" spans="1:51">
      <c r="A265" s="4"/>
      <c r="B265" s="13"/>
      <c r="C265" s="8"/>
      <c r="D265" s="8"/>
      <c r="E265" s="8"/>
      <c r="F265" s="8"/>
      <c r="G265" s="8"/>
      <c r="H265" s="8"/>
      <c r="I265" s="8"/>
      <c r="J265" s="8"/>
      <c r="K265" s="8"/>
      <c r="L265" s="8"/>
      <c r="M265" s="8"/>
      <c r="N265" s="8"/>
      <c r="O265" s="8"/>
      <c r="P265" s="8"/>
      <c r="Q265" s="8"/>
      <c r="R265" s="8"/>
      <c r="S265" s="8"/>
      <c r="T265" s="8"/>
      <c r="U265" s="8"/>
      <c r="V265" s="8"/>
      <c r="W265" s="8"/>
      <c r="X265" s="8"/>
      <c r="Y265" s="8"/>
      <c r="Z265" s="8"/>
      <c r="AC265" s="8"/>
      <c r="AD265" s="8"/>
      <c r="AE265" s="8"/>
      <c r="AF265" s="8"/>
      <c r="AG265" s="8"/>
      <c r="AH265" s="8"/>
      <c r="AI265" s="8"/>
      <c r="AJ265" s="8"/>
      <c r="AK265" s="8"/>
      <c r="AL265" s="8"/>
      <c r="AM265" s="8"/>
      <c r="AN265" s="285"/>
      <c r="AO265" s="13"/>
      <c r="AP265" s="13"/>
      <c r="AQ265" s="13"/>
      <c r="AR265" s="13"/>
      <c r="AS265" s="13"/>
      <c r="AT265" s="4"/>
      <c r="AU265" s="4"/>
      <c r="AV265" s="4"/>
      <c r="AW265" s="4"/>
      <c r="AX265" s="4"/>
      <c r="AY265" s="4"/>
    </row>
    <row r="266" spans="1:51">
      <c r="A266" s="251" t="s">
        <v>685</v>
      </c>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c r="AK266" s="252"/>
      <c r="AL266" s="252"/>
      <c r="AM266" s="252"/>
      <c r="AN266" s="285"/>
      <c r="AO266" s="13"/>
      <c r="AP266" s="13"/>
      <c r="AQ266" s="13"/>
      <c r="AR266" s="252"/>
      <c r="AS266" s="252"/>
      <c r="AT266" s="252"/>
      <c r="AU266" s="252"/>
      <c r="AV266" s="252"/>
      <c r="AW266" s="252"/>
      <c r="AX266" s="252"/>
      <c r="AY266" s="252"/>
    </row>
    <row r="267" spans="1:51">
      <c r="A267" s="87" t="s">
        <v>616</v>
      </c>
      <c r="B267" s="4"/>
      <c r="C267" s="4"/>
      <c r="D267" s="4"/>
      <c r="E267" s="4"/>
      <c r="F267" s="4"/>
      <c r="G267" s="4"/>
      <c r="H267" s="4"/>
      <c r="I267" s="263"/>
      <c r="J267" s="263"/>
      <c r="K267" s="263"/>
      <c r="L267" s="263"/>
      <c r="M267" s="263"/>
      <c r="N267" s="263"/>
      <c r="O267" s="263"/>
      <c r="P267" s="263"/>
      <c r="Q267" s="263"/>
      <c r="R267" s="263"/>
      <c r="S267" s="263"/>
      <c r="T267" s="263"/>
      <c r="U267" s="263"/>
      <c r="V267" s="263"/>
      <c r="W267" s="263"/>
      <c r="X267" s="263">
        <v>5884</v>
      </c>
      <c r="Y267" s="263"/>
      <c r="Z267" s="263"/>
      <c r="AA267" s="263">
        <v>8195</v>
      </c>
      <c r="AB267" s="263">
        <v>8844</v>
      </c>
      <c r="AC267" s="263">
        <v>8702</v>
      </c>
      <c r="AD267" s="263">
        <v>9376</v>
      </c>
      <c r="AE267" s="263">
        <v>10047</v>
      </c>
      <c r="AF267" s="263">
        <v>10116</v>
      </c>
      <c r="AG267" s="263">
        <v>10481</v>
      </c>
      <c r="AH267" s="263">
        <v>11030</v>
      </c>
      <c r="AI267" s="263">
        <v>11245</v>
      </c>
      <c r="AJ267" s="263">
        <v>10819</v>
      </c>
      <c r="AK267" s="263">
        <v>11256</v>
      </c>
      <c r="AL267" s="263">
        <v>11979</v>
      </c>
      <c r="AM267" s="263"/>
      <c r="AN267" s="281"/>
      <c r="AO267" s="4"/>
      <c r="AP267" s="4"/>
      <c r="AQ267" s="4"/>
      <c r="AR267" s="4"/>
      <c r="AS267" s="4"/>
      <c r="AT267" s="20"/>
      <c r="AU267" s="20"/>
      <c r="AV267" s="20"/>
      <c r="AW267" s="20"/>
      <c r="AX267" s="20"/>
      <c r="AY267" s="20"/>
    </row>
    <row r="268" spans="1:51">
      <c r="A268" s="87" t="s">
        <v>617</v>
      </c>
      <c r="B268" s="4"/>
      <c r="C268" s="4"/>
      <c r="D268" s="4"/>
      <c r="E268" s="4"/>
      <c r="F268" s="4"/>
      <c r="G268" s="4"/>
      <c r="H268" s="4"/>
      <c r="I268" s="263"/>
      <c r="J268" s="263"/>
      <c r="K268" s="263"/>
      <c r="L268" s="263"/>
      <c r="M268" s="263"/>
      <c r="N268" s="263"/>
      <c r="O268" s="263"/>
      <c r="P268" s="263"/>
      <c r="Q268" s="263"/>
      <c r="R268" s="263"/>
      <c r="S268" s="263"/>
      <c r="T268" s="263"/>
      <c r="U268" s="263"/>
      <c r="V268" s="263"/>
      <c r="W268" s="263"/>
      <c r="X268" s="263">
        <v>4261</v>
      </c>
      <c r="Y268" s="263"/>
      <c r="Z268" s="263"/>
      <c r="AA268" s="263">
        <v>5094</v>
      </c>
      <c r="AB268" s="263">
        <v>5584</v>
      </c>
      <c r="AC268" s="263">
        <v>6938</v>
      </c>
      <c r="AD268" s="263">
        <v>6746</v>
      </c>
      <c r="AE268" s="263">
        <v>7547</v>
      </c>
      <c r="AF268" s="263">
        <v>8293</v>
      </c>
      <c r="AG268" s="263">
        <v>8589</v>
      </c>
      <c r="AH268" s="263">
        <v>8575</v>
      </c>
      <c r="AI268" s="263">
        <v>8838</v>
      </c>
      <c r="AJ268" s="263">
        <v>9300</v>
      </c>
      <c r="AK268" s="263">
        <v>9447</v>
      </c>
      <c r="AL268" s="263">
        <v>9286</v>
      </c>
      <c r="AM268" s="263"/>
      <c r="AN268" s="281"/>
      <c r="AO268" s="4"/>
      <c r="AP268" s="4"/>
      <c r="AQ268" s="4"/>
      <c r="AR268" s="4"/>
      <c r="AS268" s="4"/>
      <c r="AT268" s="20"/>
      <c r="AU268" s="20"/>
      <c r="AV268" s="20"/>
      <c r="AW268" s="20"/>
      <c r="AX268" s="20"/>
      <c r="AY268" s="20"/>
    </row>
    <row r="269" spans="1:51">
      <c r="A269" s="87" t="s">
        <v>686</v>
      </c>
      <c r="B269" s="4"/>
      <c r="C269" s="4"/>
      <c r="D269" s="4"/>
      <c r="E269" s="4"/>
      <c r="F269" s="4"/>
      <c r="G269" s="4"/>
      <c r="H269" s="4"/>
      <c r="I269" s="263"/>
      <c r="J269" s="263"/>
      <c r="K269" s="263"/>
      <c r="L269" s="263"/>
      <c r="M269" s="263"/>
      <c r="N269" s="263"/>
      <c r="O269" s="263"/>
      <c r="P269" s="263"/>
      <c r="Q269" s="263"/>
      <c r="R269" s="263"/>
      <c r="S269" s="263"/>
      <c r="T269" s="263"/>
      <c r="U269" s="263"/>
      <c r="V269" s="263"/>
      <c r="W269" s="263"/>
      <c r="X269" s="263">
        <v>1044</v>
      </c>
      <c r="Y269" s="263"/>
      <c r="Z269" s="263"/>
      <c r="AA269" s="263">
        <v>1575</v>
      </c>
      <c r="AB269" s="263">
        <v>1356</v>
      </c>
      <c r="AC269" s="263">
        <v>1360</v>
      </c>
      <c r="AD269" s="263">
        <v>1414</v>
      </c>
      <c r="AE269" s="263">
        <v>1465</v>
      </c>
      <c r="AF269" s="263">
        <v>1420</v>
      </c>
      <c r="AG269" s="263">
        <v>1518</v>
      </c>
      <c r="AH269" s="263">
        <v>1563</v>
      </c>
      <c r="AI269" s="263">
        <v>1612</v>
      </c>
      <c r="AJ269" s="263">
        <v>1608</v>
      </c>
      <c r="AK269" s="263">
        <v>1577</v>
      </c>
      <c r="AL269" s="263">
        <v>1832</v>
      </c>
      <c r="AM269" s="263"/>
      <c r="AN269" s="281"/>
      <c r="AO269" s="4"/>
      <c r="AP269" s="4"/>
      <c r="AQ269" s="4"/>
      <c r="AR269" s="4"/>
      <c r="AS269" s="4"/>
      <c r="AT269" s="20"/>
      <c r="AU269" s="20"/>
      <c r="AV269" s="20"/>
      <c r="AW269" s="20"/>
      <c r="AX269" s="20"/>
      <c r="AY269" s="20"/>
    </row>
    <row r="270" spans="1:51">
      <c r="A270" s="87" t="s">
        <v>619</v>
      </c>
      <c r="B270" s="4"/>
      <c r="C270" s="4"/>
      <c r="D270" s="4"/>
      <c r="E270" s="4"/>
      <c r="F270" s="4"/>
      <c r="G270" s="4"/>
      <c r="H270" s="4"/>
      <c r="I270" s="263"/>
      <c r="J270" s="263"/>
      <c r="K270" s="263"/>
      <c r="L270" s="263"/>
      <c r="M270" s="263"/>
      <c r="N270" s="263"/>
      <c r="O270" s="263"/>
      <c r="P270" s="263"/>
      <c r="Q270" s="263"/>
      <c r="R270" s="263"/>
      <c r="S270" s="263"/>
      <c r="T270" s="263"/>
      <c r="U270" s="263"/>
      <c r="V270" s="263"/>
      <c r="W270" s="263"/>
      <c r="X270" s="263">
        <v>717</v>
      </c>
      <c r="Y270" s="263"/>
      <c r="Z270" s="263"/>
      <c r="AA270" s="263">
        <v>830</v>
      </c>
      <c r="AB270" s="263">
        <v>797</v>
      </c>
      <c r="AC270" s="263">
        <v>429</v>
      </c>
      <c r="AD270" s="263">
        <v>758</v>
      </c>
      <c r="AE270" s="263">
        <v>535</v>
      </c>
      <c r="AF270" s="263">
        <v>729</v>
      </c>
      <c r="AG270" s="263">
        <v>1112</v>
      </c>
      <c r="AH270" s="263">
        <v>1042</v>
      </c>
      <c r="AI270" s="263">
        <v>1067</v>
      </c>
      <c r="AJ270" s="263">
        <v>1506</v>
      </c>
      <c r="AK270" s="263">
        <v>1305</v>
      </c>
      <c r="AL270" s="263">
        <v>911</v>
      </c>
      <c r="AM270" s="263"/>
      <c r="AN270" s="281"/>
      <c r="AO270" s="4"/>
      <c r="AP270" s="4"/>
      <c r="AQ270" s="4"/>
      <c r="AR270" s="4"/>
      <c r="AS270" s="4"/>
      <c r="AT270" s="20"/>
      <c r="AU270" s="20"/>
      <c r="AV270" s="20"/>
      <c r="AW270" s="20"/>
      <c r="AX270" s="20"/>
      <c r="AY270" s="20"/>
    </row>
    <row r="271" spans="1:51" s="264" customFormat="1">
      <c r="A271" s="6" t="s">
        <v>688</v>
      </c>
      <c r="B271" s="6"/>
      <c r="C271" s="6"/>
      <c r="D271" s="6"/>
      <c r="E271" s="6"/>
      <c r="F271" s="6"/>
      <c r="G271" s="6"/>
      <c r="H271" s="6"/>
      <c r="I271" s="6"/>
      <c r="J271" s="6"/>
      <c r="K271" s="6"/>
      <c r="L271" s="6"/>
      <c r="M271" s="278"/>
      <c r="N271" s="278">
        <f t="shared" ref="N271:AC271" si="106">SUM(N267:N270)</f>
        <v>0</v>
      </c>
      <c r="O271" s="278">
        <f t="shared" si="106"/>
        <v>0</v>
      </c>
      <c r="P271" s="278">
        <f t="shared" si="106"/>
        <v>0</v>
      </c>
      <c r="Q271" s="278">
        <f t="shared" si="106"/>
        <v>0</v>
      </c>
      <c r="R271" s="278">
        <f t="shared" si="106"/>
        <v>0</v>
      </c>
      <c r="S271" s="278">
        <f t="shared" si="106"/>
        <v>0</v>
      </c>
      <c r="T271" s="278">
        <f t="shared" si="106"/>
        <v>0</v>
      </c>
      <c r="U271" s="278">
        <f t="shared" si="106"/>
        <v>0</v>
      </c>
      <c r="V271" s="278">
        <f t="shared" si="106"/>
        <v>0</v>
      </c>
      <c r="W271" s="278">
        <f t="shared" si="106"/>
        <v>0</v>
      </c>
      <c r="X271" s="278">
        <f t="shared" si="106"/>
        <v>11906</v>
      </c>
      <c r="Y271" s="278">
        <f t="shared" si="106"/>
        <v>0</v>
      </c>
      <c r="Z271" s="278">
        <f t="shared" si="106"/>
        <v>0</v>
      </c>
      <c r="AA271" s="278">
        <f t="shared" si="106"/>
        <v>15694</v>
      </c>
      <c r="AB271" s="278">
        <f t="shared" si="106"/>
        <v>16581</v>
      </c>
      <c r="AC271" s="278">
        <f t="shared" si="106"/>
        <v>17429</v>
      </c>
      <c r="AD271" s="278">
        <f t="shared" ref="AD271:AV271" si="107">SUM(AD267:AD270)</f>
        <v>18294</v>
      </c>
      <c r="AE271" s="278">
        <f t="shared" si="107"/>
        <v>19594</v>
      </c>
      <c r="AF271" s="278">
        <f t="shared" si="107"/>
        <v>20558</v>
      </c>
      <c r="AG271" s="278">
        <f t="shared" si="107"/>
        <v>21700</v>
      </c>
      <c r="AH271" s="278">
        <f t="shared" si="107"/>
        <v>22210</v>
      </c>
      <c r="AI271" s="278">
        <f t="shared" si="107"/>
        <v>22762</v>
      </c>
      <c r="AJ271" s="278">
        <f t="shared" si="107"/>
        <v>23233</v>
      </c>
      <c r="AK271" s="278">
        <f t="shared" si="107"/>
        <v>23585</v>
      </c>
      <c r="AL271" s="278">
        <f t="shared" si="107"/>
        <v>24008</v>
      </c>
      <c r="AM271" s="278">
        <f t="shared" si="107"/>
        <v>0</v>
      </c>
      <c r="AN271" s="328"/>
      <c r="AO271" s="6"/>
      <c r="AP271" s="6"/>
      <c r="AQ271" s="6"/>
      <c r="AR271" s="6"/>
      <c r="AS271" s="6">
        <f t="shared" si="107"/>
        <v>0</v>
      </c>
      <c r="AT271" s="6">
        <f t="shared" si="107"/>
        <v>0</v>
      </c>
      <c r="AU271" s="278">
        <f t="shared" si="107"/>
        <v>0</v>
      </c>
      <c r="AV271" s="278">
        <f t="shared" si="107"/>
        <v>0</v>
      </c>
      <c r="AW271" s="278"/>
      <c r="AX271" s="278"/>
      <c r="AY271" s="278"/>
    </row>
    <row r="272" spans="1:5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281"/>
      <c r="AO272" s="4"/>
      <c r="AP272" s="4"/>
      <c r="AQ272" s="4"/>
      <c r="AR272" s="4"/>
      <c r="AS272" s="4"/>
      <c r="AT272" s="4"/>
      <c r="AU272" s="4"/>
      <c r="AV272" s="4"/>
      <c r="AW272" s="4"/>
      <c r="AX272" s="4"/>
      <c r="AY272" s="4"/>
    </row>
    <row r="273" spans="1:51">
      <c r="A273" s="251" t="s">
        <v>689</v>
      </c>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c r="AA273" s="252"/>
      <c r="AB273" s="252"/>
      <c r="AC273" s="252"/>
      <c r="AD273" s="252"/>
      <c r="AE273" s="252"/>
      <c r="AF273" s="252"/>
      <c r="AG273" s="252"/>
      <c r="AH273" s="252"/>
      <c r="AI273" s="252"/>
      <c r="AJ273" s="252"/>
      <c r="AK273" s="252"/>
      <c r="AL273" s="252"/>
      <c r="AM273" s="252"/>
      <c r="AN273" s="1252"/>
      <c r="AO273" s="252"/>
      <c r="AP273" s="252"/>
      <c r="AQ273" s="252"/>
      <c r="AR273" s="252"/>
      <c r="AS273" s="252"/>
      <c r="AT273" s="252"/>
      <c r="AU273" s="252"/>
      <c r="AV273" s="252"/>
      <c r="AW273" s="252"/>
      <c r="AX273" s="252"/>
      <c r="AY273" s="252"/>
    </row>
    <row r="274" spans="1:51">
      <c r="A274" s="87" t="s">
        <v>616</v>
      </c>
      <c r="B274" s="4"/>
      <c r="C274" s="4"/>
      <c r="D274" s="4"/>
      <c r="E274" s="4"/>
      <c r="F274" s="4"/>
      <c r="G274" s="4"/>
      <c r="H274" s="4"/>
      <c r="I274" s="21"/>
      <c r="J274" s="21"/>
      <c r="K274" s="21"/>
      <c r="L274" s="21"/>
      <c r="M274" s="21"/>
      <c r="N274" s="263"/>
      <c r="O274" s="21"/>
      <c r="P274" s="21"/>
      <c r="Q274" s="21"/>
      <c r="R274" s="263"/>
      <c r="S274" s="263"/>
      <c r="T274" s="263"/>
      <c r="U274" s="263"/>
      <c r="V274" s="263"/>
      <c r="W274" s="263"/>
      <c r="X274" s="263">
        <v>1098</v>
      </c>
      <c r="Y274" s="263"/>
      <c r="Z274" s="263"/>
      <c r="AA274" s="263">
        <v>1502</v>
      </c>
      <c r="AB274" s="263">
        <v>1771</v>
      </c>
      <c r="AC274" s="263">
        <v>1597</v>
      </c>
      <c r="AD274" s="263">
        <v>1513</v>
      </c>
      <c r="AE274" s="263">
        <v>1796</v>
      </c>
      <c r="AF274" s="263">
        <v>1541</v>
      </c>
      <c r="AG274" s="263">
        <v>1326</v>
      </c>
      <c r="AH274" s="263">
        <v>1641</v>
      </c>
      <c r="AI274" s="263">
        <v>2010</v>
      </c>
      <c r="AJ274" s="263">
        <v>2101</v>
      </c>
      <c r="AK274" s="263">
        <v>2217</v>
      </c>
      <c r="AL274" s="263">
        <v>1914</v>
      </c>
      <c r="AM274" s="263"/>
      <c r="AN274" s="281"/>
      <c r="AO274" s="4"/>
      <c r="AP274" s="4"/>
      <c r="AQ274" s="4"/>
      <c r="AR274" s="4"/>
      <c r="AS274" s="4"/>
      <c r="AT274" s="20"/>
      <c r="AU274" s="20"/>
      <c r="AV274" s="20"/>
      <c r="AW274" s="20"/>
      <c r="AX274" s="20"/>
      <c r="AY274" s="20"/>
    </row>
    <row r="275" spans="1:51">
      <c r="A275" s="87" t="s">
        <v>617</v>
      </c>
      <c r="B275" s="4"/>
      <c r="C275" s="4"/>
      <c r="D275" s="4"/>
      <c r="E275" s="4"/>
      <c r="F275" s="4"/>
      <c r="G275" s="4"/>
      <c r="H275" s="4"/>
      <c r="I275" s="21"/>
      <c r="J275" s="21"/>
      <c r="K275" s="21"/>
      <c r="L275" s="21"/>
      <c r="M275" s="21"/>
      <c r="N275" s="263"/>
      <c r="O275" s="21"/>
      <c r="P275" s="21"/>
      <c r="Q275" s="21"/>
      <c r="R275" s="263"/>
      <c r="S275" s="263"/>
      <c r="T275" s="263"/>
      <c r="U275" s="263"/>
      <c r="V275" s="263"/>
      <c r="W275" s="263"/>
      <c r="X275" s="263">
        <v>898</v>
      </c>
      <c r="Y275" s="263"/>
      <c r="Z275" s="263"/>
      <c r="AA275" s="263">
        <v>1053</v>
      </c>
      <c r="AB275" s="263">
        <v>1181</v>
      </c>
      <c r="AC275" s="263">
        <v>1608</v>
      </c>
      <c r="AD275" s="263">
        <v>1401</v>
      </c>
      <c r="AE275" s="263">
        <v>1576</v>
      </c>
      <c r="AF275" s="263">
        <v>1960</v>
      </c>
      <c r="AG275" s="263">
        <v>1674</v>
      </c>
      <c r="AH275" s="263">
        <v>1601</v>
      </c>
      <c r="AI275" s="263">
        <v>1527</v>
      </c>
      <c r="AJ275" s="263">
        <v>1998</v>
      </c>
      <c r="AK275" s="263">
        <v>1927</v>
      </c>
      <c r="AL275" s="263">
        <v>1274</v>
      </c>
      <c r="AM275" s="263"/>
      <c r="AN275" s="281"/>
      <c r="AO275" s="4"/>
      <c r="AP275" s="4"/>
      <c r="AQ275" s="4"/>
      <c r="AR275" s="4"/>
      <c r="AS275" s="4"/>
      <c r="AT275" s="20"/>
      <c r="AU275" s="20"/>
      <c r="AV275" s="20"/>
      <c r="AW275" s="20"/>
      <c r="AX275" s="20"/>
      <c r="AY275" s="20"/>
    </row>
    <row r="276" spans="1:51">
      <c r="A276" s="87" t="s">
        <v>686</v>
      </c>
      <c r="B276" s="4"/>
      <c r="C276" s="4"/>
      <c r="D276" s="4"/>
      <c r="E276" s="4"/>
      <c r="F276" s="4"/>
      <c r="G276" s="4"/>
      <c r="H276" s="4"/>
      <c r="I276" s="21"/>
      <c r="J276" s="21"/>
      <c r="K276" s="21"/>
      <c r="L276" s="21"/>
      <c r="M276" s="21"/>
      <c r="N276" s="263"/>
      <c r="O276" s="21"/>
      <c r="P276" s="21"/>
      <c r="Q276" s="21"/>
      <c r="R276" s="263"/>
      <c r="S276" s="263"/>
      <c r="T276" s="263"/>
      <c r="U276" s="263"/>
      <c r="V276" s="263"/>
      <c r="W276" s="263"/>
      <c r="X276" s="263">
        <v>116</v>
      </c>
      <c r="Y276" s="263"/>
      <c r="Z276" s="263"/>
      <c r="AA276" s="263">
        <v>205</v>
      </c>
      <c r="AB276" s="263">
        <v>137</v>
      </c>
      <c r="AC276" s="263">
        <v>135</v>
      </c>
      <c r="AD276" s="263">
        <v>130</v>
      </c>
      <c r="AE276" s="263">
        <v>176</v>
      </c>
      <c r="AF276" s="263">
        <v>221</v>
      </c>
      <c r="AG276" s="263">
        <v>222</v>
      </c>
      <c r="AH276" s="263">
        <v>140</v>
      </c>
      <c r="AI276" s="263">
        <v>115</v>
      </c>
      <c r="AJ276" s="263">
        <v>120</v>
      </c>
      <c r="AK276" s="263">
        <v>106</v>
      </c>
      <c r="AL276" s="263">
        <v>22</v>
      </c>
      <c r="AM276" s="263"/>
      <c r="AN276" s="281"/>
      <c r="AO276" s="4"/>
      <c r="AP276" s="4"/>
      <c r="AQ276" s="4"/>
      <c r="AR276" s="4"/>
      <c r="AS276" s="4"/>
      <c r="AT276" s="20"/>
      <c r="AU276" s="20"/>
      <c r="AV276" s="20"/>
      <c r="AW276" s="20"/>
      <c r="AX276" s="20"/>
      <c r="AY276" s="20"/>
    </row>
    <row r="277" spans="1:51">
      <c r="A277" s="87" t="s">
        <v>619</v>
      </c>
      <c r="B277" s="4"/>
      <c r="C277" s="4"/>
      <c r="D277" s="4"/>
      <c r="E277" s="4"/>
      <c r="F277" s="4"/>
      <c r="G277" s="4"/>
      <c r="H277" s="4"/>
      <c r="I277" s="263"/>
      <c r="J277" s="263"/>
      <c r="K277" s="263"/>
      <c r="L277" s="263"/>
      <c r="M277" s="263"/>
      <c r="N277" s="263"/>
      <c r="O277" s="263"/>
      <c r="P277" s="263"/>
      <c r="Q277" s="263"/>
      <c r="R277" s="263"/>
      <c r="S277" s="263"/>
      <c r="T277" s="263"/>
      <c r="U277" s="263"/>
      <c r="V277" s="263"/>
      <c r="W277" s="263"/>
      <c r="X277" s="263">
        <v>-102</v>
      </c>
      <c r="Y277" s="263"/>
      <c r="Z277" s="263"/>
      <c r="AA277" s="263">
        <v>-23</v>
      </c>
      <c r="AB277" s="263">
        <v>-69</v>
      </c>
      <c r="AC277" s="263">
        <v>-47</v>
      </c>
      <c r="AD277" s="263">
        <v>-126</v>
      </c>
      <c r="AE277" s="263">
        <v>-104</v>
      </c>
      <c r="AF277" s="263">
        <v>-107</v>
      </c>
      <c r="AG277" s="263">
        <v>51</v>
      </c>
      <c r="AH277" s="263">
        <v>-231</v>
      </c>
      <c r="AI277" s="263">
        <v>-178</v>
      </c>
      <c r="AJ277" s="263">
        <v>-207</v>
      </c>
      <c r="AK277" s="263">
        <v>-212</v>
      </c>
      <c r="AL277" s="263">
        <v>-76</v>
      </c>
      <c r="AM277" s="263"/>
      <c r="AN277" s="281"/>
      <c r="AO277" s="4"/>
      <c r="AP277" s="4"/>
      <c r="AQ277" s="4"/>
      <c r="AR277" s="4"/>
      <c r="AS277" s="4"/>
      <c r="AT277" s="20"/>
      <c r="AU277" s="20"/>
      <c r="AV277" s="20"/>
      <c r="AW277" s="20"/>
      <c r="AX277" s="20"/>
      <c r="AY277" s="20"/>
    </row>
    <row r="278" spans="1:51" s="264" customFormat="1">
      <c r="A278" s="6" t="s">
        <v>691</v>
      </c>
      <c r="B278" s="6"/>
      <c r="C278" s="6"/>
      <c r="D278" s="6"/>
      <c r="E278" s="6"/>
      <c r="F278" s="6"/>
      <c r="G278" s="6"/>
      <c r="H278" s="6"/>
      <c r="I278" s="229"/>
      <c r="J278" s="229"/>
      <c r="K278" s="229"/>
      <c r="L278" s="229"/>
      <c r="M278" s="279">
        <f>SUM(M274:M277)</f>
        <v>0</v>
      </c>
      <c r="N278" s="279"/>
      <c r="O278" s="279"/>
      <c r="P278" s="279"/>
      <c r="Q278" s="279"/>
      <c r="R278" s="279"/>
      <c r="S278" s="279"/>
      <c r="T278" s="279"/>
      <c r="U278" s="279"/>
      <c r="V278" s="279"/>
      <c r="W278" s="279"/>
      <c r="X278" s="278">
        <f t="shared" ref="X278:AU278" si="108">SUM(X274:X277)</f>
        <v>2010</v>
      </c>
      <c r="Y278" s="278">
        <f t="shared" si="108"/>
        <v>0</v>
      </c>
      <c r="Z278" s="278">
        <f t="shared" si="108"/>
        <v>0</v>
      </c>
      <c r="AA278" s="278">
        <f t="shared" si="108"/>
        <v>2737</v>
      </c>
      <c r="AB278" s="278">
        <f t="shared" si="108"/>
        <v>3020</v>
      </c>
      <c r="AC278" s="278">
        <f t="shared" si="108"/>
        <v>3293</v>
      </c>
      <c r="AD278" s="278">
        <f t="shared" si="108"/>
        <v>2918</v>
      </c>
      <c r="AE278" s="278">
        <f t="shared" si="108"/>
        <v>3444</v>
      </c>
      <c r="AF278" s="278">
        <f t="shared" si="108"/>
        <v>3615</v>
      </c>
      <c r="AG278" s="278">
        <f t="shared" si="108"/>
        <v>3273</v>
      </c>
      <c r="AH278" s="278">
        <f t="shared" si="108"/>
        <v>3151</v>
      </c>
      <c r="AI278" s="278">
        <f t="shared" si="108"/>
        <v>3474</v>
      </c>
      <c r="AJ278" s="278">
        <f t="shared" si="108"/>
        <v>4012</v>
      </c>
      <c r="AK278" s="278">
        <f t="shared" si="108"/>
        <v>4038</v>
      </c>
      <c r="AL278" s="278">
        <f t="shared" si="108"/>
        <v>3134</v>
      </c>
      <c r="AM278" s="278">
        <f t="shared" si="108"/>
        <v>0</v>
      </c>
      <c r="AN278" s="328"/>
      <c r="AO278" s="6"/>
      <c r="AP278" s="6"/>
      <c r="AQ278" s="6"/>
      <c r="AR278" s="6"/>
      <c r="AS278" s="6">
        <f t="shared" si="108"/>
        <v>0</v>
      </c>
      <c r="AT278" s="278">
        <f t="shared" si="108"/>
        <v>0</v>
      </c>
      <c r="AU278" s="278">
        <f t="shared" si="108"/>
        <v>0</v>
      </c>
      <c r="AV278" s="278"/>
      <c r="AW278" s="278"/>
      <c r="AX278" s="278"/>
      <c r="AY278" s="278"/>
    </row>
    <row r="279" spans="1:5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281"/>
      <c r="AO279" s="4"/>
      <c r="AP279" s="4"/>
      <c r="AQ279" s="4"/>
      <c r="AR279" s="4"/>
      <c r="AS279" s="4"/>
      <c r="AT279" s="20"/>
      <c r="AU279" s="20"/>
      <c r="AV279" s="20"/>
      <c r="AW279" s="20"/>
      <c r="AX279" s="20"/>
      <c r="AY279" s="20"/>
    </row>
    <row r="280" spans="1:51">
      <c r="A280" s="4"/>
      <c r="B280" s="4"/>
      <c r="C280" s="4"/>
      <c r="D280" s="4"/>
      <c r="E280" s="4"/>
      <c r="F280" s="4"/>
      <c r="G280" s="4"/>
      <c r="H280" s="4"/>
      <c r="I280" s="4"/>
      <c r="J280" s="4"/>
      <c r="K280" s="4"/>
      <c r="L280" s="4"/>
      <c r="M280" s="4"/>
      <c r="N280" s="4"/>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52"/>
      <c r="AO280" s="252"/>
      <c r="AP280" s="252"/>
      <c r="AQ280" s="252"/>
      <c r="AR280" s="252"/>
      <c r="AS280" s="252"/>
      <c r="AT280" s="252"/>
      <c r="AU280" s="252"/>
      <c r="AV280" s="252"/>
      <c r="AW280" s="252"/>
      <c r="AX280" s="252"/>
      <c r="AY280" s="252"/>
    </row>
    <row r="281" spans="1:51">
      <c r="A281" s="251" t="s">
        <v>692</v>
      </c>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c r="AA281" s="252"/>
      <c r="AB281" s="252"/>
      <c r="AC281" s="252"/>
      <c r="AD281" s="252"/>
      <c r="AE281" s="252"/>
      <c r="AF281" s="252"/>
      <c r="AG281" s="252"/>
      <c r="AH281" s="252"/>
      <c r="AI281" s="252"/>
      <c r="AJ281" s="252"/>
      <c r="AK281" s="252"/>
      <c r="AL281" s="252"/>
      <c r="AM281" s="252"/>
      <c r="AN281" s="1252"/>
      <c r="AO281" s="252"/>
      <c r="AP281" s="252"/>
      <c r="AQ281" s="252"/>
      <c r="AR281" s="252"/>
      <c r="AS281" s="252"/>
      <c r="AT281" s="252"/>
      <c r="AU281" s="252"/>
      <c r="AV281" s="252"/>
      <c r="AW281" s="252"/>
      <c r="AX281" s="252"/>
      <c r="AY281" s="252"/>
    </row>
    <row r="282" spans="1:51" ht="15.75" customHeight="1">
      <c r="A282" s="87" t="s">
        <v>616</v>
      </c>
      <c r="B282" s="4"/>
      <c r="C282" s="4"/>
      <c r="D282" s="12"/>
      <c r="E282" s="12"/>
      <c r="F282" s="12"/>
      <c r="G282" s="12"/>
      <c r="H282" s="12"/>
      <c r="I282" s="12"/>
      <c r="J282" s="12"/>
      <c r="K282" s="12"/>
      <c r="L282" s="12"/>
      <c r="M282" s="12"/>
      <c r="N282" s="12"/>
      <c r="O282" s="329" t="e">
        <f t="shared" ref="O282:AM286" si="109">O274/O267*100</f>
        <v>#DIV/0!</v>
      </c>
      <c r="P282" s="329" t="e">
        <f t="shared" si="109"/>
        <v>#DIV/0!</v>
      </c>
      <c r="Q282" s="329" t="e">
        <f t="shared" si="109"/>
        <v>#DIV/0!</v>
      </c>
      <c r="R282" s="329" t="e">
        <f t="shared" si="109"/>
        <v>#DIV/0!</v>
      </c>
      <c r="S282" s="329" t="e">
        <f t="shared" si="109"/>
        <v>#DIV/0!</v>
      </c>
      <c r="T282" s="329" t="e">
        <f t="shared" si="109"/>
        <v>#DIV/0!</v>
      </c>
      <c r="U282" s="329" t="e">
        <f t="shared" si="109"/>
        <v>#DIV/0!</v>
      </c>
      <c r="V282" s="329" t="e">
        <f t="shared" si="109"/>
        <v>#DIV/0!</v>
      </c>
      <c r="W282" s="329" t="e">
        <f t="shared" si="109"/>
        <v>#DIV/0!</v>
      </c>
      <c r="X282" s="329">
        <f t="shared" si="109"/>
        <v>18.660774983004757</v>
      </c>
      <c r="Y282" s="329" t="e">
        <f t="shared" si="109"/>
        <v>#DIV/0!</v>
      </c>
      <c r="Z282" s="329" t="e">
        <f t="shared" si="109"/>
        <v>#DIV/0!</v>
      </c>
      <c r="AA282" s="329">
        <f t="shared" si="109"/>
        <v>18.328248932275777</v>
      </c>
      <c r="AB282" s="329">
        <f t="shared" si="109"/>
        <v>20.024875621890548</v>
      </c>
      <c r="AC282" s="329">
        <f t="shared" si="109"/>
        <v>18.352102964835669</v>
      </c>
      <c r="AD282" s="329">
        <f t="shared" si="109"/>
        <v>16.136945392491466</v>
      </c>
      <c r="AE282" s="329">
        <f t="shared" si="109"/>
        <v>17.87598288046183</v>
      </c>
      <c r="AF282" s="329">
        <f t="shared" si="109"/>
        <v>15.233293792012653</v>
      </c>
      <c r="AG282" s="329">
        <f t="shared" si="109"/>
        <v>12.651464554908884</v>
      </c>
      <c r="AH282" s="329">
        <f t="shared" si="109"/>
        <v>14.87760652765186</v>
      </c>
      <c r="AI282" s="329">
        <f t="shared" si="109"/>
        <v>17.874610938194753</v>
      </c>
      <c r="AJ282" s="329">
        <f t="shared" si="109"/>
        <v>19.41953969867825</v>
      </c>
      <c r="AK282" s="329">
        <f t="shared" si="109"/>
        <v>19.696162046908317</v>
      </c>
      <c r="AL282" s="329">
        <f t="shared" si="109"/>
        <v>15.977961432506888</v>
      </c>
      <c r="AM282" s="329" t="e">
        <f t="shared" si="109"/>
        <v>#DIV/0!</v>
      </c>
      <c r="AN282" s="281"/>
      <c r="AO282" s="12"/>
      <c r="AP282" s="12"/>
      <c r="AQ282" s="12"/>
      <c r="AR282" s="12"/>
      <c r="AS282" s="12"/>
      <c r="AT282" s="12"/>
      <c r="AU282" s="12"/>
      <c r="AV282" s="12"/>
      <c r="AW282" s="12"/>
      <c r="AX282" s="12"/>
      <c r="AY282" s="12"/>
    </row>
    <row r="283" spans="1:51">
      <c r="A283" s="87" t="s">
        <v>617</v>
      </c>
      <c r="B283" s="4"/>
      <c r="C283" s="4"/>
      <c r="D283" s="12"/>
      <c r="E283" s="12"/>
      <c r="F283" s="12"/>
      <c r="G283" s="12"/>
      <c r="H283" s="12"/>
      <c r="I283" s="12"/>
      <c r="J283" s="12"/>
      <c r="K283" s="12"/>
      <c r="L283" s="12"/>
      <c r="M283" s="12"/>
      <c r="N283" s="12"/>
      <c r="O283" s="329" t="e">
        <f t="shared" si="109"/>
        <v>#DIV/0!</v>
      </c>
      <c r="P283" s="329" t="e">
        <f t="shared" si="109"/>
        <v>#DIV/0!</v>
      </c>
      <c r="Q283" s="329" t="e">
        <f t="shared" si="109"/>
        <v>#DIV/0!</v>
      </c>
      <c r="R283" s="329" t="e">
        <f t="shared" si="109"/>
        <v>#DIV/0!</v>
      </c>
      <c r="S283" s="329" t="e">
        <f t="shared" si="109"/>
        <v>#DIV/0!</v>
      </c>
      <c r="T283" s="329" t="e">
        <f t="shared" si="109"/>
        <v>#DIV/0!</v>
      </c>
      <c r="U283" s="329" t="e">
        <f t="shared" si="109"/>
        <v>#DIV/0!</v>
      </c>
      <c r="V283" s="329" t="e">
        <f t="shared" si="109"/>
        <v>#DIV/0!</v>
      </c>
      <c r="W283" s="329" t="e">
        <f t="shared" si="109"/>
        <v>#DIV/0!</v>
      </c>
      <c r="X283" s="329">
        <f t="shared" si="109"/>
        <v>21.074865055151374</v>
      </c>
      <c r="Y283" s="329" t="e">
        <f t="shared" si="109"/>
        <v>#DIV/0!</v>
      </c>
      <c r="Z283" s="329" t="e">
        <f t="shared" si="109"/>
        <v>#DIV/0!</v>
      </c>
      <c r="AA283" s="329">
        <f t="shared" si="109"/>
        <v>20.671378091872793</v>
      </c>
      <c r="AB283" s="329">
        <f t="shared" si="109"/>
        <v>21.149713467048713</v>
      </c>
      <c r="AC283" s="329">
        <f t="shared" si="109"/>
        <v>23.17670798501009</v>
      </c>
      <c r="AD283" s="329">
        <f t="shared" si="109"/>
        <v>20.767862436999703</v>
      </c>
      <c r="AE283" s="329">
        <f t="shared" si="109"/>
        <v>20.882469855571749</v>
      </c>
      <c r="AF283" s="329">
        <f t="shared" si="109"/>
        <v>23.634390449776919</v>
      </c>
      <c r="AG283" s="329">
        <f t="shared" si="109"/>
        <v>19.490045406915822</v>
      </c>
      <c r="AH283" s="329">
        <f t="shared" si="109"/>
        <v>18.670553935860056</v>
      </c>
      <c r="AI283" s="329">
        <f t="shared" si="109"/>
        <v>17.27766463000679</v>
      </c>
      <c r="AJ283" s="329">
        <f t="shared" si="109"/>
        <v>21.483870967741936</v>
      </c>
      <c r="AK283" s="329">
        <f t="shared" si="109"/>
        <v>20.398009950248756</v>
      </c>
      <c r="AL283" s="329">
        <f t="shared" si="109"/>
        <v>13.719577859142795</v>
      </c>
      <c r="AM283" s="329" t="e">
        <f t="shared" si="109"/>
        <v>#DIV/0!</v>
      </c>
      <c r="AN283" s="281"/>
      <c r="AO283" s="12"/>
      <c r="AP283" s="12"/>
      <c r="AQ283" s="12"/>
      <c r="AR283" s="12"/>
      <c r="AS283" s="12"/>
      <c r="AT283" s="12"/>
      <c r="AU283" s="12"/>
      <c r="AV283" s="12"/>
      <c r="AW283" s="12"/>
      <c r="AX283" s="12"/>
      <c r="AY283" s="12"/>
    </row>
    <row r="284" spans="1:51">
      <c r="A284" s="87" t="s">
        <v>686</v>
      </c>
      <c r="B284" s="4"/>
      <c r="C284" s="4"/>
      <c r="D284" s="12"/>
      <c r="E284" s="12"/>
      <c r="F284" s="12"/>
      <c r="G284" s="12"/>
      <c r="H284" s="12"/>
      <c r="I284" s="12"/>
      <c r="J284" s="12"/>
      <c r="K284" s="12"/>
      <c r="L284" s="12"/>
      <c r="M284" s="12"/>
      <c r="N284" s="12"/>
      <c r="O284" s="329" t="e">
        <f t="shared" si="109"/>
        <v>#DIV/0!</v>
      </c>
      <c r="P284" s="329" t="e">
        <f t="shared" si="109"/>
        <v>#DIV/0!</v>
      </c>
      <c r="Q284" s="329" t="e">
        <f t="shared" si="109"/>
        <v>#DIV/0!</v>
      </c>
      <c r="R284" s="329" t="e">
        <f t="shared" si="109"/>
        <v>#DIV/0!</v>
      </c>
      <c r="S284" s="329" t="e">
        <f t="shared" si="109"/>
        <v>#DIV/0!</v>
      </c>
      <c r="T284" s="329" t="e">
        <f t="shared" si="109"/>
        <v>#DIV/0!</v>
      </c>
      <c r="U284" s="329" t="e">
        <f t="shared" si="109"/>
        <v>#DIV/0!</v>
      </c>
      <c r="V284" s="329" t="e">
        <f t="shared" si="109"/>
        <v>#DIV/0!</v>
      </c>
      <c r="W284" s="329" t="e">
        <f t="shared" si="109"/>
        <v>#DIV/0!</v>
      </c>
      <c r="X284" s="329">
        <f t="shared" si="109"/>
        <v>11.111111111111111</v>
      </c>
      <c r="Y284" s="329" t="e">
        <f t="shared" si="109"/>
        <v>#DIV/0!</v>
      </c>
      <c r="Z284" s="329" t="e">
        <f t="shared" si="109"/>
        <v>#DIV/0!</v>
      </c>
      <c r="AA284" s="329">
        <f t="shared" si="109"/>
        <v>13.015873015873018</v>
      </c>
      <c r="AB284" s="329">
        <f t="shared" si="109"/>
        <v>10.103244837758112</v>
      </c>
      <c r="AC284" s="329">
        <f t="shared" si="109"/>
        <v>9.9264705882352935</v>
      </c>
      <c r="AD284" s="329">
        <f t="shared" si="109"/>
        <v>9.1937765205091928</v>
      </c>
      <c r="AE284" s="329">
        <f t="shared" si="109"/>
        <v>12.013651877133105</v>
      </c>
      <c r="AF284" s="329">
        <f t="shared" si="109"/>
        <v>15.56338028169014</v>
      </c>
      <c r="AG284" s="329">
        <f t="shared" si="109"/>
        <v>14.624505928853754</v>
      </c>
      <c r="AH284" s="329">
        <f t="shared" si="109"/>
        <v>8.9571337172104926</v>
      </c>
      <c r="AI284" s="329">
        <f t="shared" si="109"/>
        <v>7.1339950372208429</v>
      </c>
      <c r="AJ284" s="329">
        <f t="shared" si="109"/>
        <v>7.4626865671641784</v>
      </c>
      <c r="AK284" s="329">
        <f t="shared" si="109"/>
        <v>6.7216233354470507</v>
      </c>
      <c r="AL284" s="329">
        <f t="shared" si="109"/>
        <v>1.2008733624454149</v>
      </c>
      <c r="AM284" s="329" t="e">
        <f t="shared" si="109"/>
        <v>#DIV/0!</v>
      </c>
      <c r="AN284" s="281"/>
      <c r="AO284" s="12"/>
      <c r="AP284" s="12"/>
      <c r="AQ284" s="12"/>
      <c r="AR284" s="12"/>
      <c r="AS284" s="12"/>
      <c r="AT284" s="12"/>
      <c r="AU284" s="12"/>
      <c r="AV284" s="12"/>
      <c r="AW284" s="12"/>
      <c r="AX284" s="12"/>
      <c r="AY284" s="12"/>
    </row>
    <row r="285" spans="1:51">
      <c r="A285" s="87" t="s">
        <v>619</v>
      </c>
      <c r="B285" s="4"/>
      <c r="C285" s="4"/>
      <c r="D285" s="12"/>
      <c r="E285" s="12"/>
      <c r="F285" s="12"/>
      <c r="G285" s="12"/>
      <c r="H285" s="12"/>
      <c r="I285" s="12"/>
      <c r="J285" s="12"/>
      <c r="K285" s="12"/>
      <c r="L285" s="12"/>
      <c r="M285" s="12"/>
      <c r="N285" s="12"/>
      <c r="O285" s="329" t="e">
        <f t="shared" si="109"/>
        <v>#DIV/0!</v>
      </c>
      <c r="P285" s="329" t="e">
        <f t="shared" si="109"/>
        <v>#DIV/0!</v>
      </c>
      <c r="Q285" s="329" t="e">
        <f t="shared" si="109"/>
        <v>#DIV/0!</v>
      </c>
      <c r="R285" s="329" t="e">
        <f t="shared" si="109"/>
        <v>#DIV/0!</v>
      </c>
      <c r="S285" s="329" t="e">
        <f t="shared" si="109"/>
        <v>#DIV/0!</v>
      </c>
      <c r="T285" s="329" t="e">
        <f t="shared" si="109"/>
        <v>#DIV/0!</v>
      </c>
      <c r="U285" s="329" t="e">
        <f t="shared" si="109"/>
        <v>#DIV/0!</v>
      </c>
      <c r="V285" s="329" t="e">
        <f t="shared" si="109"/>
        <v>#DIV/0!</v>
      </c>
      <c r="W285" s="329" t="e">
        <f t="shared" si="109"/>
        <v>#DIV/0!</v>
      </c>
      <c r="X285" s="329">
        <f t="shared" si="109"/>
        <v>-14.225941422594143</v>
      </c>
      <c r="Y285" s="329" t="e">
        <f t="shared" si="109"/>
        <v>#DIV/0!</v>
      </c>
      <c r="Z285" s="329" t="e">
        <f t="shared" si="109"/>
        <v>#DIV/0!</v>
      </c>
      <c r="AA285" s="329">
        <f t="shared" si="109"/>
        <v>-2.7710843373493974</v>
      </c>
      <c r="AB285" s="329">
        <f t="shared" si="109"/>
        <v>-8.6574654956085322</v>
      </c>
      <c r="AC285" s="329">
        <f t="shared" si="109"/>
        <v>-10.955710955710956</v>
      </c>
      <c r="AD285" s="329">
        <f t="shared" si="109"/>
        <v>-16.622691292875992</v>
      </c>
      <c r="AE285" s="329">
        <f t="shared" si="109"/>
        <v>-19.439252336448597</v>
      </c>
      <c r="AF285" s="329">
        <f t="shared" si="109"/>
        <v>-14.67764060356653</v>
      </c>
      <c r="AG285" s="329">
        <f t="shared" si="109"/>
        <v>4.5863309352517989</v>
      </c>
      <c r="AH285" s="329">
        <f t="shared" si="109"/>
        <v>-22.168905950095969</v>
      </c>
      <c r="AI285" s="329">
        <f t="shared" si="109"/>
        <v>-16.682286785379567</v>
      </c>
      <c r="AJ285" s="329">
        <f t="shared" si="109"/>
        <v>-13.745019920318724</v>
      </c>
      <c r="AK285" s="329">
        <f t="shared" si="109"/>
        <v>-16.245210727969347</v>
      </c>
      <c r="AL285" s="329">
        <f t="shared" si="109"/>
        <v>-8.3424807903402858</v>
      </c>
      <c r="AM285" s="329" t="e">
        <f t="shared" si="109"/>
        <v>#DIV/0!</v>
      </c>
      <c r="AN285" s="281"/>
      <c r="AO285" s="12"/>
      <c r="AP285" s="12"/>
      <c r="AQ285" s="12"/>
      <c r="AR285" s="12"/>
      <c r="AS285" s="12"/>
      <c r="AT285" s="12"/>
      <c r="AU285" s="12"/>
      <c r="AV285" s="12"/>
      <c r="AW285" s="12"/>
      <c r="AX285" s="12"/>
      <c r="AY285" s="12"/>
    </row>
    <row r="286" spans="1:51">
      <c r="A286" s="6" t="s">
        <v>691</v>
      </c>
      <c r="B286" s="4"/>
      <c r="C286" s="4"/>
      <c r="D286" s="12"/>
      <c r="E286" s="12"/>
      <c r="F286" s="12"/>
      <c r="G286" s="12"/>
      <c r="H286" s="12"/>
      <c r="I286" s="12"/>
      <c r="J286" s="12"/>
      <c r="K286" s="12"/>
      <c r="L286" s="12"/>
      <c r="M286" s="12"/>
      <c r="N286" s="12"/>
      <c r="O286" s="329" t="e">
        <f t="shared" si="109"/>
        <v>#DIV/0!</v>
      </c>
      <c r="P286" s="329" t="e">
        <f t="shared" si="109"/>
        <v>#DIV/0!</v>
      </c>
      <c r="Q286" s="329" t="e">
        <f t="shared" si="109"/>
        <v>#DIV/0!</v>
      </c>
      <c r="R286" s="329" t="e">
        <f t="shared" si="109"/>
        <v>#DIV/0!</v>
      </c>
      <c r="S286" s="329" t="e">
        <f t="shared" si="109"/>
        <v>#DIV/0!</v>
      </c>
      <c r="T286" s="329" t="e">
        <f t="shared" si="109"/>
        <v>#DIV/0!</v>
      </c>
      <c r="U286" s="329" t="e">
        <f t="shared" si="109"/>
        <v>#DIV/0!</v>
      </c>
      <c r="V286" s="329" t="e">
        <f t="shared" si="109"/>
        <v>#DIV/0!</v>
      </c>
      <c r="W286" s="329" t="e">
        <f t="shared" si="109"/>
        <v>#DIV/0!</v>
      </c>
      <c r="X286" s="329">
        <f t="shared" si="109"/>
        <v>16.882244246598354</v>
      </c>
      <c r="Y286" s="329" t="e">
        <f t="shared" si="109"/>
        <v>#DIV/0!</v>
      </c>
      <c r="Z286" s="329" t="e">
        <f t="shared" si="109"/>
        <v>#DIV/0!</v>
      </c>
      <c r="AA286" s="329">
        <f t="shared" si="109"/>
        <v>17.439785905441571</v>
      </c>
      <c r="AB286" s="329">
        <f t="shared" si="109"/>
        <v>18.21361799650202</v>
      </c>
      <c r="AC286" s="329">
        <f t="shared" si="109"/>
        <v>18.893797693499341</v>
      </c>
      <c r="AD286" s="329">
        <f t="shared" si="109"/>
        <v>15.950584891221165</v>
      </c>
      <c r="AE286" s="329">
        <f t="shared" si="109"/>
        <v>17.576809227314484</v>
      </c>
      <c r="AF286" s="329">
        <f t="shared" si="109"/>
        <v>17.584395369199338</v>
      </c>
      <c r="AG286" s="329">
        <f t="shared" si="109"/>
        <v>15.082949308755762</v>
      </c>
      <c r="AH286" s="329">
        <f t="shared" si="109"/>
        <v>14.187303016659161</v>
      </c>
      <c r="AI286" s="329">
        <f t="shared" si="109"/>
        <v>15.262279237325366</v>
      </c>
      <c r="AJ286" s="329">
        <f t="shared" si="109"/>
        <v>17.268540438169843</v>
      </c>
      <c r="AK286" s="329">
        <f t="shared" si="109"/>
        <v>17.121051515793937</v>
      </c>
      <c r="AL286" s="329">
        <f t="shared" si="109"/>
        <v>13.053982005998</v>
      </c>
      <c r="AM286" s="329" t="e">
        <f t="shared" si="109"/>
        <v>#DIV/0!</v>
      </c>
      <c r="AN286" s="281"/>
      <c r="AO286" s="12"/>
      <c r="AP286" s="12"/>
      <c r="AQ286" s="12"/>
      <c r="AR286" s="12"/>
      <c r="AS286" s="12"/>
      <c r="AT286" s="12"/>
      <c r="AU286" s="12"/>
      <c r="AV286" s="12"/>
      <c r="AW286" s="12"/>
      <c r="AX286" s="12"/>
      <c r="AY286" s="12"/>
    </row>
    <row r="287" spans="1:51">
      <c r="A287" s="4"/>
      <c r="B287" s="4"/>
      <c r="C287" s="4"/>
      <c r="D287" s="12"/>
      <c r="E287" s="12"/>
      <c r="F287" s="12"/>
      <c r="G287" s="12"/>
      <c r="H287" s="12"/>
      <c r="I287" s="12"/>
      <c r="J287" s="12"/>
      <c r="K287" s="12"/>
      <c r="L287" s="12"/>
      <c r="M287" s="12"/>
      <c r="N287" s="12"/>
      <c r="O287" s="12"/>
      <c r="P287" s="12"/>
      <c r="Q287" s="12"/>
      <c r="R287" s="12"/>
      <c r="S287" s="12"/>
      <c r="T287" s="12"/>
      <c r="U287" s="12"/>
      <c r="V287" s="4"/>
      <c r="W287" s="4"/>
      <c r="X287" s="4"/>
      <c r="Y287" s="4"/>
      <c r="Z287" s="4"/>
      <c r="AA287" s="4"/>
      <c r="AB287" s="4"/>
      <c r="AC287" s="4"/>
      <c r="AD287" s="4"/>
      <c r="AE287" s="4"/>
      <c r="AF287" s="4"/>
      <c r="AG287" s="4"/>
      <c r="AH287" s="4"/>
      <c r="AI287" s="4"/>
      <c r="AJ287" s="4"/>
      <c r="AK287" s="4"/>
      <c r="AL287" s="4"/>
      <c r="AM287" s="4"/>
      <c r="AN287" s="281"/>
      <c r="AO287" s="12"/>
      <c r="AP287" s="12"/>
      <c r="AQ287" s="12"/>
      <c r="AR287" s="12"/>
      <c r="AS287" s="12"/>
      <c r="AT287" s="12"/>
      <c r="AU287" s="12"/>
      <c r="AV287" s="12"/>
      <c r="AW287" s="12"/>
      <c r="AX287" s="12"/>
      <c r="AY287" s="12"/>
    </row>
    <row r="288" spans="1:51" s="264" customFormat="1">
      <c r="A288" s="6" t="s">
        <v>693</v>
      </c>
      <c r="B288" s="6"/>
      <c r="C288" s="6"/>
      <c r="D288" s="280"/>
      <c r="E288" s="280"/>
      <c r="F288" s="280"/>
      <c r="G288" s="280"/>
      <c r="H288" s="280"/>
      <c r="I288" s="280"/>
      <c r="J288" s="280"/>
      <c r="K288" s="280"/>
      <c r="L288" s="280"/>
      <c r="M288" s="280"/>
      <c r="N288" s="280"/>
      <c r="O288" s="280" t="e">
        <f t="shared" ref="O288:AM288" si="110">O278/O271*100</f>
        <v>#DIV/0!</v>
      </c>
      <c r="P288" s="280" t="e">
        <f t="shared" si="110"/>
        <v>#DIV/0!</v>
      </c>
      <c r="Q288" s="280" t="e">
        <f t="shared" si="110"/>
        <v>#DIV/0!</v>
      </c>
      <c r="R288" s="280" t="e">
        <f t="shared" si="110"/>
        <v>#DIV/0!</v>
      </c>
      <c r="S288" s="280" t="e">
        <f t="shared" si="110"/>
        <v>#DIV/0!</v>
      </c>
      <c r="T288" s="280" t="e">
        <f t="shared" si="110"/>
        <v>#DIV/0!</v>
      </c>
      <c r="U288" s="280" t="e">
        <f t="shared" si="110"/>
        <v>#DIV/0!</v>
      </c>
      <c r="V288" s="280" t="e">
        <f t="shared" si="110"/>
        <v>#DIV/0!</v>
      </c>
      <c r="W288" s="280" t="e">
        <f t="shared" si="110"/>
        <v>#DIV/0!</v>
      </c>
      <c r="X288" s="280">
        <f t="shared" si="110"/>
        <v>16.882244246598354</v>
      </c>
      <c r="Y288" s="280" t="e">
        <f t="shared" si="110"/>
        <v>#DIV/0!</v>
      </c>
      <c r="Z288" s="280" t="e">
        <f t="shared" si="110"/>
        <v>#DIV/0!</v>
      </c>
      <c r="AA288" s="280">
        <f t="shared" si="110"/>
        <v>17.439785905441571</v>
      </c>
      <c r="AB288" s="280">
        <f t="shared" si="110"/>
        <v>18.21361799650202</v>
      </c>
      <c r="AC288" s="280">
        <f t="shared" si="110"/>
        <v>18.893797693499341</v>
      </c>
      <c r="AD288" s="280">
        <f t="shared" si="110"/>
        <v>15.950584891221165</v>
      </c>
      <c r="AE288" s="280">
        <f t="shared" si="110"/>
        <v>17.576809227314484</v>
      </c>
      <c r="AF288" s="280">
        <f t="shared" si="110"/>
        <v>17.584395369199338</v>
      </c>
      <c r="AG288" s="280">
        <f t="shared" si="110"/>
        <v>15.082949308755762</v>
      </c>
      <c r="AH288" s="280">
        <f t="shared" si="110"/>
        <v>14.187303016659161</v>
      </c>
      <c r="AI288" s="280">
        <f t="shared" si="110"/>
        <v>15.262279237325366</v>
      </c>
      <c r="AJ288" s="280">
        <f t="shared" si="110"/>
        <v>17.268540438169843</v>
      </c>
      <c r="AK288" s="280">
        <f t="shared" si="110"/>
        <v>17.121051515793937</v>
      </c>
      <c r="AL288" s="280">
        <f t="shared" si="110"/>
        <v>13.053982005998</v>
      </c>
      <c r="AM288" s="280" t="e">
        <f t="shared" si="110"/>
        <v>#DIV/0!</v>
      </c>
      <c r="AN288" s="328"/>
      <c r="AO288" s="280"/>
      <c r="AP288" s="280"/>
      <c r="AQ288" s="280"/>
      <c r="AR288" s="280"/>
      <c r="AS288" s="280"/>
      <c r="AT288" s="280"/>
      <c r="AU288" s="280"/>
      <c r="AV288" s="280"/>
      <c r="AW288" s="280"/>
      <c r="AX288" s="280"/>
      <c r="AY288" s="280"/>
    </row>
    <row r="289" spans="1:51" s="264" customFormat="1">
      <c r="A289" s="6"/>
      <c r="B289" s="6"/>
      <c r="C289" s="6"/>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328"/>
      <c r="AO289" s="280"/>
      <c r="AP289" s="280"/>
      <c r="AQ289" s="280"/>
      <c r="AR289" s="280"/>
      <c r="AS289" s="280"/>
      <c r="AT289" s="280"/>
      <c r="AU289" s="280"/>
      <c r="AV289" s="280"/>
      <c r="AW289" s="280"/>
      <c r="AX289" s="280"/>
      <c r="AY289" s="280"/>
    </row>
    <row r="290" spans="1:51">
      <c r="A290" s="251" t="s">
        <v>694</v>
      </c>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c r="AA290" s="252"/>
      <c r="AB290" s="252"/>
      <c r="AC290" s="252"/>
      <c r="AD290" s="252"/>
      <c r="AE290" s="252"/>
      <c r="AF290" s="252"/>
      <c r="AG290" s="252"/>
      <c r="AH290" s="252"/>
      <c r="AI290" s="252"/>
      <c r="AJ290" s="252"/>
      <c r="AK290" s="252"/>
      <c r="AL290" s="252"/>
      <c r="AM290" s="252"/>
      <c r="AN290" s="282"/>
      <c r="AO290" s="7"/>
      <c r="AP290" s="7"/>
      <c r="AQ290" s="7"/>
      <c r="AR290" s="7"/>
      <c r="AS290" s="7"/>
      <c r="AT290" s="4"/>
      <c r="AU290" s="4"/>
      <c r="AV290" s="4"/>
      <c r="AW290" s="4"/>
      <c r="AX290" s="4"/>
      <c r="AY290" s="4"/>
    </row>
    <row r="291" spans="1:51">
      <c r="A291" s="4" t="s">
        <v>694</v>
      </c>
      <c r="B291" s="23" t="e">
        <f t="shared" ref="B291:AM291" si="111">(B4*10^6*4)/AVERAGE(B229,A229)</f>
        <v>#REF!</v>
      </c>
      <c r="C291" s="23" t="e">
        <f t="shared" si="111"/>
        <v>#REF!</v>
      </c>
      <c r="D291" s="23" t="e">
        <f t="shared" si="111"/>
        <v>#REF!</v>
      </c>
      <c r="E291" s="23" t="e">
        <f t="shared" si="111"/>
        <v>#REF!</v>
      </c>
      <c r="F291" s="23" t="e">
        <f t="shared" si="111"/>
        <v>#REF!</v>
      </c>
      <c r="G291" s="23" t="e">
        <f t="shared" si="111"/>
        <v>#REF!</v>
      </c>
      <c r="H291" s="23" t="e">
        <f t="shared" si="111"/>
        <v>#REF!</v>
      </c>
      <c r="I291" s="23" t="e">
        <f t="shared" si="111"/>
        <v>#REF!</v>
      </c>
      <c r="J291" s="23">
        <f t="shared" si="111"/>
        <v>49420.992188638862</v>
      </c>
      <c r="K291" s="23" t="e">
        <f t="shared" si="111"/>
        <v>#REF!</v>
      </c>
      <c r="L291" s="23" t="e">
        <f t="shared" si="111"/>
        <v>#REF!</v>
      </c>
      <c r="M291" s="23" t="e">
        <f t="shared" si="111"/>
        <v>#REF!</v>
      </c>
      <c r="N291" s="23">
        <f t="shared" si="111"/>
        <v>49432.413386136992</v>
      </c>
      <c r="O291" s="23">
        <f t="shared" si="111"/>
        <v>50012.814601219143</v>
      </c>
      <c r="P291" s="23">
        <f t="shared" si="111"/>
        <v>51194.534290187905</v>
      </c>
      <c r="Q291" s="23">
        <f t="shared" si="111"/>
        <v>52731.758597076063</v>
      </c>
      <c r="R291" s="23">
        <f t="shared" si="111"/>
        <v>54514.470731915135</v>
      </c>
      <c r="S291" s="23">
        <f t="shared" si="111"/>
        <v>55731.682190793385</v>
      </c>
      <c r="T291" s="23">
        <f t="shared" si="111"/>
        <v>55890.620639138586</v>
      </c>
      <c r="U291" s="23">
        <f t="shared" si="111"/>
        <v>56278.280955480201</v>
      </c>
      <c r="V291" s="23">
        <f t="shared" si="111"/>
        <v>51448.009561459963</v>
      </c>
      <c r="W291" s="23">
        <f t="shared" si="111"/>
        <v>56948.529411764706</v>
      </c>
      <c r="X291" s="23">
        <f t="shared" si="111"/>
        <v>56955.636234835736</v>
      </c>
      <c r="Y291" s="23">
        <f t="shared" si="111"/>
        <v>57812.303170270839</v>
      </c>
      <c r="Z291" s="23">
        <f t="shared" si="111"/>
        <v>48585.852442065567</v>
      </c>
      <c r="AA291" s="23">
        <f t="shared" si="111"/>
        <v>41243.307410906804</v>
      </c>
      <c r="AB291" s="23">
        <f t="shared" si="111"/>
        <v>41308.602852083139</v>
      </c>
      <c r="AC291" s="23">
        <f t="shared" si="111"/>
        <v>41658.077526327579</v>
      </c>
      <c r="AD291" s="23">
        <f t="shared" si="111"/>
        <v>42208.567260510143</v>
      </c>
      <c r="AE291" s="23">
        <f t="shared" si="111"/>
        <v>43189.819167778194</v>
      </c>
      <c r="AF291" s="23">
        <f t="shared" si="111"/>
        <v>44258.835941621241</v>
      </c>
      <c r="AG291" s="23">
        <f t="shared" si="111"/>
        <v>46255.111635942179</v>
      </c>
      <c r="AH291" s="23">
        <f t="shared" si="111"/>
        <v>45827.010622154783</v>
      </c>
      <c r="AI291" s="23">
        <f t="shared" si="111"/>
        <v>45532.31550079817</v>
      </c>
      <c r="AJ291" s="23">
        <f t="shared" si="111"/>
        <v>45811.757538836428</v>
      </c>
      <c r="AK291" s="23">
        <f t="shared" si="111"/>
        <v>45551.659132831977</v>
      </c>
      <c r="AL291" s="23">
        <f t="shared" si="111"/>
        <v>44629.708987494647</v>
      </c>
      <c r="AM291" s="23">
        <f t="shared" si="111"/>
        <v>45367.236806000183</v>
      </c>
      <c r="AN291" s="281"/>
      <c r="AO291" s="4"/>
      <c r="AP291" s="4"/>
      <c r="AQ291" s="4"/>
      <c r="AR291" s="4"/>
      <c r="AS291" s="4"/>
      <c r="AT291" s="4"/>
      <c r="AU291" s="23"/>
      <c r="AV291" s="23"/>
      <c r="AW291" s="23"/>
      <c r="AX291" s="23"/>
      <c r="AY291" s="23"/>
    </row>
    <row r="292" spans="1:51">
      <c r="A292" s="4" t="s">
        <v>695</v>
      </c>
      <c r="B292" s="23" t="e">
        <f>(('P&amp;L consol'!#REF!/'P&amp;L consol'!#REF!)*10^6*4)/AVERAGE(B229,A229)</f>
        <v>#REF!</v>
      </c>
      <c r="C292" s="23" t="e">
        <f>(('P&amp;L consol'!#REF!/'P&amp;L consol'!#REF!)*10^6*4)/AVERAGE(C229,B229)</f>
        <v>#REF!</v>
      </c>
      <c r="D292" s="23" t="e">
        <f>(('P&amp;L consol'!#REF!/'P&amp;L consol'!#REF!)*10^6*4)/AVERAGE(D229,C229)</f>
        <v>#REF!</v>
      </c>
      <c r="E292" s="23" t="e">
        <f>(('P&amp;L consol'!#REF!/'P&amp;L consol'!#REF!)*10^6*4)/AVERAGE(E229,D229)</f>
        <v>#REF!</v>
      </c>
      <c r="F292" s="23" t="e">
        <f>(('P&amp;L consol'!#REF!/'P&amp;L consol'!#REF!)*10^6*4)/AVERAGE(F229,E229)</f>
        <v>#REF!</v>
      </c>
      <c r="G292" s="23" t="e">
        <f>(('P&amp;L consol'!#REF!/'P&amp;L consol'!#REF!)*10^6*4)/AVERAGE(G229,F229)</f>
        <v>#REF!</v>
      </c>
      <c r="H292" s="23" t="e">
        <f>(('P&amp;L consol'!#REF!/'P&amp;L consol'!#REF!)*10^6*4)/AVERAGE(H229,G229)</f>
        <v>#REF!</v>
      </c>
      <c r="I292" s="23" t="e">
        <f>(('P&amp;L consol'!#REF!/'P&amp;L consol'!#REF!)*10^6*4)/AVERAGE(I229,H229)</f>
        <v>#REF!</v>
      </c>
      <c r="J292" s="23">
        <f>(('P&amp;L consol'!F15/'P&amp;L consol'!F4)*10^6*4)/AVERAGE(J229,I229)</f>
        <v>31908.57402276768</v>
      </c>
      <c r="K292" s="23" t="e">
        <f>(('P&amp;L consol'!G15/'P&amp;L consol'!G4)*10^6*4)/AVERAGE(K229,J229)</f>
        <v>#REF!</v>
      </c>
      <c r="L292" s="23" t="e">
        <f>(('P&amp;L consol'!H15/'P&amp;L consol'!H4)*10^6*4)/AVERAGE(L229,K229)</f>
        <v>#REF!</v>
      </c>
      <c r="M292" s="23" t="e">
        <f>(('P&amp;L consol'!I15/'P&amp;L consol'!I4)*10^6*4)/AVERAGE(M229,L229)</f>
        <v>#REF!</v>
      </c>
      <c r="N292" s="23">
        <f>(('P&amp;L consol'!J15/'P&amp;L consol'!J4)*10^6*4)/AVERAGE(N229,M229)</f>
        <v>32734.693736403777</v>
      </c>
      <c r="O292" s="23">
        <f>(('P&amp;L consol'!K15/'P&amp;L consol'!K4)*10^6*4)/AVERAGE(O229,N229)</f>
        <v>32795.288263094524</v>
      </c>
      <c r="P292" s="23">
        <f>(('P&amp;L consol'!L15/'P&amp;L consol'!L4)*10^6*4)/AVERAGE(P229,O229)</f>
        <v>33387.980412846089</v>
      </c>
      <c r="Q292" s="23">
        <f>(('P&amp;L consol'!M15/'P&amp;L consol'!M4)*10^6*4)/AVERAGE(Q229,P229)</f>
        <v>34573.564226648217</v>
      </c>
      <c r="R292" s="23">
        <f>(('P&amp;L consol'!N15/'P&amp;L consol'!N4)*10^6*4)/AVERAGE(R229,Q229)</f>
        <v>36058.962197165492</v>
      </c>
      <c r="S292" s="23">
        <f>(('P&amp;L consol'!O15/'P&amp;L consol'!O4)*10^6*4)/AVERAGE(S229,R229)</f>
        <v>36471.113352781103</v>
      </c>
      <c r="T292" s="23">
        <f>(('P&amp;L consol'!P15/'P&amp;L consol'!P4)*10^6*4)/AVERAGE(T229,S229)</f>
        <v>36807.415436749638</v>
      </c>
      <c r="U292" s="23">
        <f>(('P&amp;L consol'!Q15/'P&amp;L consol'!Q4)*10^6*4)/AVERAGE(U229,T229)</f>
        <v>36979.391497745899</v>
      </c>
      <c r="V292" s="23">
        <f>(('P&amp;L consol'!R15/'P&amp;L consol'!R4)*10^6*4)/AVERAGE(V229,U229)</f>
        <v>35244.563598347355</v>
      </c>
      <c r="W292" s="23">
        <f>(('P&amp;L consol'!S15/'P&amp;L consol'!S4)*10^6*4)/AVERAGE(W229,V229)</f>
        <v>38383.614865726129</v>
      </c>
      <c r="X292" s="23">
        <f>(('P&amp;L consol'!T15/'P&amp;L consol'!T4)*10^6*4)/AVERAGE(X229,W229)</f>
        <v>38729.449937613819</v>
      </c>
      <c r="Y292" s="23">
        <f>(('P&amp;L consol'!U15/'P&amp;L consol'!U4)*10^6*4)/AVERAGE(Y229,X229)</f>
        <v>39320.615235903584</v>
      </c>
      <c r="Z292" s="23">
        <f>(('P&amp;L consol'!V15/'P&amp;L consol'!V4)*10^6*4)/AVERAGE(Z229,Y229)</f>
        <v>34072.590827255888</v>
      </c>
      <c r="AA292" s="23">
        <f>(('P&amp;L consol'!W15/'P&amp;L consol'!W4)*10^6*4)/AVERAGE(AA229,Z229)</f>
        <v>28003.611811560011</v>
      </c>
      <c r="AB292" s="23">
        <f>(('P&amp;L consol'!X15/'P&amp;L consol'!X4)*10^6*4)/AVERAGE(AB229,AA229)</f>
        <v>27927.714732033768</v>
      </c>
      <c r="AC292" s="23">
        <f>(('P&amp;L consol'!Y15/'P&amp;L consol'!Y4)*10^6*4)/AVERAGE(AC229,AB229)</f>
        <v>27661.406059978475</v>
      </c>
      <c r="AD292" s="23">
        <f>(('P&amp;L consol'!Z15/'P&amp;L consol'!Z4)*10^6*4)/AVERAGE(AD229,AC229)</f>
        <v>29391.873747219786</v>
      </c>
      <c r="AE292" s="23">
        <f>(('P&amp;L consol'!AA15/'P&amp;L consol'!AA4)*10^6*4)/AVERAGE(AE229,AD229)</f>
        <v>29351.619477295822</v>
      </c>
      <c r="AF292" s="23">
        <f>(('P&amp;L consol'!AB15/'P&amp;L consol'!AB4)*10^6*4)/AVERAGE(AF229,AE229)</f>
        <v>29490.102866442641</v>
      </c>
      <c r="AG292" s="23">
        <f>(('P&amp;L consol'!AC15/'P&amp;L consol'!AC4)*10^6*4)/AVERAGE(AG229,AF229)</f>
        <v>30494.2685282852</v>
      </c>
      <c r="AH292" s="23">
        <f>(('P&amp;L consol'!AD15/'P&amp;L consol'!AD4)*10^6*4)/AVERAGE(AH229,AG229)</f>
        <v>31777.65828869004</v>
      </c>
      <c r="AI292" s="23">
        <f>(('P&amp;L consol'!AE15/'P&amp;L consol'!AE4)*10^6*4)/AVERAGE(AI229,AH229)</f>
        <v>30753.616488413631</v>
      </c>
      <c r="AJ292" s="23">
        <f>(('P&amp;L consol'!AF15/'P&amp;L consol'!AF4)*10^6*4)/AVERAGE(AJ229,AI229)</f>
        <v>30671.97040918524</v>
      </c>
      <c r="AK292" s="23">
        <f>(('P&amp;L consol'!AG15/'P&amp;L consol'!AG4)*10^6*4)/AVERAGE(AK229,AJ229)</f>
        <v>29745.233413739275</v>
      </c>
      <c r="AL292" s="23">
        <f>(('P&amp;L consol'!AH15/'P&amp;L consol'!AH4)*10^6*4)/AVERAGE(AL229,AK229)</f>
        <v>30247.320905995795</v>
      </c>
      <c r="AM292" s="23">
        <f>(('P&amp;L consol'!AI15/'P&amp;L consol'!AI4)*10^6*4)/AVERAGE(AM229,AL229)</f>
        <v>36779.656852276959</v>
      </c>
      <c r="AN292" s="281"/>
      <c r="AO292" s="4"/>
      <c r="AP292" s="4"/>
      <c r="AQ292" s="4"/>
      <c r="AR292" s="4"/>
      <c r="AS292" s="4"/>
      <c r="AT292" s="4"/>
      <c r="AU292" s="23"/>
      <c r="AV292" s="23"/>
      <c r="AW292" s="23"/>
      <c r="AX292" s="23"/>
      <c r="AY292" s="23"/>
    </row>
    <row r="293" spans="1:51">
      <c r="A293" s="4"/>
      <c r="B293" s="4"/>
      <c r="C293" s="4"/>
      <c r="D293" s="4"/>
      <c r="E293" s="4"/>
      <c r="F293" s="4"/>
      <c r="G293" s="4"/>
      <c r="H293" s="4"/>
      <c r="I293" s="4"/>
      <c r="J293" s="4"/>
      <c r="K293" s="4"/>
      <c r="L293" s="4"/>
      <c r="M293" s="4"/>
      <c r="N293" s="17"/>
      <c r="O293" s="4"/>
      <c r="P293" s="4"/>
      <c r="Q293" s="4"/>
      <c r="R293" s="4"/>
      <c r="S293" s="4"/>
      <c r="T293" s="4"/>
      <c r="U293" s="4"/>
      <c r="V293" s="4"/>
      <c r="W293" s="4"/>
      <c r="X293" s="4"/>
      <c r="Y293" s="4"/>
      <c r="Z293" s="4"/>
      <c r="AA293" s="4"/>
      <c r="AB293" s="4"/>
      <c r="AC293" s="4"/>
      <c r="AD293" s="4"/>
      <c r="AE293" s="4"/>
      <c r="AF293" s="4"/>
      <c r="AG293" s="4">
        <f>AG295*1.3</f>
        <v>1129.7</v>
      </c>
      <c r="AH293" s="5">
        <f>AG293/AX4-1</f>
        <v>0.12778276929220334</v>
      </c>
      <c r="AI293" s="4"/>
      <c r="AJ293" s="4"/>
      <c r="AK293" s="4"/>
      <c r="AL293" s="5" t="e">
        <f>AK293/BB4-1</f>
        <v>#DIV/0!</v>
      </c>
      <c r="AM293" s="5" t="e">
        <f>AL293/BC4-1</f>
        <v>#DIV/0!</v>
      </c>
      <c r="AN293" s="281"/>
      <c r="AO293" s="4"/>
      <c r="AP293" s="4"/>
      <c r="AQ293" s="4"/>
      <c r="AR293" s="4"/>
      <c r="AS293" s="4"/>
      <c r="AT293" s="4"/>
      <c r="AU293" s="4"/>
      <c r="AV293" s="4"/>
      <c r="AW293" s="4"/>
      <c r="AX293" s="4"/>
      <c r="AY293" s="4"/>
    </row>
    <row r="294" spans="1:51">
      <c r="A294" s="251" t="s">
        <v>696</v>
      </c>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52"/>
      <c r="AH294" s="252"/>
      <c r="AI294" s="252"/>
      <c r="AJ294" s="252"/>
      <c r="AK294" s="252"/>
      <c r="AL294" s="252"/>
      <c r="AM294" s="252"/>
      <c r="AN294" s="1252"/>
      <c r="AO294" s="252"/>
      <c r="AP294" s="252"/>
      <c r="AQ294" s="252"/>
      <c r="AR294" s="252"/>
      <c r="AS294" s="252"/>
      <c r="AT294" s="252"/>
      <c r="AU294" s="252"/>
      <c r="AV294" s="252"/>
      <c r="AW294" s="252"/>
      <c r="AX294" s="252"/>
      <c r="AY294" s="252"/>
    </row>
    <row r="295" spans="1:51">
      <c r="A295" s="314" t="s">
        <v>697</v>
      </c>
      <c r="B295" s="4"/>
      <c r="C295" s="4"/>
      <c r="D295" s="4"/>
      <c r="E295" s="4"/>
      <c r="F295" s="4"/>
      <c r="G295" s="4"/>
      <c r="H295" s="4"/>
      <c r="I295" s="21">
        <v>320</v>
      </c>
      <c r="J295" s="21"/>
      <c r="K295" s="4"/>
      <c r="L295" s="4"/>
      <c r="M295" s="21">
        <v>339</v>
      </c>
      <c r="N295" s="21"/>
      <c r="O295" s="4"/>
      <c r="P295" s="4"/>
      <c r="Q295" s="4"/>
      <c r="R295" s="21">
        <v>395</v>
      </c>
      <c r="S295" s="21">
        <v>405</v>
      </c>
      <c r="T295" s="21">
        <v>424</v>
      </c>
      <c r="U295" s="21">
        <v>468</v>
      </c>
      <c r="V295" s="21">
        <v>465</v>
      </c>
      <c r="W295" s="21">
        <v>489</v>
      </c>
      <c r="X295" s="21">
        <v>501</v>
      </c>
      <c r="Y295" s="21">
        <v>520</v>
      </c>
      <c r="Z295" s="21">
        <v>645</v>
      </c>
      <c r="AA295" s="21">
        <v>688</v>
      </c>
      <c r="AB295" s="21">
        <v>701</v>
      </c>
      <c r="AC295" s="21">
        <v>720</v>
      </c>
      <c r="AD295" s="21">
        <v>745</v>
      </c>
      <c r="AE295" s="21">
        <v>802</v>
      </c>
      <c r="AF295" s="21">
        <v>841</v>
      </c>
      <c r="AG295" s="21">
        <v>869</v>
      </c>
      <c r="AH295" s="21">
        <v>897</v>
      </c>
      <c r="AI295" s="21">
        <v>935</v>
      </c>
      <c r="AJ295" s="21">
        <v>974</v>
      </c>
      <c r="AK295" s="21">
        <v>1019</v>
      </c>
      <c r="AL295" s="21">
        <v>1070</v>
      </c>
      <c r="AM295" s="263">
        <v>1105</v>
      </c>
      <c r="AN295" s="281"/>
      <c r="AO295" s="4"/>
      <c r="AP295" s="4"/>
      <c r="AQ295" s="21"/>
      <c r="AR295" s="21"/>
      <c r="AS295" s="21">
        <v>339</v>
      </c>
      <c r="AT295" s="21">
        <v>390</v>
      </c>
      <c r="AU295" s="21">
        <v>468</v>
      </c>
      <c r="AV295" s="21">
        <v>520</v>
      </c>
      <c r="AW295" s="263">
        <v>720</v>
      </c>
      <c r="AX295" s="263">
        <v>869</v>
      </c>
      <c r="AY295" s="263">
        <v>1019</v>
      </c>
    </row>
    <row r="296" spans="1:51">
      <c r="A296" s="247" t="s">
        <v>698</v>
      </c>
      <c r="B296" s="4"/>
      <c r="C296" s="4"/>
      <c r="D296" s="4"/>
      <c r="E296" s="4"/>
      <c r="F296" s="4"/>
      <c r="G296" s="4"/>
      <c r="H296" s="4"/>
      <c r="I296" s="248"/>
      <c r="J296" s="21"/>
      <c r="K296" s="4"/>
      <c r="L296" s="4"/>
      <c r="M296" s="4"/>
      <c r="N296" s="21"/>
      <c r="O296" s="248" t="e">
        <f t="shared" ref="O296:AM296" si="112">(O295/N295-1)*100</f>
        <v>#DIV/0!</v>
      </c>
      <c r="P296" s="248" t="e">
        <f t="shared" si="112"/>
        <v>#DIV/0!</v>
      </c>
      <c r="Q296" s="248" t="e">
        <f t="shared" si="112"/>
        <v>#DIV/0!</v>
      </c>
      <c r="R296" s="248" t="e">
        <f t="shared" si="112"/>
        <v>#DIV/0!</v>
      </c>
      <c r="S296" s="248">
        <f t="shared" si="112"/>
        <v>2.5316455696202445</v>
      </c>
      <c r="T296" s="248">
        <f t="shared" si="112"/>
        <v>4.6913580246913611</v>
      </c>
      <c r="U296" s="248">
        <f t="shared" si="112"/>
        <v>10.377358490566046</v>
      </c>
      <c r="V296" s="248">
        <f t="shared" si="112"/>
        <v>-0.64102564102563875</v>
      </c>
      <c r="W296" s="248">
        <f t="shared" si="112"/>
        <v>5.1612903225806361</v>
      </c>
      <c r="X296" s="248">
        <f t="shared" si="112"/>
        <v>2.4539877300613577</v>
      </c>
      <c r="Y296" s="248">
        <f t="shared" si="112"/>
        <v>3.7924151696606678</v>
      </c>
      <c r="Z296" s="248">
        <f t="shared" si="112"/>
        <v>24.03846153846154</v>
      </c>
      <c r="AA296" s="248">
        <f t="shared" si="112"/>
        <v>6.6666666666666652</v>
      </c>
      <c r="AB296" s="248">
        <f t="shared" si="112"/>
        <v>1.8895348837209225</v>
      </c>
      <c r="AC296" s="248">
        <f t="shared" si="112"/>
        <v>2.7104136947218249</v>
      </c>
      <c r="AD296" s="248">
        <f t="shared" si="112"/>
        <v>3.4722222222222321</v>
      </c>
      <c r="AE296" s="248">
        <f t="shared" si="112"/>
        <v>7.6510067114093916</v>
      </c>
      <c r="AF296" s="248">
        <f t="shared" si="112"/>
        <v>4.8628428927680822</v>
      </c>
      <c r="AG296" s="248">
        <f t="shared" si="112"/>
        <v>3.3293697978596937</v>
      </c>
      <c r="AH296" s="248">
        <f t="shared" si="112"/>
        <v>3.2220943613348707</v>
      </c>
      <c r="AI296" s="248">
        <f t="shared" si="112"/>
        <v>4.2363433667781392</v>
      </c>
      <c r="AJ296" s="248">
        <f t="shared" si="112"/>
        <v>4.1711229946524098</v>
      </c>
      <c r="AK296" s="248">
        <f t="shared" si="112"/>
        <v>4.62012320328542</v>
      </c>
      <c r="AL296" s="248">
        <f t="shared" si="112"/>
        <v>5.0049067713444639</v>
      </c>
      <c r="AM296" s="248">
        <f t="shared" si="112"/>
        <v>3.2710280373831724</v>
      </c>
      <c r="AN296" s="281"/>
      <c r="AO296" s="4"/>
      <c r="AP296" s="4"/>
      <c r="AQ296" s="248"/>
      <c r="AR296" s="248"/>
      <c r="AS296" s="248" t="e">
        <f t="shared" ref="AS296:AX296" si="113">(AS295/AR295-1)*100</f>
        <v>#DIV/0!</v>
      </c>
      <c r="AT296" s="248">
        <f t="shared" si="113"/>
        <v>15.044247787610621</v>
      </c>
      <c r="AU296" s="248">
        <f t="shared" si="113"/>
        <v>19.999999999999996</v>
      </c>
      <c r="AV296" s="248">
        <f t="shared" si="113"/>
        <v>11.111111111111116</v>
      </c>
      <c r="AW296" s="248">
        <f t="shared" si="113"/>
        <v>38.46153846153846</v>
      </c>
      <c r="AX296" s="248">
        <f t="shared" si="113"/>
        <v>20.694444444444436</v>
      </c>
      <c r="AY296" s="248"/>
    </row>
    <row r="297" spans="1:51">
      <c r="A297" s="247" t="s">
        <v>699</v>
      </c>
      <c r="B297" s="4"/>
      <c r="C297" s="4"/>
      <c r="D297" s="4"/>
      <c r="E297" s="4"/>
      <c r="F297" s="4"/>
      <c r="G297" s="4"/>
      <c r="H297" s="4"/>
      <c r="I297" s="248"/>
      <c r="J297" s="21"/>
      <c r="K297" s="4"/>
      <c r="L297" s="4"/>
      <c r="M297" s="4"/>
      <c r="N297" s="21"/>
      <c r="O297" s="248" t="e">
        <f t="shared" ref="O297:AM297" si="114">(O295/K295-1)*100</f>
        <v>#DIV/0!</v>
      </c>
      <c r="P297" s="248" t="e">
        <f t="shared" si="114"/>
        <v>#DIV/0!</v>
      </c>
      <c r="Q297" s="248">
        <f t="shared" si="114"/>
        <v>-100</v>
      </c>
      <c r="R297" s="248" t="e">
        <f t="shared" si="114"/>
        <v>#DIV/0!</v>
      </c>
      <c r="S297" s="248" t="e">
        <f t="shared" si="114"/>
        <v>#DIV/0!</v>
      </c>
      <c r="T297" s="248" t="e">
        <f t="shared" si="114"/>
        <v>#DIV/0!</v>
      </c>
      <c r="U297" s="248" t="e">
        <f t="shared" si="114"/>
        <v>#DIV/0!</v>
      </c>
      <c r="V297" s="248">
        <f t="shared" si="114"/>
        <v>17.721518987341778</v>
      </c>
      <c r="W297" s="248">
        <f t="shared" si="114"/>
        <v>20.740740740740748</v>
      </c>
      <c r="X297" s="248">
        <f t="shared" si="114"/>
        <v>18.160377358490564</v>
      </c>
      <c r="Y297" s="248">
        <f t="shared" si="114"/>
        <v>11.111111111111116</v>
      </c>
      <c r="Z297" s="248">
        <f t="shared" si="114"/>
        <v>38.709677419354847</v>
      </c>
      <c r="AA297" s="248">
        <f t="shared" si="114"/>
        <v>40.695296523517378</v>
      </c>
      <c r="AB297" s="248">
        <f t="shared" si="114"/>
        <v>39.920159680638712</v>
      </c>
      <c r="AC297" s="248">
        <f t="shared" si="114"/>
        <v>38.46153846153846</v>
      </c>
      <c r="AD297" s="248">
        <f t="shared" si="114"/>
        <v>15.503875968992254</v>
      </c>
      <c r="AE297" s="248">
        <f t="shared" si="114"/>
        <v>16.569767441860471</v>
      </c>
      <c r="AF297" s="248">
        <f t="shared" si="114"/>
        <v>19.971469329529246</v>
      </c>
      <c r="AG297" s="248">
        <f t="shared" si="114"/>
        <v>20.694444444444436</v>
      </c>
      <c r="AH297" s="248">
        <f t="shared" si="114"/>
        <v>20.402684563758399</v>
      </c>
      <c r="AI297" s="248">
        <f t="shared" si="114"/>
        <v>16.583541147132163</v>
      </c>
      <c r="AJ297" s="248">
        <f t="shared" si="114"/>
        <v>15.814506539833539</v>
      </c>
      <c r="AK297" s="248">
        <f t="shared" si="114"/>
        <v>17.261219792865369</v>
      </c>
      <c r="AL297" s="248">
        <f t="shared" si="114"/>
        <v>19.28651059085842</v>
      </c>
      <c r="AM297" s="248">
        <f t="shared" si="114"/>
        <v>18.181818181818187</v>
      </c>
      <c r="AN297" s="281"/>
      <c r="AO297" s="4"/>
      <c r="AP297" s="4"/>
      <c r="AQ297" s="248"/>
      <c r="AR297" s="248"/>
      <c r="AS297" s="248"/>
      <c r="AT297" s="248"/>
      <c r="AU297" s="248"/>
      <c r="AV297" s="248"/>
      <c r="AW297" s="248"/>
      <c r="AX297" s="248"/>
      <c r="AY297" s="248"/>
    </row>
    <row r="298" spans="1:51">
      <c r="A298" s="247"/>
      <c r="B298" s="4"/>
      <c r="C298" s="4"/>
      <c r="D298" s="4"/>
      <c r="E298" s="4"/>
      <c r="F298" s="4"/>
      <c r="G298" s="4"/>
      <c r="H298" s="4"/>
      <c r="I298" s="248"/>
      <c r="J298" s="21"/>
      <c r="K298" s="4"/>
      <c r="L298" s="4"/>
      <c r="M298" s="4"/>
      <c r="N298" s="21"/>
      <c r="O298" s="248"/>
      <c r="P298" s="248"/>
      <c r="Q298" s="248"/>
      <c r="R298" s="248"/>
      <c r="S298" s="248"/>
      <c r="T298" s="248"/>
      <c r="U298" s="248"/>
      <c r="V298" s="248"/>
      <c r="W298" s="248"/>
      <c r="X298" s="248"/>
      <c r="Y298" s="248"/>
      <c r="Z298" s="248"/>
      <c r="AA298" s="248"/>
      <c r="AB298" s="248"/>
      <c r="AC298" s="248"/>
      <c r="AD298" s="56"/>
      <c r="AE298" s="56"/>
      <c r="AF298" s="56"/>
      <c r="AG298" s="56"/>
      <c r="AH298" s="56"/>
      <c r="AI298" s="56"/>
      <c r="AJ298" s="56"/>
      <c r="AK298" s="56"/>
      <c r="AL298" s="56"/>
      <c r="AM298" s="56"/>
      <c r="AN298" s="281"/>
      <c r="AO298" s="4"/>
      <c r="AP298" s="4"/>
      <c r="AQ298" s="248"/>
      <c r="AR298" s="248"/>
      <c r="AS298" s="248"/>
      <c r="AT298" s="248"/>
      <c r="AU298" s="248"/>
      <c r="AV298" s="248"/>
      <c r="AW298" s="248"/>
      <c r="AX298" s="248"/>
      <c r="AY298" s="248"/>
    </row>
    <row r="299" spans="1:51">
      <c r="A299" s="247" t="s">
        <v>700</v>
      </c>
      <c r="B299" s="4"/>
      <c r="C299" s="4"/>
      <c r="D299" s="4"/>
      <c r="E299" s="4"/>
      <c r="F299" s="4"/>
      <c r="G299" s="4"/>
      <c r="H299" s="4"/>
      <c r="I299" s="248"/>
      <c r="J299" s="21"/>
      <c r="K299" s="4"/>
      <c r="L299" s="4"/>
      <c r="M299" s="4"/>
      <c r="N299" s="21"/>
      <c r="O299" s="248"/>
      <c r="P299" s="248"/>
      <c r="Q299" s="248"/>
      <c r="R299" s="248">
        <f t="shared" ref="R299:AA299" si="115">(V4*4)/R295</f>
        <v>1.4167088607594938</v>
      </c>
      <c r="S299" s="248">
        <f t="shared" si="115"/>
        <v>1.5298765432098766</v>
      </c>
      <c r="T299" s="248">
        <f t="shared" si="115"/>
        <v>1.5169811320754718</v>
      </c>
      <c r="U299" s="248">
        <f t="shared" si="115"/>
        <v>1.4709401709401708</v>
      </c>
      <c r="V299" s="248">
        <f t="shared" si="115"/>
        <v>1.7178494623655913</v>
      </c>
      <c r="W299" s="248">
        <f t="shared" si="115"/>
        <v>1.7406952965235174</v>
      </c>
      <c r="X299" s="248">
        <f t="shared" si="115"/>
        <v>1.7692614770459081</v>
      </c>
      <c r="Y299" s="248">
        <f t="shared" si="115"/>
        <v>1.7876923076923077</v>
      </c>
      <c r="Z299" s="248">
        <f t="shared" si="115"/>
        <v>1.4803100775193798</v>
      </c>
      <c r="AA299" s="248">
        <f t="shared" si="115"/>
        <v>1.4354651162790697</v>
      </c>
      <c r="AB299" s="248">
        <f>(AF4*4)/AB295</f>
        <v>1.4362339514978602</v>
      </c>
      <c r="AC299" s="248">
        <f t="shared" ref="AC299:AG299" si="116">(AG4*4)/AC295</f>
        <v>1.4688888888888887</v>
      </c>
      <c r="AD299" s="248">
        <f t="shared" si="116"/>
        <v>1.4593288590604028</v>
      </c>
      <c r="AE299" s="248">
        <f t="shared" si="116"/>
        <v>1.3870324189526186</v>
      </c>
      <c r="AF299" s="248">
        <f t="shared" si="116"/>
        <v>1.3412604042806182</v>
      </c>
      <c r="AG299" s="248">
        <f t="shared" si="116"/>
        <v>1.2929804372842346</v>
      </c>
      <c r="AH299" s="248">
        <f>(AL4*4)/AH295</f>
        <v>1.2771460423634335</v>
      </c>
      <c r="AI299" s="248"/>
      <c r="AJ299" s="248"/>
      <c r="AK299" s="248"/>
      <c r="AL299" s="248"/>
      <c r="AM299" s="248"/>
      <c r="AN299" s="281"/>
      <c r="AO299" s="4"/>
      <c r="AP299" s="4"/>
      <c r="AQ299" s="248"/>
      <c r="AR299" s="248"/>
      <c r="AS299" s="248">
        <f>'P&amp;L consol'!BF5/'Operating Metrics (organic)'!AS295</f>
        <v>1.5545722713864307</v>
      </c>
      <c r="AT299" s="248">
        <f>'P&amp;L consol'!BG5/'Operating Metrics (organic)'!AT295</f>
        <v>1.5183841315916788</v>
      </c>
      <c r="AU299" s="248">
        <f>'P&amp;L consol'!BH5/'Operating Metrics (organic)'!AU295</f>
        <v>1.3412393162393164</v>
      </c>
      <c r="AV299" s="248">
        <f>'P&amp;L consol'!BI5/'Operating Metrics (organic)'!AV295</f>
        <v>1.6663461538461539</v>
      </c>
      <c r="AW299" s="248">
        <f>'P&amp;L consol'!BJ5/'Operating Metrics (organic)'!AW295</f>
        <v>1.3912499999999999</v>
      </c>
      <c r="AX299" s="248">
        <f>'P&amp;L consol'!BK5/'Operating Metrics (organic)'!AX295</f>
        <v>1.2650172612197927</v>
      </c>
      <c r="AY299" s="248">
        <f>'P&amp;L consol'!BL5/'Operating Metrics (organic)'!AY295</f>
        <v>1.421000981354269</v>
      </c>
    </row>
    <row r="300" spans="1:51">
      <c r="A300" s="247" t="s">
        <v>701</v>
      </c>
      <c r="B300" s="4"/>
      <c r="C300" s="4"/>
      <c r="D300" s="4"/>
      <c r="E300" s="4"/>
      <c r="F300" s="4"/>
      <c r="G300" s="4"/>
      <c r="H300" s="4"/>
      <c r="I300" s="248"/>
      <c r="J300" s="21"/>
      <c r="K300" s="4"/>
      <c r="L300" s="4"/>
      <c r="M300" s="4"/>
      <c r="N300" s="21"/>
      <c r="O300" s="248"/>
      <c r="P300" s="248"/>
      <c r="Q300" s="248"/>
      <c r="R300" s="373">
        <f t="shared" ref="R300:AK300" si="117">R305/R4</f>
        <v>1.2490882567468999</v>
      </c>
      <c r="S300" s="373">
        <f t="shared" si="117"/>
        <v>1.1975117958594126</v>
      </c>
      <c r="T300" s="373">
        <f t="shared" si="117"/>
        <v>1.4413508477734303</v>
      </c>
      <c r="U300" s="373">
        <f t="shared" si="117"/>
        <v>1.1627873433696925</v>
      </c>
      <c r="V300" s="373">
        <f t="shared" si="117"/>
        <v>1.3295210864903502</v>
      </c>
      <c r="W300" s="373">
        <f t="shared" si="117"/>
        <v>1.2976113621691414</v>
      </c>
      <c r="X300" s="373">
        <f t="shared" si="117"/>
        <v>1.1940298507462686</v>
      </c>
      <c r="Y300" s="373">
        <f t="shared" si="117"/>
        <v>1.167925624636839</v>
      </c>
      <c r="Z300" s="373">
        <f t="shared" si="117"/>
        <v>1.5923885828743116</v>
      </c>
      <c r="AA300" s="373">
        <f t="shared" si="117"/>
        <v>1.3392857142857142</v>
      </c>
      <c r="AB300" s="373">
        <f t="shared" si="117"/>
        <v>1.1146209386281589</v>
      </c>
      <c r="AC300" s="373">
        <f t="shared" si="117"/>
        <v>1.2951807228915662</v>
      </c>
      <c r="AD300" s="373">
        <f t="shared" si="117"/>
        <v>1.3196480938416424</v>
      </c>
      <c r="AE300" s="373">
        <f t="shared" si="117"/>
        <v>1.2312677197245849</v>
      </c>
      <c r="AF300" s="373">
        <f t="shared" si="117"/>
        <v>1.3706793802145412</v>
      </c>
      <c r="AG300" s="373">
        <f t="shared" si="117"/>
        <v>1.1384266263237519</v>
      </c>
      <c r="AH300" s="373">
        <f t="shared" si="117"/>
        <v>1.9536423841059603</v>
      </c>
      <c r="AI300" s="373">
        <f t="shared" si="117"/>
        <v>1.1254944264653002</v>
      </c>
      <c r="AJ300" s="373">
        <f t="shared" si="117"/>
        <v>1.2553191489361701</v>
      </c>
      <c r="AK300" s="373">
        <f t="shared" si="117"/>
        <v>2.7554289782840873</v>
      </c>
      <c r="AL300" s="373">
        <f>AL305/AL4</f>
        <v>1.0963687150837991</v>
      </c>
      <c r="AM300" s="373">
        <f>AM305/AM4</f>
        <v>1.4451612903225806</v>
      </c>
      <c r="AN300" s="281"/>
      <c r="AO300" s="4"/>
      <c r="AP300" s="4"/>
      <c r="AQ300" s="373"/>
      <c r="AR300" s="373"/>
      <c r="AS300" s="373">
        <f t="shared" ref="AS300:AY300" si="118">AS305/AS4</f>
        <v>1.1142857142857143</v>
      </c>
      <c r="AT300" s="373">
        <f t="shared" si="118"/>
        <v>1.2258064516129032</v>
      </c>
      <c r="AU300" s="373">
        <f t="shared" si="118"/>
        <v>1.2631511868727097</v>
      </c>
      <c r="AV300" s="373">
        <f t="shared" si="118"/>
        <v>1.2442249482236736</v>
      </c>
      <c r="AW300" s="373">
        <f t="shared" si="118"/>
        <v>1.3283323716099249</v>
      </c>
      <c r="AX300" s="373">
        <f t="shared" si="118"/>
        <v>1.2628531496456026</v>
      </c>
      <c r="AY300" s="373">
        <f t="shared" si="118"/>
        <v>1.7947784954061676</v>
      </c>
    </row>
    <row r="301" spans="1:51">
      <c r="A301" s="247"/>
      <c r="B301" s="4"/>
      <c r="C301" s="4"/>
      <c r="D301" s="4"/>
      <c r="E301" s="4"/>
      <c r="F301" s="4"/>
      <c r="G301" s="4"/>
      <c r="H301" s="4"/>
      <c r="I301" s="248"/>
      <c r="J301" s="21"/>
      <c r="K301" s="4"/>
      <c r="L301" s="4"/>
      <c r="M301" s="4"/>
      <c r="N301" s="21"/>
      <c r="O301" s="248"/>
      <c r="P301" s="248"/>
      <c r="Q301" s="248"/>
      <c r="R301" s="248"/>
      <c r="S301" s="248"/>
      <c r="T301" s="248"/>
      <c r="U301" s="248"/>
      <c r="V301" s="248"/>
      <c r="W301" s="248"/>
      <c r="X301" s="248"/>
      <c r="Y301" s="248"/>
      <c r="Z301" s="248"/>
      <c r="AA301" s="248"/>
      <c r="AB301" s="248"/>
      <c r="AC301" s="248"/>
      <c r="AD301" s="248">
        <f t="shared" ref="AD301:AM301" si="119">AD318/(AD4*4)</f>
        <v>1.2023460410557185</v>
      </c>
      <c r="AE301" s="248">
        <f t="shared" si="119"/>
        <v>1.1816524908869988</v>
      </c>
      <c r="AF301" s="248">
        <f t="shared" si="119"/>
        <v>1.2564560985299962</v>
      </c>
      <c r="AG301" s="248">
        <f t="shared" si="119"/>
        <v>1.1961043872919819</v>
      </c>
      <c r="AH301" s="248">
        <f t="shared" si="119"/>
        <v>1.362214863870493</v>
      </c>
      <c r="AI301" s="248">
        <f t="shared" si="119"/>
        <v>1.3394462423588636</v>
      </c>
      <c r="AJ301" s="248">
        <f t="shared" si="119"/>
        <v>1.3289007092198581</v>
      </c>
      <c r="AK301" s="248">
        <f t="shared" si="119"/>
        <v>1.7550729797080813</v>
      </c>
      <c r="AL301" s="248">
        <f t="shared" si="119"/>
        <v>1.5319483240223466</v>
      </c>
      <c r="AM301" s="248">
        <f t="shared" si="119"/>
        <v>1.5241935483870968</v>
      </c>
      <c r="AN301" s="281"/>
      <c r="AO301" s="4"/>
      <c r="AP301" s="4"/>
      <c r="AQ301" s="248"/>
      <c r="AR301" s="248"/>
      <c r="AS301" s="248"/>
      <c r="AT301" s="248"/>
      <c r="AU301" s="248"/>
      <c r="AV301" s="248"/>
      <c r="AW301" s="248"/>
      <c r="AX301" s="248"/>
      <c r="AY301" s="248"/>
    </row>
    <row r="302" spans="1:51">
      <c r="A302" s="4" t="s">
        <v>1</v>
      </c>
      <c r="B302" s="4"/>
      <c r="C302" s="4"/>
      <c r="D302" s="4"/>
      <c r="E302" s="4"/>
      <c r="F302" s="4"/>
      <c r="G302" s="4"/>
      <c r="H302" s="4"/>
      <c r="I302" s="325"/>
      <c r="J302" s="325"/>
      <c r="K302" s="325"/>
      <c r="L302" s="325"/>
      <c r="M302" s="325"/>
      <c r="N302" s="325"/>
      <c r="O302" s="325"/>
      <c r="P302" s="325"/>
      <c r="Q302" s="325"/>
      <c r="R302" s="325"/>
      <c r="S302" s="325"/>
      <c r="T302" s="325"/>
      <c r="U302" s="325"/>
      <c r="V302" s="325">
        <v>465</v>
      </c>
      <c r="W302" s="325">
        <v>489</v>
      </c>
      <c r="X302" s="325">
        <v>501</v>
      </c>
      <c r="Y302" s="325">
        <v>520</v>
      </c>
      <c r="Z302" s="325">
        <v>560</v>
      </c>
      <c r="AA302" s="325">
        <v>603</v>
      </c>
      <c r="AB302" s="325">
        <v>616</v>
      </c>
      <c r="AC302" s="325"/>
      <c r="AD302" s="325"/>
      <c r="AE302" s="325"/>
      <c r="AF302" s="325"/>
      <c r="AG302" s="325"/>
      <c r="AH302" s="325"/>
      <c r="AI302" s="325"/>
      <c r="AJ302" s="325"/>
      <c r="AK302" s="325"/>
      <c r="AL302" s="325"/>
      <c r="AM302" s="325"/>
      <c r="AN302" s="281"/>
      <c r="AO302" s="4"/>
      <c r="AP302" s="4"/>
      <c r="AQ302" s="325"/>
      <c r="AR302" s="325"/>
      <c r="AS302" s="325"/>
      <c r="AT302" s="325"/>
      <c r="AU302" s="325"/>
      <c r="AV302" s="325"/>
      <c r="AW302" s="325"/>
      <c r="AX302" s="325"/>
      <c r="AY302" s="325"/>
    </row>
    <row r="303" spans="1:51">
      <c r="A303" s="4" t="s">
        <v>703</v>
      </c>
      <c r="B303" s="4"/>
      <c r="C303" s="4"/>
      <c r="D303" s="4"/>
      <c r="E303" s="4"/>
      <c r="F303" s="4"/>
      <c r="G303" s="4"/>
      <c r="H303" s="4"/>
      <c r="I303" s="325"/>
      <c r="J303" s="325"/>
      <c r="K303" s="325"/>
      <c r="L303" s="325"/>
      <c r="M303" s="325"/>
      <c r="N303" s="325"/>
      <c r="O303" s="325"/>
      <c r="P303" s="325"/>
      <c r="Q303" s="325"/>
      <c r="R303" s="325"/>
      <c r="S303" s="325"/>
      <c r="T303" s="325"/>
      <c r="U303" s="325"/>
      <c r="V303" s="325"/>
      <c r="W303" s="325"/>
      <c r="X303" s="325"/>
      <c r="Y303" s="325"/>
      <c r="Z303" s="325">
        <v>85</v>
      </c>
      <c r="AA303" s="325">
        <v>85</v>
      </c>
      <c r="AB303" s="325">
        <v>85</v>
      </c>
      <c r="AC303" s="325"/>
      <c r="AD303" s="325"/>
      <c r="AE303" s="325"/>
      <c r="AF303" s="325"/>
      <c r="AG303" s="325"/>
      <c r="AH303" s="325"/>
      <c r="AI303" s="325"/>
      <c r="AJ303" s="325"/>
      <c r="AK303" s="325"/>
      <c r="AL303" s="325"/>
      <c r="AM303" s="325"/>
      <c r="AN303" s="281"/>
      <c r="AO303" s="4"/>
      <c r="AP303" s="4"/>
      <c r="AQ303" s="325"/>
      <c r="AR303" s="325"/>
      <c r="AS303" s="325"/>
      <c r="AT303" s="325"/>
      <c r="AU303" s="325"/>
      <c r="AV303" s="325"/>
      <c r="AW303" s="325"/>
      <c r="AX303" s="325"/>
      <c r="AY303" s="325"/>
    </row>
    <row r="304" spans="1:51">
      <c r="A304" s="4"/>
      <c r="B304" s="4"/>
      <c r="C304" s="4"/>
      <c r="D304" s="4"/>
      <c r="E304" s="4"/>
      <c r="F304" s="4"/>
      <c r="G304" s="4"/>
      <c r="H304" s="4"/>
      <c r="I304" s="21"/>
      <c r="J304" s="21"/>
      <c r="K304" s="4"/>
      <c r="L304" s="4"/>
      <c r="M304" s="4"/>
      <c r="N304" s="21"/>
      <c r="O304" s="4"/>
      <c r="P304" s="4"/>
      <c r="Q304" s="4"/>
      <c r="R304" s="21"/>
      <c r="S304" s="21"/>
      <c r="T304" s="21"/>
      <c r="U304" s="21"/>
      <c r="V304" s="21"/>
      <c r="W304" s="21"/>
      <c r="X304" s="21"/>
      <c r="Y304" s="21"/>
      <c r="Z304" s="21"/>
      <c r="AA304" s="21"/>
      <c r="AB304" s="248"/>
      <c r="AC304" s="248"/>
      <c r="AD304" s="248"/>
      <c r="AE304" s="248"/>
      <c r="AF304" s="248"/>
      <c r="AG304" s="248"/>
      <c r="AH304" s="248"/>
      <c r="AI304" s="248"/>
      <c r="AJ304" s="248"/>
      <c r="AK304" s="248"/>
      <c r="AL304" s="248"/>
      <c r="AM304" s="248"/>
      <c r="AN304" s="281"/>
      <c r="AO304" s="4"/>
      <c r="AP304" s="4"/>
      <c r="AQ304" s="21"/>
      <c r="AR304" s="21"/>
      <c r="AS304" s="21"/>
      <c r="AT304" s="21"/>
      <c r="AU304" s="21"/>
      <c r="AV304" s="21"/>
      <c r="AW304" s="21"/>
      <c r="AX304" s="21"/>
      <c r="AY304" s="21"/>
    </row>
    <row r="305" spans="1:54">
      <c r="A305" s="4" t="s">
        <v>704</v>
      </c>
      <c r="B305" s="4"/>
      <c r="C305" s="4"/>
      <c r="D305" s="4"/>
      <c r="E305" s="4"/>
      <c r="F305" s="4"/>
      <c r="G305" s="4"/>
      <c r="H305" s="4"/>
      <c r="I305" s="325">
        <v>112</v>
      </c>
      <c r="J305" s="325"/>
      <c r="K305" s="325"/>
      <c r="L305" s="325"/>
      <c r="M305" s="325">
        <v>145</v>
      </c>
      <c r="N305" s="325"/>
      <c r="O305" s="325"/>
      <c r="P305" s="325"/>
      <c r="Q305" s="325"/>
      <c r="R305" s="325">
        <v>175</v>
      </c>
      <c r="S305" s="325">
        <v>176</v>
      </c>
      <c r="T305" s="325">
        <v>218</v>
      </c>
      <c r="U305" s="325">
        <v>180</v>
      </c>
      <c r="V305" s="325">
        <v>186</v>
      </c>
      <c r="W305" s="325">
        <v>201</v>
      </c>
      <c r="X305" s="325">
        <v>192</v>
      </c>
      <c r="Y305" s="325">
        <v>201</v>
      </c>
      <c r="Z305" s="325">
        <v>318</v>
      </c>
      <c r="AA305" s="325">
        <v>285</v>
      </c>
      <c r="AB305" s="325">
        <v>247</v>
      </c>
      <c r="AC305" s="325">
        <v>301</v>
      </c>
      <c r="AD305" s="325">
        <v>315</v>
      </c>
      <c r="AE305" s="325">
        <v>304</v>
      </c>
      <c r="AF305" s="325">
        <v>345</v>
      </c>
      <c r="AG305" s="325">
        <v>301</v>
      </c>
      <c r="AH305" s="325">
        <v>531</v>
      </c>
      <c r="AI305" s="325">
        <v>313</v>
      </c>
      <c r="AJ305" s="325">
        <v>354</v>
      </c>
      <c r="AK305" s="325">
        <v>774</v>
      </c>
      <c r="AL305" s="325">
        <v>314</v>
      </c>
      <c r="AM305" s="325">
        <v>448</v>
      </c>
      <c r="AN305" s="1255"/>
      <c r="AO305" s="4"/>
      <c r="AP305" s="4"/>
      <c r="AQ305" s="325"/>
      <c r="AR305" s="325"/>
      <c r="AS305" s="325">
        <v>507</v>
      </c>
      <c r="AT305" s="325">
        <v>646</v>
      </c>
      <c r="AU305" s="325">
        <v>748</v>
      </c>
      <c r="AV305" s="325">
        <v>781</v>
      </c>
      <c r="AW305" s="325">
        <v>1151</v>
      </c>
      <c r="AX305" s="325">
        <v>1265</v>
      </c>
      <c r="AY305" s="325">
        <v>1973</v>
      </c>
      <c r="AZ305" s="321"/>
      <c r="BA305" s="321"/>
      <c r="BB305" s="267"/>
    </row>
    <row r="306" spans="1:54">
      <c r="A306" s="247" t="s">
        <v>698</v>
      </c>
      <c r="B306" s="4"/>
      <c r="C306" s="4"/>
      <c r="D306" s="4"/>
      <c r="E306" s="4"/>
      <c r="F306" s="4"/>
      <c r="G306" s="4"/>
      <c r="H306" s="4"/>
      <c r="I306" s="315"/>
      <c r="J306" s="315"/>
      <c r="K306" s="315"/>
      <c r="L306" s="315"/>
      <c r="M306" s="315"/>
      <c r="N306" s="315"/>
      <c r="O306" s="315"/>
      <c r="P306" s="315"/>
      <c r="Q306" s="315"/>
      <c r="R306" s="315"/>
      <c r="S306" s="315"/>
      <c r="T306" s="315"/>
      <c r="U306" s="315"/>
      <c r="V306" s="248">
        <f t="shared" ref="V306:AM306" si="120">(V305/U305-1)*100</f>
        <v>3.3333333333333437</v>
      </c>
      <c r="W306" s="248">
        <f t="shared" si="120"/>
        <v>8.0645161290322509</v>
      </c>
      <c r="X306" s="248">
        <f t="shared" si="120"/>
        <v>-4.4776119402985088</v>
      </c>
      <c r="Y306" s="248">
        <f t="shared" si="120"/>
        <v>4.6875</v>
      </c>
      <c r="Z306" s="248">
        <f t="shared" si="120"/>
        <v>58.208955223880587</v>
      </c>
      <c r="AA306" s="248">
        <f t="shared" si="120"/>
        <v>-10.377358490566035</v>
      </c>
      <c r="AB306" s="248">
        <f t="shared" si="120"/>
        <v>-13.33333333333333</v>
      </c>
      <c r="AC306" s="248">
        <f t="shared" si="120"/>
        <v>21.862348178137658</v>
      </c>
      <c r="AD306" s="248">
        <f t="shared" si="120"/>
        <v>4.6511627906976827</v>
      </c>
      <c r="AE306" s="248">
        <f t="shared" si="120"/>
        <v>-3.4920634920634908</v>
      </c>
      <c r="AF306" s="248">
        <f t="shared" si="120"/>
        <v>13.486842105263165</v>
      </c>
      <c r="AG306" s="248">
        <f t="shared" si="120"/>
        <v>-12.753623188405793</v>
      </c>
      <c r="AH306" s="248">
        <f t="shared" si="120"/>
        <v>76.411960132890357</v>
      </c>
      <c r="AI306" s="248">
        <f t="shared" si="120"/>
        <v>-41.054613935969861</v>
      </c>
      <c r="AJ306" s="248">
        <f t="shared" si="120"/>
        <v>13.09904153354633</v>
      </c>
      <c r="AK306" s="248">
        <f t="shared" si="120"/>
        <v>118.64406779661016</v>
      </c>
      <c r="AL306" s="248">
        <f t="shared" si="120"/>
        <v>-59.431524547803619</v>
      </c>
      <c r="AM306" s="248">
        <f t="shared" si="120"/>
        <v>42.675159235668779</v>
      </c>
      <c r="AN306" s="281"/>
      <c r="AO306" s="4"/>
      <c r="AP306" s="4"/>
      <c r="AQ306" s="248"/>
      <c r="AR306" s="248"/>
      <c r="AS306" s="248" t="e">
        <f t="shared" ref="AS306:AY306" si="121">(AS305/AR305-1)*100</f>
        <v>#DIV/0!</v>
      </c>
      <c r="AT306" s="248">
        <f t="shared" si="121"/>
        <v>27.41617357001973</v>
      </c>
      <c r="AU306" s="248">
        <f t="shared" si="121"/>
        <v>15.789473684210531</v>
      </c>
      <c r="AV306" s="248">
        <f t="shared" si="121"/>
        <v>4.4117647058823595</v>
      </c>
      <c r="AW306" s="248">
        <f t="shared" si="121"/>
        <v>47.375160051216383</v>
      </c>
      <c r="AX306" s="248">
        <f t="shared" si="121"/>
        <v>9.9044309296264075</v>
      </c>
      <c r="AY306" s="248">
        <f t="shared" si="121"/>
        <v>55.968379446640327</v>
      </c>
    </row>
    <row r="307" spans="1:54">
      <c r="A307" s="247" t="s">
        <v>699</v>
      </c>
      <c r="B307" s="4"/>
      <c r="C307" s="4"/>
      <c r="D307" s="4"/>
      <c r="E307" s="4"/>
      <c r="F307" s="4"/>
      <c r="G307" s="4"/>
      <c r="H307" s="4"/>
      <c r="I307" s="315"/>
      <c r="J307" s="315"/>
      <c r="K307" s="315"/>
      <c r="L307" s="315"/>
      <c r="M307" s="315"/>
      <c r="N307" s="315"/>
      <c r="O307" s="315"/>
      <c r="P307" s="315"/>
      <c r="Q307" s="315"/>
      <c r="R307" s="315"/>
      <c r="S307" s="315"/>
      <c r="T307" s="315"/>
      <c r="U307" s="315"/>
      <c r="V307" s="248">
        <f t="shared" ref="V307:AM307" si="122">(V305/R305-1)*100</f>
        <v>6.2857142857142945</v>
      </c>
      <c r="W307" s="248">
        <f t="shared" si="122"/>
        <v>14.204545454545459</v>
      </c>
      <c r="X307" s="248">
        <f t="shared" si="122"/>
        <v>-11.926605504587151</v>
      </c>
      <c r="Y307" s="248">
        <f t="shared" si="122"/>
        <v>11.66666666666667</v>
      </c>
      <c r="Z307" s="248">
        <f t="shared" si="122"/>
        <v>70.967741935483872</v>
      </c>
      <c r="AA307" s="248">
        <f t="shared" si="122"/>
        <v>41.791044776119413</v>
      </c>
      <c r="AB307" s="248">
        <f t="shared" si="122"/>
        <v>28.645833333333325</v>
      </c>
      <c r="AC307" s="248">
        <f t="shared" si="122"/>
        <v>49.751243781094523</v>
      </c>
      <c r="AD307" s="248">
        <f t="shared" si="122"/>
        <v>-0.94339622641509413</v>
      </c>
      <c r="AE307" s="248">
        <f t="shared" si="122"/>
        <v>6.6666666666666652</v>
      </c>
      <c r="AF307" s="248">
        <f t="shared" si="122"/>
        <v>39.676113360323882</v>
      </c>
      <c r="AG307" s="248">
        <f t="shared" si="122"/>
        <v>0</v>
      </c>
      <c r="AH307" s="248">
        <f t="shared" si="122"/>
        <v>68.571428571428569</v>
      </c>
      <c r="AI307" s="248">
        <f t="shared" si="122"/>
        <v>2.960526315789469</v>
      </c>
      <c r="AJ307" s="248">
        <f t="shared" si="122"/>
        <v>2.6086956521739202</v>
      </c>
      <c r="AK307" s="248">
        <f t="shared" si="122"/>
        <v>157.14285714285717</v>
      </c>
      <c r="AL307" s="248">
        <f t="shared" si="122"/>
        <v>-40.866290018832395</v>
      </c>
      <c r="AM307" s="248">
        <f t="shared" si="122"/>
        <v>43.130990415335461</v>
      </c>
      <c r="AN307" s="281"/>
      <c r="AO307" s="4"/>
      <c r="AP307" s="4"/>
      <c r="AQ307" s="248"/>
      <c r="AR307" s="248"/>
      <c r="AS307" s="248"/>
      <c r="AT307" s="248"/>
      <c r="AU307" s="248"/>
      <c r="AV307" s="248"/>
      <c r="AW307" s="248"/>
      <c r="AX307" s="248"/>
      <c r="AY307" s="248"/>
    </row>
    <row r="308" spans="1:54">
      <c r="A308" s="4" t="s">
        <v>616</v>
      </c>
      <c r="B308" s="4"/>
      <c r="C308" s="4"/>
      <c r="D308" s="4"/>
      <c r="E308" s="4"/>
      <c r="F308" s="4"/>
      <c r="G308" s="4"/>
      <c r="H308" s="4"/>
      <c r="I308" s="325">
        <v>40</v>
      </c>
      <c r="J308" s="325"/>
      <c r="K308" s="325"/>
      <c r="L308" s="325"/>
      <c r="M308" s="325">
        <v>43</v>
      </c>
      <c r="N308" s="325"/>
      <c r="O308" s="325"/>
      <c r="P308" s="325"/>
      <c r="Q308" s="325"/>
      <c r="R308" s="325">
        <v>100</v>
      </c>
      <c r="S308" s="325">
        <v>65</v>
      </c>
      <c r="T308" s="325">
        <v>90</v>
      </c>
      <c r="U308" s="325">
        <v>81</v>
      </c>
      <c r="V308" s="325">
        <v>85</v>
      </c>
      <c r="W308" s="325">
        <v>121</v>
      </c>
      <c r="X308" s="325">
        <v>116</v>
      </c>
      <c r="Y308" s="325">
        <v>119</v>
      </c>
      <c r="Z308" s="325">
        <v>46</v>
      </c>
      <c r="AA308" s="325">
        <v>123</v>
      </c>
      <c r="AB308" s="325">
        <v>91</v>
      </c>
      <c r="AC308" s="325">
        <v>158</v>
      </c>
      <c r="AD308" s="325">
        <v>123</v>
      </c>
      <c r="AE308" s="325">
        <v>141</v>
      </c>
      <c r="AF308" s="325">
        <v>208</v>
      </c>
      <c r="AG308" s="325">
        <v>130</v>
      </c>
      <c r="AH308" s="325">
        <v>155</v>
      </c>
      <c r="AI308" s="325">
        <v>118</v>
      </c>
      <c r="AJ308" s="325">
        <v>110</v>
      </c>
      <c r="AK308" s="325">
        <v>627</v>
      </c>
      <c r="AL308" s="325">
        <v>126</v>
      </c>
      <c r="AM308" s="325">
        <v>196</v>
      </c>
      <c r="AN308" s="281"/>
      <c r="AO308" s="4"/>
      <c r="AP308" s="4"/>
      <c r="AQ308" s="325"/>
      <c r="AR308" s="325"/>
      <c r="AS308" s="325">
        <v>249</v>
      </c>
      <c r="AT308" s="325">
        <v>345</v>
      </c>
      <c r="AU308" s="325">
        <v>336</v>
      </c>
      <c r="AV308" s="325">
        <v>441</v>
      </c>
      <c r="AW308" s="325">
        <v>417</v>
      </c>
      <c r="AX308" s="325">
        <v>602</v>
      </c>
      <c r="AY308" s="325">
        <v>1010</v>
      </c>
    </row>
    <row r="309" spans="1:54">
      <c r="A309" s="247" t="s">
        <v>698</v>
      </c>
      <c r="B309" s="4"/>
      <c r="C309" s="4"/>
      <c r="D309" s="4"/>
      <c r="E309" s="4"/>
      <c r="F309" s="4"/>
      <c r="G309" s="4"/>
      <c r="H309" s="4"/>
      <c r="I309" s="315"/>
      <c r="J309" s="315"/>
      <c r="K309" s="315"/>
      <c r="L309" s="315"/>
      <c r="M309" s="315"/>
      <c r="N309" s="315"/>
      <c r="O309" s="315"/>
      <c r="P309" s="315"/>
      <c r="Q309" s="315"/>
      <c r="R309" s="315"/>
      <c r="S309" s="315"/>
      <c r="T309" s="315"/>
      <c r="U309" s="315"/>
      <c r="V309" s="248">
        <f t="shared" ref="V309:AM309" si="123">(V308/U308-1)*100</f>
        <v>4.9382716049382713</v>
      </c>
      <c r="W309" s="248">
        <f t="shared" si="123"/>
        <v>42.352941176470594</v>
      </c>
      <c r="X309" s="248">
        <f t="shared" si="123"/>
        <v>-4.1322314049586755</v>
      </c>
      <c r="Y309" s="248">
        <f t="shared" si="123"/>
        <v>2.5862068965517349</v>
      </c>
      <c r="Z309" s="248">
        <f t="shared" si="123"/>
        <v>-61.344537815126053</v>
      </c>
      <c r="AA309" s="248">
        <f t="shared" si="123"/>
        <v>167.39130434782606</v>
      </c>
      <c r="AB309" s="248">
        <f t="shared" si="123"/>
        <v>-26.016260162601622</v>
      </c>
      <c r="AC309" s="248">
        <f t="shared" si="123"/>
        <v>73.626373626373635</v>
      </c>
      <c r="AD309" s="248">
        <f t="shared" si="123"/>
        <v>-22.151898734177212</v>
      </c>
      <c r="AE309" s="248">
        <f t="shared" si="123"/>
        <v>14.634146341463406</v>
      </c>
      <c r="AF309" s="248">
        <f t="shared" si="123"/>
        <v>47.517730496453893</v>
      </c>
      <c r="AG309" s="248">
        <f t="shared" si="123"/>
        <v>-37.5</v>
      </c>
      <c r="AH309" s="248">
        <f t="shared" si="123"/>
        <v>19.23076923076923</v>
      </c>
      <c r="AI309" s="248">
        <f t="shared" si="123"/>
        <v>-23.870967741935488</v>
      </c>
      <c r="AJ309" s="248">
        <f t="shared" si="123"/>
        <v>-6.7796610169491567</v>
      </c>
      <c r="AK309" s="248">
        <f t="shared" si="123"/>
        <v>470</v>
      </c>
      <c r="AL309" s="248">
        <f t="shared" si="123"/>
        <v>-79.904306220095705</v>
      </c>
      <c r="AM309" s="248">
        <f t="shared" si="123"/>
        <v>55.555555555555557</v>
      </c>
      <c r="AN309" s="281"/>
      <c r="AO309" s="4"/>
      <c r="AP309" s="4"/>
      <c r="AQ309" s="248"/>
      <c r="AR309" s="248"/>
      <c r="AS309" s="248" t="e">
        <f t="shared" ref="AS309:AY309" si="124">(AS308/AR308-1)*100</f>
        <v>#DIV/0!</v>
      </c>
      <c r="AT309" s="248">
        <f t="shared" si="124"/>
        <v>38.554216867469869</v>
      </c>
      <c r="AU309" s="248">
        <f t="shared" si="124"/>
        <v>-2.6086956521739091</v>
      </c>
      <c r="AV309" s="248">
        <f t="shared" si="124"/>
        <v>31.25</v>
      </c>
      <c r="AW309" s="248">
        <f t="shared" si="124"/>
        <v>-5.4421768707482947</v>
      </c>
      <c r="AX309" s="248">
        <f t="shared" si="124"/>
        <v>44.364508393285362</v>
      </c>
      <c r="AY309" s="248">
        <f t="shared" si="124"/>
        <v>67.774086378737536</v>
      </c>
    </row>
    <row r="310" spans="1:54">
      <c r="A310" s="247" t="s">
        <v>699</v>
      </c>
      <c r="B310" s="4"/>
      <c r="C310" s="4"/>
      <c r="D310" s="4"/>
      <c r="E310" s="4"/>
      <c r="F310" s="4"/>
      <c r="G310" s="4"/>
      <c r="H310" s="4"/>
      <c r="I310" s="315"/>
      <c r="J310" s="315"/>
      <c r="K310" s="315"/>
      <c r="L310" s="315"/>
      <c r="M310" s="315"/>
      <c r="N310" s="315"/>
      <c r="O310" s="315"/>
      <c r="P310" s="315"/>
      <c r="Q310" s="315"/>
      <c r="R310" s="315"/>
      <c r="S310" s="315"/>
      <c r="T310" s="315"/>
      <c r="U310" s="315"/>
      <c r="V310" s="248">
        <f t="shared" ref="V310:AM310" si="125">(V308/R308-1)*100</f>
        <v>-15.000000000000002</v>
      </c>
      <c r="W310" s="248">
        <f t="shared" si="125"/>
        <v>86.15384615384616</v>
      </c>
      <c r="X310" s="248">
        <f t="shared" si="125"/>
        <v>28.888888888888896</v>
      </c>
      <c r="Y310" s="248">
        <f t="shared" si="125"/>
        <v>46.91358024691359</v>
      </c>
      <c r="Z310" s="248">
        <f t="shared" si="125"/>
        <v>-45.882352941176471</v>
      </c>
      <c r="AA310" s="248">
        <f t="shared" si="125"/>
        <v>1.6528925619834656</v>
      </c>
      <c r="AB310" s="248">
        <f t="shared" si="125"/>
        <v>-21.551724137931039</v>
      </c>
      <c r="AC310" s="248">
        <f t="shared" si="125"/>
        <v>32.773109243697476</v>
      </c>
      <c r="AD310" s="248">
        <f t="shared" si="125"/>
        <v>167.39130434782606</v>
      </c>
      <c r="AE310" s="248">
        <f t="shared" si="125"/>
        <v>14.634146341463406</v>
      </c>
      <c r="AF310" s="248">
        <f t="shared" si="125"/>
        <v>128.57142857142856</v>
      </c>
      <c r="AG310" s="248">
        <f t="shared" si="125"/>
        <v>-17.721518987341767</v>
      </c>
      <c r="AH310" s="248">
        <f t="shared" si="125"/>
        <v>26.016260162601633</v>
      </c>
      <c r="AI310" s="248">
        <f t="shared" si="125"/>
        <v>-16.312056737588655</v>
      </c>
      <c r="AJ310" s="248">
        <f t="shared" si="125"/>
        <v>-47.115384615384613</v>
      </c>
      <c r="AK310" s="248">
        <f t="shared" si="125"/>
        <v>382.30769230769226</v>
      </c>
      <c r="AL310" s="248">
        <f t="shared" si="125"/>
        <v>-18.709677419354843</v>
      </c>
      <c r="AM310" s="248">
        <f t="shared" si="125"/>
        <v>66.101694915254242</v>
      </c>
      <c r="AN310" s="281"/>
      <c r="AO310" s="4"/>
      <c r="AP310" s="4"/>
      <c r="AQ310" s="248"/>
      <c r="AR310" s="248"/>
      <c r="AS310" s="248"/>
      <c r="AT310" s="248"/>
      <c r="AU310" s="248"/>
      <c r="AV310" s="248"/>
      <c r="AW310" s="248"/>
      <c r="AX310" s="248"/>
      <c r="AY310" s="248"/>
    </row>
    <row r="311" spans="1:54">
      <c r="A311" s="4" t="s">
        <v>617</v>
      </c>
      <c r="B311" s="4"/>
      <c r="C311" s="4"/>
      <c r="D311" s="4"/>
      <c r="E311" s="4"/>
      <c r="F311" s="4"/>
      <c r="G311" s="4"/>
      <c r="H311" s="4"/>
      <c r="I311" s="325">
        <v>47</v>
      </c>
      <c r="J311" s="325"/>
      <c r="K311" s="325"/>
      <c r="L311" s="325"/>
      <c r="M311" s="325">
        <v>69</v>
      </c>
      <c r="N311" s="325"/>
      <c r="O311" s="325"/>
      <c r="P311" s="325"/>
      <c r="Q311" s="325"/>
      <c r="R311" s="325">
        <v>58</v>
      </c>
      <c r="S311" s="315">
        <v>40</v>
      </c>
      <c r="T311" s="325">
        <v>62</v>
      </c>
      <c r="U311" s="325"/>
      <c r="V311" s="325">
        <v>70</v>
      </c>
      <c r="W311" s="325">
        <v>58</v>
      </c>
      <c r="X311" s="325">
        <v>45</v>
      </c>
      <c r="Y311" s="325">
        <v>65</v>
      </c>
      <c r="Z311" s="325">
        <v>227</v>
      </c>
      <c r="AA311" s="325">
        <v>114</v>
      </c>
      <c r="AB311" s="325">
        <v>110</v>
      </c>
      <c r="AC311" s="325">
        <v>104</v>
      </c>
      <c r="AD311" s="325">
        <v>151</v>
      </c>
      <c r="AE311" s="325">
        <v>134</v>
      </c>
      <c r="AF311" s="325">
        <v>113</v>
      </c>
      <c r="AG311" s="325">
        <v>113</v>
      </c>
      <c r="AH311" s="325">
        <v>346</v>
      </c>
      <c r="AI311" s="325">
        <v>138</v>
      </c>
      <c r="AJ311" s="325">
        <v>172</v>
      </c>
      <c r="AK311" s="325">
        <v>102</v>
      </c>
      <c r="AL311" s="325">
        <v>96</v>
      </c>
      <c r="AM311" s="325">
        <v>170</v>
      </c>
      <c r="AN311" s="281"/>
      <c r="AO311" s="4"/>
      <c r="AP311" s="4"/>
      <c r="AQ311" s="325"/>
      <c r="AR311" s="325"/>
      <c r="AS311" s="325">
        <v>149</v>
      </c>
      <c r="AT311" s="325">
        <v>182</v>
      </c>
      <c r="AU311" s="325">
        <v>213</v>
      </c>
      <c r="AV311" s="325">
        <v>238</v>
      </c>
      <c r="AW311" s="325">
        <v>554</v>
      </c>
      <c r="AX311" s="325">
        <v>511</v>
      </c>
      <c r="AY311" s="325">
        <v>758</v>
      </c>
    </row>
    <row r="312" spans="1:54">
      <c r="A312" s="247" t="s">
        <v>698</v>
      </c>
      <c r="B312" s="4"/>
      <c r="C312" s="4"/>
      <c r="D312" s="4"/>
      <c r="E312" s="4"/>
      <c r="F312" s="4"/>
      <c r="G312" s="4"/>
      <c r="H312" s="4"/>
      <c r="I312" s="315"/>
      <c r="J312" s="315"/>
      <c r="K312" s="315"/>
      <c r="L312" s="315"/>
      <c r="M312" s="315"/>
      <c r="N312" s="315"/>
      <c r="O312" s="315"/>
      <c r="P312" s="315"/>
      <c r="Q312" s="315"/>
      <c r="R312" s="315"/>
      <c r="S312" s="315"/>
      <c r="T312" s="315"/>
      <c r="U312" s="315">
        <v>52</v>
      </c>
      <c r="V312" s="248" t="e">
        <f t="shared" ref="V312:AM312" si="126">(V311/U311-1)*100</f>
        <v>#DIV/0!</v>
      </c>
      <c r="W312" s="248">
        <f t="shared" si="126"/>
        <v>-17.142857142857139</v>
      </c>
      <c r="X312" s="248">
        <f t="shared" si="126"/>
        <v>-22.413793103448278</v>
      </c>
      <c r="Y312" s="248">
        <f t="shared" si="126"/>
        <v>44.444444444444443</v>
      </c>
      <c r="Z312" s="248">
        <f t="shared" si="126"/>
        <v>249.23076923076923</v>
      </c>
      <c r="AA312" s="248">
        <f t="shared" si="126"/>
        <v>-49.779735682819378</v>
      </c>
      <c r="AB312" s="248">
        <f t="shared" si="126"/>
        <v>-3.5087719298245612</v>
      </c>
      <c r="AC312" s="248">
        <f t="shared" si="126"/>
        <v>-5.4545454545454568</v>
      </c>
      <c r="AD312" s="248">
        <f t="shared" si="126"/>
        <v>45.192307692307686</v>
      </c>
      <c r="AE312" s="248">
        <f t="shared" si="126"/>
        <v>-11.258278145695366</v>
      </c>
      <c r="AF312" s="248">
        <f t="shared" si="126"/>
        <v>-15.671641791044777</v>
      </c>
      <c r="AG312" s="248">
        <f t="shared" si="126"/>
        <v>0</v>
      </c>
      <c r="AH312" s="248">
        <f t="shared" si="126"/>
        <v>206.19469026548671</v>
      </c>
      <c r="AI312" s="248">
        <f t="shared" si="126"/>
        <v>-60.115606936416178</v>
      </c>
      <c r="AJ312" s="248">
        <f t="shared" si="126"/>
        <v>24.637681159420289</v>
      </c>
      <c r="AK312" s="248">
        <f t="shared" si="126"/>
        <v>-40.697674418604649</v>
      </c>
      <c r="AL312" s="248">
        <f t="shared" si="126"/>
        <v>-5.8823529411764719</v>
      </c>
      <c r="AM312" s="248">
        <f t="shared" si="126"/>
        <v>77.083333333333329</v>
      </c>
      <c r="AN312" s="281"/>
      <c r="AO312" s="4"/>
      <c r="AP312" s="4"/>
      <c r="AQ312" s="248"/>
      <c r="AR312" s="248"/>
      <c r="AS312" s="248" t="e">
        <f t="shared" ref="AS312:AY312" si="127">(AS311/AR311-1)*100</f>
        <v>#DIV/0!</v>
      </c>
      <c r="AT312" s="248">
        <f t="shared" si="127"/>
        <v>22.14765100671141</v>
      </c>
      <c r="AU312" s="248">
        <f t="shared" si="127"/>
        <v>17.03296703296704</v>
      </c>
      <c r="AV312" s="248">
        <f t="shared" si="127"/>
        <v>11.737089201877925</v>
      </c>
      <c r="AW312" s="248">
        <f t="shared" si="127"/>
        <v>132.77310924369749</v>
      </c>
      <c r="AX312" s="248">
        <f t="shared" si="127"/>
        <v>-7.7617328519855588</v>
      </c>
      <c r="AY312" s="248">
        <f t="shared" si="127"/>
        <v>48.336594911937382</v>
      </c>
    </row>
    <row r="313" spans="1:54">
      <c r="A313" s="247" t="s">
        <v>699</v>
      </c>
      <c r="B313" s="4"/>
      <c r="C313" s="4"/>
      <c r="D313" s="4"/>
      <c r="E313" s="4"/>
      <c r="F313" s="4"/>
      <c r="G313" s="4"/>
      <c r="H313" s="4"/>
      <c r="I313" s="315"/>
      <c r="J313" s="315"/>
      <c r="K313" s="315"/>
      <c r="L313" s="315"/>
      <c r="M313" s="315"/>
      <c r="N313" s="315"/>
      <c r="O313" s="315"/>
      <c r="P313" s="315"/>
      <c r="Q313" s="315"/>
      <c r="R313" s="315"/>
      <c r="S313" s="315"/>
      <c r="T313" s="315"/>
      <c r="U313" s="315"/>
      <c r="V313" s="248">
        <f t="shared" ref="V313:AM313" si="128">(V311/R311-1)*100</f>
        <v>20.68965517241379</v>
      </c>
      <c r="W313" s="248">
        <f t="shared" si="128"/>
        <v>44.999999999999993</v>
      </c>
      <c r="X313" s="248">
        <f t="shared" si="128"/>
        <v>-27.419354838709676</v>
      </c>
      <c r="Y313" s="248" t="e">
        <f t="shared" si="128"/>
        <v>#DIV/0!</v>
      </c>
      <c r="Z313" s="248">
        <f t="shared" si="128"/>
        <v>224.28571428571428</v>
      </c>
      <c r="AA313" s="248">
        <f t="shared" si="128"/>
        <v>96.551724137931032</v>
      </c>
      <c r="AB313" s="248">
        <f t="shared" si="128"/>
        <v>144.44444444444446</v>
      </c>
      <c r="AC313" s="248">
        <f t="shared" si="128"/>
        <v>60.000000000000007</v>
      </c>
      <c r="AD313" s="248">
        <f t="shared" si="128"/>
        <v>-33.480176211453752</v>
      </c>
      <c r="AE313" s="248">
        <f t="shared" si="128"/>
        <v>17.543859649122815</v>
      </c>
      <c r="AF313" s="248">
        <f t="shared" si="128"/>
        <v>2.7272727272727337</v>
      </c>
      <c r="AG313" s="248">
        <f t="shared" si="128"/>
        <v>8.6538461538461462</v>
      </c>
      <c r="AH313" s="248">
        <f t="shared" si="128"/>
        <v>129.13907284768214</v>
      </c>
      <c r="AI313" s="248">
        <f t="shared" si="128"/>
        <v>2.9850746268656803</v>
      </c>
      <c r="AJ313" s="248">
        <f t="shared" si="128"/>
        <v>52.212389380530965</v>
      </c>
      <c r="AK313" s="248">
        <f t="shared" si="128"/>
        <v>-9.7345132743362868</v>
      </c>
      <c r="AL313" s="248">
        <f t="shared" si="128"/>
        <v>-72.25433526011561</v>
      </c>
      <c r="AM313" s="248">
        <f t="shared" si="128"/>
        <v>23.188405797101442</v>
      </c>
      <c r="AN313" s="281"/>
      <c r="AO313" s="4"/>
      <c r="AP313" s="4"/>
      <c r="AQ313" s="248"/>
      <c r="AR313" s="248"/>
      <c r="AS313" s="248"/>
      <c r="AT313" s="248"/>
      <c r="AU313" s="248"/>
      <c r="AV313" s="248"/>
      <c r="AW313" s="248"/>
      <c r="AX313" s="248"/>
      <c r="AY313" s="248"/>
    </row>
    <row r="314" spans="1:54">
      <c r="A314" s="4" t="s">
        <v>618</v>
      </c>
      <c r="B314" s="4"/>
      <c r="C314" s="4"/>
      <c r="D314" s="4"/>
      <c r="E314" s="4"/>
      <c r="F314" s="4"/>
      <c r="G314" s="4"/>
      <c r="H314" s="4"/>
      <c r="I314" s="325">
        <v>25</v>
      </c>
      <c r="J314" s="325"/>
      <c r="K314" s="325"/>
      <c r="L314" s="325"/>
      <c r="M314" s="325">
        <v>33</v>
      </c>
      <c r="N314" s="325"/>
      <c r="O314" s="325"/>
      <c r="P314" s="325"/>
      <c r="Q314" s="325"/>
      <c r="R314" s="325">
        <v>17</v>
      </c>
      <c r="S314" s="325">
        <v>70</v>
      </c>
      <c r="T314" s="325">
        <v>66</v>
      </c>
      <c r="U314" s="325">
        <v>47</v>
      </c>
      <c r="V314" s="325">
        <v>31</v>
      </c>
      <c r="W314" s="325">
        <v>21</v>
      </c>
      <c r="X314" s="325">
        <v>32</v>
      </c>
      <c r="Y314" s="325">
        <v>17</v>
      </c>
      <c r="Z314" s="325">
        <v>46</v>
      </c>
      <c r="AA314" s="325">
        <v>48</v>
      </c>
      <c r="AB314" s="325">
        <v>47</v>
      </c>
      <c r="AC314" s="325">
        <v>40</v>
      </c>
      <c r="AD314" s="325">
        <v>41</v>
      </c>
      <c r="AE314" s="325">
        <v>29</v>
      </c>
      <c r="AF314" s="325">
        <v>24</v>
      </c>
      <c r="AG314" s="325">
        <v>58</v>
      </c>
      <c r="AH314" s="325">
        <v>30</v>
      </c>
      <c r="AI314" s="325">
        <v>57</v>
      </c>
      <c r="AJ314" s="325">
        <v>72</v>
      </c>
      <c r="AK314" s="325">
        <v>46</v>
      </c>
      <c r="AL314" s="325">
        <v>92</v>
      </c>
      <c r="AM314" s="325">
        <v>82</v>
      </c>
      <c r="AN314" s="281"/>
      <c r="AO314" s="4"/>
      <c r="AP314" s="4"/>
      <c r="AQ314" s="325"/>
      <c r="AR314" s="325"/>
      <c r="AS314" s="325">
        <v>109</v>
      </c>
      <c r="AT314" s="325">
        <v>119</v>
      </c>
      <c r="AU314" s="325">
        <v>200</v>
      </c>
      <c r="AV314" s="325">
        <v>102</v>
      </c>
      <c r="AW314" s="325">
        <v>181</v>
      </c>
      <c r="AX314" s="325">
        <v>152</v>
      </c>
      <c r="AY314" s="325">
        <v>205</v>
      </c>
    </row>
    <row r="315" spans="1:54">
      <c r="A315" s="247" t="s">
        <v>698</v>
      </c>
      <c r="B315" s="4"/>
      <c r="C315" s="4"/>
      <c r="D315" s="4"/>
      <c r="E315" s="4"/>
      <c r="F315" s="4"/>
      <c r="G315" s="4"/>
      <c r="H315" s="4"/>
      <c r="I315" s="21"/>
      <c r="J315" s="21"/>
      <c r="K315" s="4"/>
      <c r="L315" s="4"/>
      <c r="M315" s="4"/>
      <c r="N315" s="21"/>
      <c r="O315" s="4"/>
      <c r="P315" s="4"/>
      <c r="Q315" s="4"/>
      <c r="R315" s="21"/>
      <c r="S315" s="21"/>
      <c r="T315" s="21"/>
      <c r="U315" s="315"/>
      <c r="V315" s="248">
        <f t="shared" ref="V315:AM315" si="129">(V314/U314-1)*100</f>
        <v>-34.042553191489368</v>
      </c>
      <c r="W315" s="248">
        <f t="shared" si="129"/>
        <v>-32.258064516129039</v>
      </c>
      <c r="X315" s="248">
        <f t="shared" si="129"/>
        <v>52.380952380952372</v>
      </c>
      <c r="Y315" s="248">
        <f t="shared" si="129"/>
        <v>-46.875</v>
      </c>
      <c r="Z315" s="248">
        <f t="shared" si="129"/>
        <v>170.58823529411765</v>
      </c>
      <c r="AA315" s="248">
        <f t="shared" si="129"/>
        <v>4.3478260869565188</v>
      </c>
      <c r="AB315" s="248">
        <f t="shared" si="129"/>
        <v>-2.083333333333337</v>
      </c>
      <c r="AC315" s="248">
        <f t="shared" si="129"/>
        <v>-14.893617021276595</v>
      </c>
      <c r="AD315" s="248">
        <f t="shared" si="129"/>
        <v>2.4999999999999911</v>
      </c>
      <c r="AE315" s="248">
        <f t="shared" si="129"/>
        <v>-29.268292682926834</v>
      </c>
      <c r="AF315" s="248">
        <f t="shared" si="129"/>
        <v>-17.241379310344829</v>
      </c>
      <c r="AG315" s="248">
        <f t="shared" si="129"/>
        <v>141.66666666666666</v>
      </c>
      <c r="AH315" s="248">
        <f t="shared" si="129"/>
        <v>-48.275862068965516</v>
      </c>
      <c r="AI315" s="248">
        <f t="shared" si="129"/>
        <v>89.999999999999986</v>
      </c>
      <c r="AJ315" s="248">
        <f t="shared" si="129"/>
        <v>26.315789473684205</v>
      </c>
      <c r="AK315" s="248">
        <f t="shared" si="129"/>
        <v>-36.111111111111114</v>
      </c>
      <c r="AL315" s="248">
        <f t="shared" si="129"/>
        <v>100</v>
      </c>
      <c r="AM315" s="248">
        <f t="shared" si="129"/>
        <v>-10.869565217391308</v>
      </c>
      <c r="AN315" s="281"/>
      <c r="AO315" s="4"/>
      <c r="AP315" s="4"/>
      <c r="AQ315" s="4"/>
      <c r="AR315" s="248"/>
      <c r="AS315" s="248" t="e">
        <f t="shared" ref="AS315:AY315" si="130">(AS314/AR314-1)*100</f>
        <v>#DIV/0!</v>
      </c>
      <c r="AT315" s="248">
        <f t="shared" si="130"/>
        <v>9.174311926605494</v>
      </c>
      <c r="AU315" s="248">
        <f t="shared" si="130"/>
        <v>68.067226890756302</v>
      </c>
      <c r="AV315" s="248">
        <f t="shared" si="130"/>
        <v>-49</v>
      </c>
      <c r="AW315" s="248">
        <f t="shared" si="130"/>
        <v>77.45098039215685</v>
      </c>
      <c r="AX315" s="248">
        <f t="shared" si="130"/>
        <v>-16.022099447513817</v>
      </c>
      <c r="AY315" s="248">
        <f t="shared" si="130"/>
        <v>34.868421052631568</v>
      </c>
    </row>
    <row r="316" spans="1:54">
      <c r="A316" s="247" t="s">
        <v>699</v>
      </c>
      <c r="B316" s="4"/>
      <c r="C316" s="4"/>
      <c r="D316" s="4"/>
      <c r="E316" s="4"/>
      <c r="F316" s="4"/>
      <c r="G316" s="4"/>
      <c r="H316" s="4"/>
      <c r="I316" s="21"/>
      <c r="J316" s="21"/>
      <c r="K316" s="4"/>
      <c r="L316" s="4"/>
      <c r="M316" s="4"/>
      <c r="N316" s="21"/>
      <c r="O316" s="4"/>
      <c r="P316" s="4"/>
      <c r="Q316" s="4"/>
      <c r="R316" s="21"/>
      <c r="S316" s="21"/>
      <c r="T316" s="21"/>
      <c r="U316" s="315"/>
      <c r="V316" s="248">
        <f t="shared" ref="V316:AM316" si="131">(V314/R314-1)*100</f>
        <v>82.35294117647058</v>
      </c>
      <c r="W316" s="248">
        <f t="shared" si="131"/>
        <v>-70</v>
      </c>
      <c r="X316" s="248">
        <f t="shared" si="131"/>
        <v>-51.515151515151516</v>
      </c>
      <c r="Y316" s="248">
        <f t="shared" si="131"/>
        <v>-63.829787234042556</v>
      </c>
      <c r="Z316" s="248">
        <f t="shared" si="131"/>
        <v>48.387096774193552</v>
      </c>
      <c r="AA316" s="248">
        <f t="shared" si="131"/>
        <v>128.57142857142856</v>
      </c>
      <c r="AB316" s="248">
        <f t="shared" si="131"/>
        <v>46.875</v>
      </c>
      <c r="AC316" s="248">
        <f t="shared" si="131"/>
        <v>135.29411764705884</v>
      </c>
      <c r="AD316" s="248">
        <f t="shared" si="131"/>
        <v>-10.869565217391308</v>
      </c>
      <c r="AE316" s="248">
        <f t="shared" si="131"/>
        <v>-39.583333333333336</v>
      </c>
      <c r="AF316" s="248">
        <f t="shared" si="131"/>
        <v>-48.936170212765958</v>
      </c>
      <c r="AG316" s="248">
        <f t="shared" si="131"/>
        <v>44.999999999999993</v>
      </c>
      <c r="AH316" s="248">
        <f t="shared" si="131"/>
        <v>-26.829268292682929</v>
      </c>
      <c r="AI316" s="248">
        <f t="shared" si="131"/>
        <v>96.551724137931032</v>
      </c>
      <c r="AJ316" s="248">
        <f t="shared" si="131"/>
        <v>200</v>
      </c>
      <c r="AK316" s="248">
        <f t="shared" si="131"/>
        <v>-20.68965517241379</v>
      </c>
      <c r="AL316" s="248">
        <f t="shared" si="131"/>
        <v>206.66666666666669</v>
      </c>
      <c r="AM316" s="248">
        <f t="shared" si="131"/>
        <v>43.859649122807021</v>
      </c>
      <c r="AN316" s="281"/>
      <c r="AO316" s="4"/>
      <c r="AP316" s="4"/>
      <c r="AQ316" s="4"/>
      <c r="AR316" s="4"/>
      <c r="AS316" s="4"/>
      <c r="AT316" s="4"/>
      <c r="AU316" s="248"/>
      <c r="AV316" s="248"/>
      <c r="AW316" s="248"/>
      <c r="AX316" s="248"/>
      <c r="AY316" s="248"/>
    </row>
    <row r="317" spans="1:54">
      <c r="A317" s="4"/>
      <c r="B317" s="4"/>
      <c r="C317" s="4"/>
      <c r="D317" s="4"/>
      <c r="E317" s="4"/>
      <c r="F317" s="4"/>
      <c r="G317" s="4"/>
      <c r="H317" s="4"/>
      <c r="I317" s="4"/>
      <c r="J317" s="4"/>
      <c r="K317" s="4"/>
      <c r="L317" s="4"/>
      <c r="M317" s="4"/>
      <c r="N317" s="4"/>
      <c r="O317" s="4"/>
      <c r="P317" s="4"/>
      <c r="Q317" s="4"/>
      <c r="R317" s="4"/>
      <c r="S317" s="4"/>
      <c r="T317" s="4"/>
      <c r="U317" s="277"/>
      <c r="V317" s="277"/>
      <c r="W317" s="277"/>
      <c r="X317" s="277"/>
      <c r="Y317" s="277"/>
      <c r="Z317" s="277"/>
      <c r="AA317" s="277"/>
      <c r="AB317" s="277"/>
      <c r="AC317" s="277"/>
      <c r="AD317" s="277"/>
      <c r="AE317" s="277"/>
      <c r="AF317" s="277"/>
      <c r="AG317" s="277"/>
      <c r="AH317" s="277"/>
      <c r="AI317" s="277"/>
      <c r="AJ317" s="277"/>
      <c r="AK317" s="277"/>
      <c r="AL317" s="277"/>
      <c r="AM317" s="277"/>
      <c r="AN317" s="281"/>
      <c r="AO317" s="4"/>
      <c r="AP317" s="4"/>
      <c r="AQ317" s="4"/>
      <c r="AR317" s="4"/>
      <c r="AS317" s="4"/>
      <c r="AT317" s="4"/>
      <c r="AU317" s="4"/>
      <c r="AV317" s="277"/>
      <c r="AW317" s="277"/>
      <c r="AX317" s="277"/>
      <c r="AY317" s="277"/>
    </row>
    <row r="318" spans="1:54">
      <c r="A318" s="4" t="s">
        <v>705</v>
      </c>
      <c r="B318" s="4"/>
      <c r="C318" s="4"/>
      <c r="D318" s="4"/>
      <c r="E318" s="4"/>
      <c r="F318" s="4"/>
      <c r="G318" s="4"/>
      <c r="H318" s="4"/>
      <c r="I318" s="243">
        <f>I295+H295+G295+F295</f>
        <v>320</v>
      </c>
      <c r="J318" s="4"/>
      <c r="K318" s="4"/>
      <c r="L318" s="4"/>
      <c r="M318" s="243">
        <f t="shared" ref="M318:AK318" si="132">M305+L305+K305+J305</f>
        <v>145</v>
      </c>
      <c r="N318" s="243">
        <f t="shared" si="132"/>
        <v>145</v>
      </c>
      <c r="O318" s="243">
        <f t="shared" si="132"/>
        <v>145</v>
      </c>
      <c r="P318" s="243">
        <f t="shared" si="132"/>
        <v>145</v>
      </c>
      <c r="Q318" s="243">
        <f t="shared" si="132"/>
        <v>0</v>
      </c>
      <c r="R318" s="243">
        <f t="shared" si="132"/>
        <v>175</v>
      </c>
      <c r="S318" s="243">
        <f t="shared" si="132"/>
        <v>351</v>
      </c>
      <c r="T318" s="243">
        <f t="shared" si="132"/>
        <v>569</v>
      </c>
      <c r="U318" s="243">
        <f t="shared" si="132"/>
        <v>749</v>
      </c>
      <c r="V318" s="243">
        <f t="shared" si="132"/>
        <v>760</v>
      </c>
      <c r="W318" s="243">
        <f t="shared" si="132"/>
        <v>785</v>
      </c>
      <c r="X318" s="243">
        <f t="shared" si="132"/>
        <v>759</v>
      </c>
      <c r="Y318" s="243">
        <f t="shared" si="132"/>
        <v>780</v>
      </c>
      <c r="Z318" s="243">
        <f t="shared" si="132"/>
        <v>912</v>
      </c>
      <c r="AA318" s="243">
        <f t="shared" si="132"/>
        <v>996</v>
      </c>
      <c r="AB318" s="243">
        <f t="shared" si="132"/>
        <v>1051</v>
      </c>
      <c r="AC318" s="243">
        <f t="shared" si="132"/>
        <v>1151</v>
      </c>
      <c r="AD318" s="243">
        <f t="shared" si="132"/>
        <v>1148</v>
      </c>
      <c r="AE318" s="243">
        <f t="shared" si="132"/>
        <v>1167</v>
      </c>
      <c r="AF318" s="243">
        <f t="shared" si="132"/>
        <v>1265</v>
      </c>
      <c r="AG318" s="243">
        <f t="shared" si="132"/>
        <v>1265</v>
      </c>
      <c r="AH318" s="243">
        <f t="shared" si="132"/>
        <v>1481</v>
      </c>
      <c r="AI318" s="243">
        <f t="shared" si="132"/>
        <v>1490</v>
      </c>
      <c r="AJ318" s="243">
        <f t="shared" si="132"/>
        <v>1499</v>
      </c>
      <c r="AK318" s="243">
        <f t="shared" si="132"/>
        <v>1972</v>
      </c>
      <c r="AL318" s="243">
        <f>AL305+AK305+AJ305+AI305</f>
        <v>1755</v>
      </c>
      <c r="AM318" s="243">
        <f>AM305+AL305+AK305+AJ305</f>
        <v>1890</v>
      </c>
      <c r="AN318" s="281"/>
      <c r="AO318" s="4"/>
      <c r="AP318" s="4"/>
      <c r="AQ318" s="4"/>
      <c r="AR318" s="4"/>
      <c r="AS318" s="4"/>
      <c r="AT318" s="4"/>
      <c r="AU318" s="17">
        <f>U318</f>
        <v>749</v>
      </c>
      <c r="AV318" s="243">
        <f>Y318</f>
        <v>780</v>
      </c>
      <c r="AW318" s="243">
        <f>AC318</f>
        <v>1151</v>
      </c>
      <c r="AX318" s="325">
        <v>1265</v>
      </c>
      <c r="AY318" s="325">
        <v>1973</v>
      </c>
    </row>
    <row r="319" spans="1:54">
      <c r="A319" s="247" t="s">
        <v>698</v>
      </c>
      <c r="B319" s="4"/>
      <c r="C319" s="4"/>
      <c r="D319" s="4"/>
      <c r="E319" s="4"/>
      <c r="F319" s="4"/>
      <c r="G319" s="4"/>
      <c r="H319" s="4"/>
      <c r="I319" s="4"/>
      <c r="J319" s="4"/>
      <c r="K319" s="4"/>
      <c r="L319" s="4"/>
      <c r="M319" s="4"/>
      <c r="N319" s="4"/>
      <c r="O319" s="4"/>
      <c r="P319" s="4"/>
      <c r="Q319" s="4"/>
      <c r="R319" s="4"/>
      <c r="S319" s="4"/>
      <c r="T319" s="4"/>
      <c r="U319" s="277"/>
      <c r="V319" s="277"/>
      <c r="W319" s="277"/>
      <c r="X319" s="277"/>
      <c r="Y319" s="277"/>
      <c r="Z319" s="277"/>
      <c r="AA319" s="277"/>
      <c r="AB319" s="248">
        <f t="shared" ref="AB319:AM319" si="133">(AB318/AA318-1)*100</f>
        <v>5.5220883534136567</v>
      </c>
      <c r="AC319" s="248">
        <f t="shared" si="133"/>
        <v>9.5147478591817389</v>
      </c>
      <c r="AD319" s="248">
        <f t="shared" si="133"/>
        <v>-0.26064291920069316</v>
      </c>
      <c r="AE319" s="248">
        <f t="shared" si="133"/>
        <v>1.6550522648083543</v>
      </c>
      <c r="AF319" s="248">
        <f t="shared" si="133"/>
        <v>8.3976006855184249</v>
      </c>
      <c r="AG319" s="248">
        <f t="shared" si="133"/>
        <v>0</v>
      </c>
      <c r="AH319" s="248">
        <f t="shared" si="133"/>
        <v>17.075098814229239</v>
      </c>
      <c r="AI319" s="248">
        <f t="shared" si="133"/>
        <v>0.6076975016880537</v>
      </c>
      <c r="AJ319" s="248">
        <f t="shared" si="133"/>
        <v>0.60402684563758413</v>
      </c>
      <c r="AK319" s="248">
        <f t="shared" si="133"/>
        <v>31.554369579719822</v>
      </c>
      <c r="AL319" s="248">
        <f t="shared" si="133"/>
        <v>-11.004056795131845</v>
      </c>
      <c r="AM319" s="248">
        <f t="shared" si="133"/>
        <v>7.6923076923076872</v>
      </c>
      <c r="AN319" s="281"/>
      <c r="AO319" s="4"/>
      <c r="AP319" s="4"/>
      <c r="AQ319" s="4"/>
      <c r="AR319" s="4"/>
      <c r="AS319" s="4"/>
      <c r="AT319" s="4"/>
      <c r="AU319" s="4"/>
      <c r="AV319" s="313"/>
      <c r="AW319" s="313"/>
      <c r="AX319" s="313"/>
      <c r="AY319" s="313"/>
    </row>
    <row r="320" spans="1:54">
      <c r="A320" s="247" t="s">
        <v>699</v>
      </c>
      <c r="B320" s="4"/>
      <c r="C320" s="4"/>
      <c r="D320" s="4"/>
      <c r="E320" s="4"/>
      <c r="F320" s="4"/>
      <c r="G320" s="4"/>
      <c r="H320" s="4"/>
      <c r="I320" s="4"/>
      <c r="J320" s="21"/>
      <c r="K320" s="21"/>
      <c r="L320" s="21"/>
      <c r="M320" s="21"/>
      <c r="N320" s="21"/>
      <c r="O320" s="21"/>
      <c r="P320" s="21"/>
      <c r="Q320" s="21"/>
      <c r="R320" s="21"/>
      <c r="S320" s="21"/>
      <c r="T320" s="21"/>
      <c r="U320" s="21"/>
      <c r="V320" s="21"/>
      <c r="W320" s="21"/>
      <c r="X320" s="21"/>
      <c r="Y320" s="21"/>
      <c r="Z320" s="21"/>
      <c r="AA320" s="21"/>
      <c r="AB320" s="248">
        <f t="shared" ref="AB320:AM320" si="134">(AB318/X318-1)*100</f>
        <v>38.47167325428196</v>
      </c>
      <c r="AC320" s="248">
        <f t="shared" si="134"/>
        <v>47.564102564102569</v>
      </c>
      <c r="AD320" s="248">
        <f t="shared" si="134"/>
        <v>25.877192982456144</v>
      </c>
      <c r="AE320" s="248">
        <f t="shared" si="134"/>
        <v>17.168674698795172</v>
      </c>
      <c r="AF320" s="248">
        <f t="shared" si="134"/>
        <v>20.361560418648917</v>
      </c>
      <c r="AG320" s="248">
        <f t="shared" si="134"/>
        <v>9.9044309296264075</v>
      </c>
      <c r="AH320" s="248">
        <f t="shared" si="134"/>
        <v>29.006968641114984</v>
      </c>
      <c r="AI320" s="248">
        <f t="shared" si="134"/>
        <v>27.677806341045418</v>
      </c>
      <c r="AJ320" s="248">
        <f t="shared" si="134"/>
        <v>18.498023715415023</v>
      </c>
      <c r="AK320" s="248">
        <f t="shared" si="134"/>
        <v>55.889328063241116</v>
      </c>
      <c r="AL320" s="248">
        <f t="shared" si="134"/>
        <v>18.501012829169472</v>
      </c>
      <c r="AM320" s="248">
        <f t="shared" si="134"/>
        <v>26.845637583892625</v>
      </c>
      <c r="AN320" s="281"/>
      <c r="AO320" s="4"/>
      <c r="AP320" s="4"/>
      <c r="AQ320" s="4"/>
      <c r="AR320" s="4"/>
      <c r="AS320" s="4"/>
      <c r="AT320" s="4"/>
      <c r="AU320" s="4"/>
      <c r="AV320" s="313"/>
      <c r="AW320" s="313"/>
      <c r="AX320" s="313"/>
      <c r="AY320" s="313"/>
    </row>
    <row r="321" spans="1:51">
      <c r="A321" s="4"/>
      <c r="B321" s="4"/>
      <c r="C321" s="4"/>
      <c r="D321" s="4"/>
      <c r="E321" s="4"/>
      <c r="F321" s="4"/>
      <c r="G321" s="4"/>
      <c r="H321" s="4"/>
      <c r="I321" s="4"/>
      <c r="J321" s="21"/>
      <c r="K321" s="21"/>
      <c r="L321" s="21"/>
      <c r="M321" s="21"/>
      <c r="N321" s="21"/>
      <c r="O321" s="21"/>
      <c r="P321" s="21"/>
      <c r="Q321" s="21"/>
      <c r="R321" s="21"/>
      <c r="S321" s="21"/>
      <c r="T321" s="21"/>
      <c r="U321" s="21"/>
      <c r="V321" s="21"/>
      <c r="W321" s="21"/>
      <c r="X321" s="21"/>
      <c r="Y321" s="21"/>
      <c r="Z321" s="21"/>
      <c r="AA321" s="21"/>
      <c r="AB321" s="248"/>
      <c r="AC321" s="248"/>
      <c r="AD321" s="248"/>
      <c r="AE321" s="248"/>
      <c r="AF321" s="248"/>
      <c r="AG321" s="248"/>
      <c r="AH321" s="248"/>
      <c r="AI321" s="248"/>
      <c r="AJ321" s="248"/>
      <c r="AK321" s="248"/>
      <c r="AL321" s="248"/>
      <c r="AM321" s="248"/>
      <c r="AN321" s="281"/>
      <c r="AO321" s="4"/>
      <c r="AP321" s="4"/>
      <c r="AQ321" s="4"/>
      <c r="AR321" s="4"/>
      <c r="AS321" s="4"/>
      <c r="AT321" s="4"/>
      <c r="AU321" s="4"/>
      <c r="AV321" s="313"/>
      <c r="AW321" s="313"/>
      <c r="AX321" s="313"/>
      <c r="AY321" s="313"/>
    </row>
    <row r="322" spans="1:51">
      <c r="B322" s="4"/>
      <c r="C322" s="4"/>
      <c r="D322" s="4"/>
      <c r="E322" s="4"/>
      <c r="F322" s="4"/>
      <c r="G322" s="4"/>
      <c r="H322" s="4"/>
      <c r="I322" s="4"/>
      <c r="J322" s="21"/>
      <c r="K322" s="21"/>
      <c r="L322" s="21"/>
      <c r="M322" s="21"/>
      <c r="N322" s="21"/>
      <c r="O322" s="21"/>
      <c r="P322" s="21"/>
      <c r="Q322" s="21"/>
      <c r="R322" s="21"/>
      <c r="S322" s="21"/>
      <c r="T322" s="21"/>
      <c r="U322" s="21"/>
      <c r="V322" s="21"/>
      <c r="W322" s="21"/>
      <c r="X322" s="21"/>
      <c r="Y322" s="21"/>
      <c r="Z322" s="21"/>
      <c r="AA322" s="21"/>
      <c r="AB322" s="248"/>
      <c r="AC322" s="248"/>
      <c r="AD322" s="248"/>
      <c r="AE322" s="248"/>
      <c r="AF322" s="248"/>
      <c r="AG322" s="248"/>
      <c r="AH322" s="248"/>
      <c r="AI322" s="248"/>
      <c r="AJ322" s="248"/>
      <c r="AK322" s="248"/>
      <c r="AL322" s="248"/>
      <c r="AM322" s="248"/>
      <c r="AN322" s="281"/>
      <c r="AO322" s="4"/>
      <c r="AP322" s="4"/>
      <c r="AQ322" s="4"/>
      <c r="AS322" s="4"/>
      <c r="AT322" s="4"/>
      <c r="AU322" s="4"/>
      <c r="AV322" s="313"/>
      <c r="AW322" s="313"/>
      <c r="AX322" s="313"/>
      <c r="AY322" s="313"/>
    </row>
    <row r="323" spans="1:51">
      <c r="A323" s="4" t="s">
        <v>706</v>
      </c>
      <c r="B323" s="4"/>
      <c r="C323" s="4"/>
      <c r="D323" s="4"/>
      <c r="E323" s="4"/>
      <c r="F323" s="4"/>
      <c r="G323" s="4"/>
      <c r="H323" s="4"/>
      <c r="I323" s="4"/>
      <c r="J323" s="21"/>
      <c r="K323" s="21"/>
      <c r="L323" s="21"/>
      <c r="M323" s="21"/>
      <c r="N323" s="21"/>
      <c r="O323" s="21"/>
      <c r="P323" s="21"/>
      <c r="Q323" s="21"/>
      <c r="R323" s="21"/>
      <c r="S323" s="21"/>
      <c r="T323" s="21"/>
      <c r="U323" s="21"/>
      <c r="V323" s="21"/>
      <c r="W323" s="21"/>
      <c r="X323" s="21"/>
      <c r="Y323" s="21"/>
      <c r="Z323" s="21"/>
      <c r="AA323" s="21"/>
      <c r="AB323" s="248"/>
      <c r="AC323" s="607"/>
      <c r="AD323" s="607"/>
      <c r="AE323" s="607"/>
      <c r="AF323" s="607"/>
      <c r="AG323" s="607">
        <v>2</v>
      </c>
      <c r="AH323" s="607"/>
      <c r="AI323" s="607"/>
      <c r="AJ323" s="248"/>
      <c r="AK323" s="248"/>
      <c r="AL323" s="248"/>
      <c r="AM323" s="248"/>
      <c r="AN323" s="281"/>
      <c r="AO323" s="4"/>
      <c r="AP323" s="4"/>
      <c r="AQ323" s="4"/>
      <c r="AR323" s="4"/>
      <c r="AS323" s="4"/>
      <c r="AT323" s="4"/>
      <c r="AU323" s="4"/>
      <c r="AV323" s="313"/>
      <c r="AW323" s="313"/>
      <c r="AX323" s="313"/>
      <c r="AY323" s="325">
        <v>11</v>
      </c>
    </row>
    <row r="324" spans="1:51">
      <c r="A324" s="247" t="s">
        <v>707</v>
      </c>
      <c r="B324" s="4"/>
      <c r="C324" s="4"/>
      <c r="D324" s="4"/>
      <c r="E324" s="4"/>
      <c r="F324" s="4"/>
      <c r="G324" s="4"/>
      <c r="H324" s="4"/>
      <c r="I324" s="4"/>
      <c r="J324" s="21"/>
      <c r="K324" s="21"/>
      <c r="L324" s="21"/>
      <c r="M324" s="21"/>
      <c r="N324" s="21"/>
      <c r="O324" s="21"/>
      <c r="P324" s="21"/>
      <c r="Q324" s="21"/>
      <c r="R324" s="21"/>
      <c r="S324" s="21"/>
      <c r="T324" s="21"/>
      <c r="U324" s="21"/>
      <c r="V324" s="21"/>
      <c r="W324" s="21"/>
      <c r="X324" s="21"/>
      <c r="Y324" s="21"/>
      <c r="Z324" s="345">
        <v>1</v>
      </c>
      <c r="AA324" s="345">
        <v>1</v>
      </c>
      <c r="AB324" s="495">
        <v>1</v>
      </c>
      <c r="AC324" s="535">
        <v>1</v>
      </c>
      <c r="AD324" s="535">
        <v>1</v>
      </c>
      <c r="AE324" s="535"/>
      <c r="AF324" s="535">
        <v>1</v>
      </c>
      <c r="AG324" s="535"/>
      <c r="AH324" s="535"/>
      <c r="AI324" s="535"/>
      <c r="AJ324" s="535"/>
      <c r="AK324" s="535"/>
      <c r="AL324" s="535"/>
      <c r="AM324" s="535"/>
      <c r="AN324" s="281"/>
      <c r="AO324" s="4"/>
      <c r="AP324" s="4"/>
      <c r="AQ324" s="4"/>
      <c r="AR324" s="4"/>
      <c r="AS324" s="4"/>
      <c r="AT324" s="4"/>
      <c r="AU324" s="4"/>
      <c r="AV324" s="313"/>
      <c r="AW324" s="313"/>
      <c r="AX324" s="313"/>
      <c r="AY324" s="313"/>
    </row>
    <row r="325" spans="1:51">
      <c r="A325" s="247" t="s">
        <v>708</v>
      </c>
      <c r="B325" s="4"/>
      <c r="C325" s="4"/>
      <c r="D325" s="4"/>
      <c r="E325" s="4"/>
      <c r="F325" s="4"/>
      <c r="G325" s="4"/>
      <c r="H325" s="4"/>
      <c r="I325" s="4"/>
      <c r="J325" s="21"/>
      <c r="K325" s="21"/>
      <c r="L325" s="21"/>
      <c r="M325" s="21"/>
      <c r="N325" s="21"/>
      <c r="O325" s="21"/>
      <c r="P325" s="21"/>
      <c r="Q325" s="21"/>
      <c r="R325" s="21"/>
      <c r="S325" s="21"/>
      <c r="T325" s="21"/>
      <c r="U325" s="21"/>
      <c r="V325" s="21"/>
      <c r="W325" s="21"/>
      <c r="X325" s="21"/>
      <c r="Y325" s="21"/>
      <c r="Z325" s="345"/>
      <c r="AA325" s="345"/>
      <c r="AB325" s="495"/>
      <c r="AC325" s="535"/>
      <c r="AD325" s="535"/>
      <c r="AE325" s="535">
        <v>2</v>
      </c>
      <c r="AF325" s="535">
        <v>3</v>
      </c>
      <c r="AG325" s="535"/>
      <c r="AH325" s="535"/>
      <c r="AI325" s="535"/>
      <c r="AJ325" s="535"/>
      <c r="AK325" s="535"/>
      <c r="AL325" s="535"/>
      <c r="AM325" s="535"/>
      <c r="AN325" s="281"/>
      <c r="AO325" s="4"/>
      <c r="AP325" s="4"/>
      <c r="AQ325" s="4"/>
      <c r="AR325" s="4"/>
      <c r="AS325" s="4"/>
      <c r="AT325" s="4"/>
      <c r="AU325" s="4"/>
      <c r="AV325" s="313"/>
      <c r="AW325" s="313"/>
      <c r="AX325" s="313"/>
      <c r="AY325" s="313"/>
    </row>
    <row r="326" spans="1:51">
      <c r="A326" s="4"/>
      <c r="B326" s="4"/>
      <c r="C326" s="4"/>
      <c r="D326" s="4"/>
      <c r="E326" s="4"/>
      <c r="F326" s="4"/>
      <c r="G326" s="4"/>
      <c r="H326" s="4"/>
      <c r="I326" s="4"/>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81"/>
      <c r="AO326" s="4"/>
      <c r="AP326" s="4"/>
      <c r="AQ326" s="4"/>
      <c r="AR326" s="4"/>
      <c r="AS326" s="4"/>
      <c r="AT326" s="4"/>
      <c r="AU326" s="4"/>
      <c r="AV326" s="313"/>
      <c r="AW326" s="313"/>
      <c r="AX326" s="313"/>
      <c r="AY326" s="313"/>
    </row>
    <row r="327" spans="1:51">
      <c r="A327" s="4" t="s">
        <v>709</v>
      </c>
      <c r="B327" s="4"/>
      <c r="C327" s="4"/>
      <c r="D327" s="4"/>
      <c r="E327" s="4"/>
      <c r="F327" s="4"/>
      <c r="G327" s="4"/>
      <c r="H327" s="4"/>
      <c r="I327" s="4"/>
      <c r="J327" s="21"/>
      <c r="K327" s="21"/>
      <c r="L327" s="21"/>
      <c r="M327" s="21"/>
      <c r="N327" s="21"/>
      <c r="O327" s="21"/>
      <c r="P327" s="21"/>
      <c r="Q327" s="21"/>
      <c r="R327" s="21"/>
      <c r="S327" s="21"/>
      <c r="T327" s="21"/>
      <c r="U327" s="21"/>
      <c r="V327" s="21"/>
      <c r="W327" s="21"/>
      <c r="X327" s="21"/>
      <c r="Y327" s="21"/>
      <c r="Z327" s="21"/>
      <c r="AA327" s="21"/>
      <c r="AB327" s="21">
        <v>105</v>
      </c>
      <c r="AC327" s="21"/>
      <c r="AD327" s="21" t="s">
        <v>710</v>
      </c>
      <c r="AE327" s="21"/>
      <c r="AF327" s="21" t="s">
        <v>711</v>
      </c>
      <c r="AG327" s="21">
        <v>1</v>
      </c>
      <c r="AH327" s="21"/>
      <c r="AI327" s="21">
        <v>1</v>
      </c>
      <c r="AJ327" s="21"/>
      <c r="AK327" s="21"/>
      <c r="AL327" s="21"/>
      <c r="AM327" s="21"/>
      <c r="AN327" s="281"/>
      <c r="AO327" s="4"/>
      <c r="AP327" s="4"/>
      <c r="AQ327" s="4"/>
      <c r="AR327" s="4"/>
      <c r="AS327" s="4"/>
      <c r="AT327" s="4"/>
      <c r="AU327" s="4"/>
      <c r="AV327" s="313"/>
      <c r="AW327" s="313"/>
      <c r="AX327" s="313"/>
      <c r="AY327" s="313"/>
    </row>
    <row r="328" spans="1:51">
      <c r="A328" s="4" t="s">
        <v>360</v>
      </c>
      <c r="B328" s="4"/>
      <c r="C328" s="4"/>
      <c r="D328" s="4"/>
      <c r="E328" s="4"/>
      <c r="F328" s="4"/>
      <c r="G328" s="4"/>
      <c r="H328" s="4"/>
      <c r="I328" s="4"/>
      <c r="J328" s="21"/>
      <c r="K328" s="21"/>
      <c r="L328" s="21"/>
      <c r="M328" s="21"/>
      <c r="N328" s="21"/>
      <c r="O328" s="21"/>
      <c r="P328" s="21"/>
      <c r="Q328" s="21"/>
      <c r="R328" s="21"/>
      <c r="S328" s="21"/>
      <c r="T328" s="21"/>
      <c r="U328" s="21"/>
      <c r="V328" s="21"/>
      <c r="W328" s="21"/>
      <c r="X328" s="21"/>
      <c r="Y328" s="21"/>
      <c r="Z328" s="21"/>
      <c r="AA328" s="21"/>
      <c r="AB328" s="21">
        <v>20</v>
      </c>
      <c r="AC328" s="21"/>
      <c r="AD328" s="21"/>
      <c r="AE328" s="21"/>
      <c r="AF328" s="21" t="s">
        <v>712</v>
      </c>
      <c r="AG328" s="21"/>
      <c r="AH328" s="21"/>
      <c r="AI328" s="21"/>
      <c r="AJ328" s="21"/>
      <c r="AK328" s="21"/>
      <c r="AL328" s="21"/>
      <c r="AM328" s="21"/>
      <c r="AN328" s="281"/>
      <c r="AO328" s="4"/>
      <c r="AP328" s="4"/>
      <c r="AQ328" s="4"/>
      <c r="AR328" s="4"/>
      <c r="AS328" s="4"/>
      <c r="AT328" s="4"/>
      <c r="AU328" s="4"/>
      <c r="AV328" s="313"/>
      <c r="AW328" s="313"/>
      <c r="AX328" s="313"/>
      <c r="AY328" s="313"/>
    </row>
    <row r="329" spans="1:51">
      <c r="A329" s="4" t="s">
        <v>359</v>
      </c>
      <c r="B329" s="4"/>
      <c r="C329" s="4"/>
      <c r="D329" s="4"/>
      <c r="E329" s="4"/>
      <c r="F329" s="4"/>
      <c r="G329" s="4"/>
      <c r="H329" s="4"/>
      <c r="I329" s="4"/>
      <c r="J329" s="21"/>
      <c r="K329" s="21"/>
      <c r="L329" s="21"/>
      <c r="M329" s="21"/>
      <c r="N329" s="21"/>
      <c r="O329" s="21"/>
      <c r="P329" s="21"/>
      <c r="Q329" s="21"/>
      <c r="R329" s="21"/>
      <c r="S329" s="21"/>
      <c r="T329" s="21"/>
      <c r="U329" s="21"/>
      <c r="V329" s="21"/>
      <c r="W329" s="21"/>
      <c r="X329" s="21"/>
      <c r="Y329" s="21"/>
      <c r="Z329" s="21"/>
      <c r="AA329" s="21"/>
      <c r="AB329" s="21"/>
      <c r="AC329" s="21"/>
      <c r="AD329" s="21" t="s">
        <v>710</v>
      </c>
      <c r="AE329" s="21"/>
      <c r="AF329" s="21"/>
      <c r="AG329" s="21">
        <v>1</v>
      </c>
      <c r="AH329" s="21"/>
      <c r="AI329" s="21">
        <v>2</v>
      </c>
      <c r="AJ329" s="21"/>
      <c r="AK329" s="21"/>
      <c r="AL329" s="21"/>
      <c r="AM329" s="21"/>
      <c r="AN329" s="281"/>
      <c r="AO329" s="4"/>
      <c r="AP329" s="4"/>
      <c r="AQ329" s="4"/>
      <c r="AR329" s="4"/>
      <c r="AS329" s="4"/>
      <c r="AT329" s="4"/>
      <c r="AU329" s="4"/>
      <c r="AV329" s="313"/>
      <c r="AW329" s="313"/>
      <c r="AX329" s="313"/>
      <c r="AY329" s="313"/>
    </row>
    <row r="330" spans="1:51">
      <c r="A330" s="4" t="s">
        <v>713</v>
      </c>
      <c r="B330" s="4"/>
      <c r="C330" s="4"/>
      <c r="D330" s="4"/>
      <c r="E330" s="4"/>
      <c r="F330" s="4"/>
      <c r="G330" s="4"/>
      <c r="H330" s="4"/>
      <c r="I330" s="4"/>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t="s">
        <v>714</v>
      </c>
      <c r="AG330" s="21"/>
      <c r="AH330" s="21"/>
      <c r="AI330" s="21"/>
      <c r="AJ330" s="21"/>
      <c r="AK330" s="21"/>
      <c r="AL330" s="21"/>
      <c r="AM330" s="21"/>
      <c r="AN330" s="281"/>
      <c r="AO330" s="4"/>
      <c r="AP330" s="4"/>
      <c r="AQ330" s="4"/>
      <c r="AR330" s="4"/>
      <c r="AS330" s="4"/>
      <c r="AT330" s="4"/>
      <c r="AU330" s="4"/>
      <c r="AV330" s="313"/>
      <c r="AW330" s="313"/>
      <c r="AX330" s="313"/>
      <c r="AY330" s="313"/>
    </row>
    <row r="331" spans="1:5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281"/>
      <c r="AO331" s="4"/>
      <c r="AP331" s="4"/>
      <c r="AQ331" s="4"/>
      <c r="AR331" s="4"/>
      <c r="AS331" s="4"/>
      <c r="AT331" s="4"/>
      <c r="AU331" s="4"/>
      <c r="AV331" s="4"/>
      <c r="AW331" s="4"/>
      <c r="AX331" s="4"/>
      <c r="AY331" s="4"/>
    </row>
    <row r="332" spans="1:51">
      <c r="A332" s="251" t="s">
        <v>433</v>
      </c>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c r="AA332" s="252"/>
      <c r="AB332" s="252"/>
      <c r="AC332" s="252"/>
      <c r="AD332" s="252"/>
      <c r="AE332" s="252"/>
      <c r="AF332" s="252"/>
      <c r="AG332" s="252"/>
      <c r="AH332" s="252"/>
      <c r="AI332" s="252"/>
      <c r="AJ332" s="252"/>
      <c r="AK332" s="252"/>
      <c r="AL332" s="252"/>
      <c r="AM332" s="252"/>
      <c r="AN332" s="281"/>
      <c r="AO332" s="7"/>
      <c r="AP332" s="7"/>
      <c r="AQ332" s="7"/>
      <c r="AR332" s="7"/>
      <c r="AS332" s="7"/>
      <c r="AT332" s="4"/>
      <c r="AU332" s="4"/>
      <c r="AV332" s="4"/>
      <c r="AW332" s="4"/>
      <c r="AX332" s="4"/>
      <c r="AY332" s="4"/>
    </row>
    <row r="333" spans="1:51">
      <c r="A333" s="4" t="s">
        <v>718</v>
      </c>
      <c r="B333" s="4"/>
      <c r="C333" s="4"/>
      <c r="D333" s="4"/>
      <c r="E333" s="4"/>
      <c r="F333" s="4"/>
      <c r="G333" s="4"/>
      <c r="H333" s="4"/>
      <c r="I333" s="4"/>
      <c r="J333" s="4"/>
      <c r="K333" s="4"/>
      <c r="L333" s="4"/>
      <c r="M333" s="4"/>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81"/>
      <c r="AT333" s="20"/>
      <c r="AU333" s="20"/>
      <c r="AV333" s="20"/>
      <c r="AW333" s="20"/>
      <c r="AX333" s="20"/>
      <c r="AY333" s="20"/>
    </row>
    <row r="334" spans="1:51">
      <c r="A334" s="4" t="s">
        <v>719</v>
      </c>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v>62.2</v>
      </c>
      <c r="AD334" s="4">
        <v>42</v>
      </c>
      <c r="AE334" s="4">
        <v>50.3</v>
      </c>
      <c r="AF334" s="4"/>
      <c r="AG334" s="4"/>
      <c r="AH334" s="4"/>
      <c r="AI334" s="4"/>
      <c r="AJ334" s="4"/>
      <c r="AK334" s="4"/>
      <c r="AL334" s="4"/>
      <c r="AM334" s="4"/>
      <c r="AN334" s="281"/>
      <c r="AO334" s="7"/>
      <c r="AP334" s="7"/>
      <c r="AQ334" s="7"/>
      <c r="AR334" s="7"/>
      <c r="AS334" s="7"/>
      <c r="AT334" s="4"/>
      <c r="AU334" s="4"/>
      <c r="AV334" s="4"/>
      <c r="AW334" s="4"/>
      <c r="AX334" s="4"/>
      <c r="AY334" s="4"/>
    </row>
    <row r="335" spans="1:5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281"/>
      <c r="AO335" s="7"/>
      <c r="AP335" s="7"/>
      <c r="AQ335" s="7"/>
      <c r="AR335" s="7"/>
      <c r="AS335" s="7"/>
      <c r="AT335" s="4"/>
      <c r="AU335" s="4"/>
      <c r="AV335" s="4"/>
      <c r="AW335" s="4"/>
      <c r="AX335" s="4"/>
      <c r="AY335" s="4"/>
    </row>
    <row r="336" spans="1:5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281"/>
      <c r="AO336" s="7"/>
      <c r="AP336" s="7"/>
      <c r="AQ336" s="7"/>
      <c r="AR336" s="7"/>
      <c r="AS336" s="7"/>
      <c r="AT336" s="4"/>
      <c r="AU336" s="4"/>
      <c r="AV336" s="4"/>
      <c r="AW336" s="4"/>
      <c r="AX336" s="4"/>
      <c r="AY336" s="4"/>
    </row>
    <row r="337" spans="1:51">
      <c r="A337" s="251" t="s">
        <v>841</v>
      </c>
      <c r="B337" s="252"/>
      <c r="C337" s="252"/>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c r="AA337" s="252"/>
      <c r="AB337" s="252"/>
      <c r="AC337" s="252"/>
      <c r="AD337" s="252"/>
      <c r="AE337" s="252"/>
      <c r="AF337" s="252"/>
      <c r="AG337" s="252"/>
      <c r="AH337" s="252"/>
      <c r="AI337" s="252"/>
      <c r="AJ337" s="252"/>
      <c r="AK337" s="252"/>
      <c r="AL337" s="252"/>
      <c r="AM337" s="252"/>
      <c r="AN337" s="281"/>
      <c r="AO337" s="7"/>
      <c r="AP337" s="7"/>
      <c r="AQ337" s="252"/>
      <c r="AR337" s="252"/>
      <c r="AS337" s="252"/>
      <c r="AT337" s="252"/>
      <c r="AU337" s="252"/>
      <c r="AV337" s="252"/>
      <c r="AW337" s="252"/>
      <c r="AX337" s="252"/>
      <c r="AY337" s="252"/>
    </row>
    <row r="338" spans="1:51">
      <c r="A338" s="4" t="s">
        <v>842</v>
      </c>
      <c r="V338" s="205"/>
      <c r="W338" s="205"/>
      <c r="X338" s="205"/>
      <c r="AH338">
        <v>-20.5</v>
      </c>
      <c r="AK338">
        <v>75.400000000000006</v>
      </c>
      <c r="AL338">
        <v>23.2</v>
      </c>
      <c r="AM338">
        <v>6.2</v>
      </c>
      <c r="AN338" s="281"/>
    </row>
    <row r="339" spans="1:51">
      <c r="A339" s="4" t="s">
        <v>843</v>
      </c>
      <c r="R339" s="266"/>
      <c r="S339" s="266"/>
      <c r="T339" s="266"/>
      <c r="U339" s="266"/>
      <c r="V339" s="266"/>
      <c r="W339" s="266"/>
      <c r="X339" s="266"/>
      <c r="Y339" s="266"/>
      <c r="Z339" s="266"/>
      <c r="AA339" s="266">
        <v>1919</v>
      </c>
      <c r="AB339" s="266"/>
      <c r="AC339" s="266"/>
      <c r="AD339" s="266"/>
      <c r="AE339" s="266">
        <v>1088</v>
      </c>
      <c r="AF339" s="266"/>
      <c r="AG339" s="266"/>
      <c r="AH339" s="266"/>
      <c r="AI339" s="266"/>
      <c r="AJ339" s="266"/>
      <c r="AK339" s="266"/>
      <c r="AL339" s="266"/>
      <c r="AM339" s="266"/>
      <c r="AN339" s="281"/>
      <c r="AQ339" s="266"/>
      <c r="AR339" s="266"/>
      <c r="AS339" s="210">
        <v>3824</v>
      </c>
      <c r="AT339" s="210">
        <v>4527</v>
      </c>
      <c r="AU339" s="210">
        <v>2969</v>
      </c>
      <c r="AV339" s="210">
        <v>7623</v>
      </c>
      <c r="AW339" s="210">
        <v>7656</v>
      </c>
      <c r="AX339" s="210"/>
      <c r="AY339" s="210"/>
    </row>
    <row r="340" spans="1:51">
      <c r="A340" s="4" t="s">
        <v>291</v>
      </c>
      <c r="R340" s="266"/>
      <c r="S340" s="266"/>
      <c r="T340" s="266"/>
      <c r="U340" s="266"/>
      <c r="V340" s="266"/>
      <c r="W340" s="266"/>
      <c r="X340" s="266"/>
      <c r="Y340" s="266"/>
      <c r="Z340" s="266"/>
      <c r="AA340" s="266">
        <v>1040</v>
      </c>
      <c r="AB340" s="266"/>
      <c r="AC340" s="266"/>
      <c r="AD340" s="266"/>
      <c r="AE340" s="266">
        <v>892</v>
      </c>
      <c r="AF340" s="266"/>
      <c r="AG340" s="266"/>
      <c r="AH340" s="266"/>
      <c r="AI340" s="266"/>
      <c r="AJ340" s="266"/>
      <c r="AK340" s="266"/>
      <c r="AL340" s="266"/>
      <c r="AM340" s="266"/>
      <c r="AN340" s="281"/>
      <c r="AQ340" s="266"/>
      <c r="AR340" s="266"/>
      <c r="AS340" s="210">
        <v>-888</v>
      </c>
      <c r="AT340" s="210">
        <v>-703</v>
      </c>
      <c r="AU340" s="210">
        <v>-725</v>
      </c>
      <c r="AV340" s="210">
        <v>-782</v>
      </c>
      <c r="AW340" s="210">
        <v>-1541</v>
      </c>
      <c r="AX340" s="210"/>
      <c r="AY340" s="210"/>
    </row>
    <row r="341" spans="1:51">
      <c r="A341" s="4" t="s">
        <v>844</v>
      </c>
      <c r="AN341" s="281"/>
      <c r="AQ341" s="266"/>
      <c r="AR341" s="266"/>
    </row>
    <row r="342" spans="1:51">
      <c r="A342" s="4" t="s">
        <v>845</v>
      </c>
      <c r="R342" s="266">
        <f t="shared" ref="R342:AM342" si="135">R339-R340</f>
        <v>0</v>
      </c>
      <c r="S342" s="266">
        <f t="shared" si="135"/>
        <v>0</v>
      </c>
      <c r="T342" s="266">
        <f t="shared" si="135"/>
        <v>0</v>
      </c>
      <c r="U342" s="266">
        <f t="shared" si="135"/>
        <v>0</v>
      </c>
      <c r="V342" s="266">
        <f t="shared" si="135"/>
        <v>0</v>
      </c>
      <c r="W342" s="266">
        <f t="shared" si="135"/>
        <v>0</v>
      </c>
      <c r="X342" s="266">
        <f t="shared" si="135"/>
        <v>0</v>
      </c>
      <c r="Y342" s="266">
        <f t="shared" si="135"/>
        <v>0</v>
      </c>
      <c r="Z342" s="266">
        <f t="shared" si="135"/>
        <v>0</v>
      </c>
      <c r="AA342" s="266">
        <f t="shared" si="135"/>
        <v>879</v>
      </c>
      <c r="AB342" s="266">
        <f t="shared" si="135"/>
        <v>0</v>
      </c>
      <c r="AC342" s="266">
        <f t="shared" si="135"/>
        <v>0</v>
      </c>
      <c r="AD342" s="266">
        <f t="shared" si="135"/>
        <v>0</v>
      </c>
      <c r="AE342" s="266">
        <f t="shared" si="135"/>
        <v>196</v>
      </c>
      <c r="AF342" s="266">
        <f t="shared" si="135"/>
        <v>0</v>
      </c>
      <c r="AG342" s="266">
        <f t="shared" si="135"/>
        <v>0</v>
      </c>
      <c r="AH342" s="266">
        <f t="shared" si="135"/>
        <v>0</v>
      </c>
      <c r="AI342" s="266">
        <f t="shared" si="135"/>
        <v>0</v>
      </c>
      <c r="AJ342" s="266">
        <f t="shared" si="135"/>
        <v>0</v>
      </c>
      <c r="AK342" s="266">
        <f t="shared" si="135"/>
        <v>0</v>
      </c>
      <c r="AL342" s="266">
        <f t="shared" si="135"/>
        <v>0</v>
      </c>
      <c r="AM342" s="266">
        <f t="shared" si="135"/>
        <v>0</v>
      </c>
      <c r="AN342" s="281"/>
      <c r="AQ342" s="266"/>
      <c r="AR342" s="266"/>
      <c r="AS342" s="266">
        <f>AS339+AS340</f>
        <v>2936</v>
      </c>
      <c r="AT342" s="266">
        <f t="shared" ref="AT342:AW342" si="136">AT339+AT340</f>
        <v>3824</v>
      </c>
      <c r="AU342" s="266">
        <f t="shared" si="136"/>
        <v>2244</v>
      </c>
      <c r="AV342" s="266">
        <f t="shared" si="136"/>
        <v>6841</v>
      </c>
      <c r="AW342" s="266">
        <f t="shared" si="136"/>
        <v>6115</v>
      </c>
      <c r="AX342" s="266"/>
      <c r="AY342" s="266"/>
    </row>
    <row r="343" spans="1:51">
      <c r="A343" s="4"/>
      <c r="R343" s="210">
        <f>'P&amp;L consol'!N29</f>
        <v>1406</v>
      </c>
      <c r="T343" s="316"/>
      <c r="X343" s="316"/>
      <c r="AN343" s="281"/>
      <c r="AQ343" s="266"/>
      <c r="AR343" s="266"/>
      <c r="AS343" s="210"/>
      <c r="AT343" s="210"/>
      <c r="AU343" s="210"/>
      <c r="AV343" s="210"/>
      <c r="AW343" s="210"/>
      <c r="AX343" s="210"/>
      <c r="AY343" s="210"/>
    </row>
    <row r="344" spans="1:51">
      <c r="A344" s="4" t="s">
        <v>846</v>
      </c>
      <c r="N344" s="210">
        <f>'P&amp;L consol'!J29</f>
        <v>1287</v>
      </c>
      <c r="O344" s="210">
        <f>'P&amp;L consol'!K29</f>
        <v>1553</v>
      </c>
      <c r="P344" s="210">
        <f>'P&amp;L consol'!L29</f>
        <v>1677</v>
      </c>
      <c r="Q344" s="210">
        <f>'P&amp;L consol'!M29</f>
        <v>1585</v>
      </c>
      <c r="S344" s="210">
        <f>'P&amp;L consol'!O29</f>
        <v>1898</v>
      </c>
      <c r="T344" s="210">
        <f>'P&amp;L consol'!P29</f>
        <v>1940</v>
      </c>
      <c r="U344" s="210">
        <f>'P&amp;L consol'!Q29</f>
        <v>1971</v>
      </c>
      <c r="V344" s="210">
        <f>'P&amp;L consol'!R29</f>
        <v>1686</v>
      </c>
      <c r="W344" s="210">
        <f>'P&amp;L consol'!S29</f>
        <v>2048</v>
      </c>
      <c r="X344" s="210">
        <f>'P&amp;L consol'!T29</f>
        <v>2009</v>
      </c>
      <c r="Y344" s="210">
        <f>'P&amp;L consol'!U29</f>
        <v>2122</v>
      </c>
      <c r="Z344" s="210">
        <f>'P&amp;L consol'!V29</f>
        <v>2105</v>
      </c>
      <c r="AA344" s="210">
        <f>'P&amp;L consol'!W29</f>
        <v>2737</v>
      </c>
      <c r="AB344" s="210">
        <f>'P&amp;L consol'!X29</f>
        <v>3020</v>
      </c>
      <c r="AC344" s="210">
        <f>'P&amp;L consol'!Y29</f>
        <v>3293</v>
      </c>
      <c r="AD344" s="210">
        <f>'P&amp;L consol'!Z29</f>
        <v>2918</v>
      </c>
      <c r="AE344" s="210">
        <f>'P&amp;L consol'!AA29</f>
        <v>3444</v>
      </c>
      <c r="AF344" s="210">
        <f>'P&amp;L consol'!AB29</f>
        <v>3615</v>
      </c>
      <c r="AG344" s="210">
        <f>'P&amp;L consol'!AC29</f>
        <v>4076</v>
      </c>
      <c r="AH344" s="210">
        <f>'P&amp;L consol'!AD29</f>
        <v>3316</v>
      </c>
      <c r="AI344" s="210">
        <f>'P&amp;L consol'!AE29</f>
        <v>3473</v>
      </c>
      <c r="AJ344" s="210">
        <f>'P&amp;L consol'!AF29</f>
        <v>4012</v>
      </c>
      <c r="AK344" s="210">
        <f>'P&amp;L consol'!AG29</f>
        <v>4232</v>
      </c>
      <c r="AL344" s="210">
        <f>'P&amp;L consol'!AH29</f>
        <v>4235</v>
      </c>
      <c r="AM344" s="210">
        <f>'P&amp;L consol'!AI29</f>
        <v>4636</v>
      </c>
      <c r="AN344" s="281"/>
      <c r="AQ344" s="266"/>
      <c r="AR344" s="266"/>
      <c r="AS344" s="266">
        <f>'P&amp;L consol'!BE29</f>
        <v>5012</v>
      </c>
      <c r="AT344" s="266">
        <f>'P&amp;L consol'!BF29</f>
        <v>6452</v>
      </c>
      <c r="AU344" s="266">
        <f>'P&amp;L consol'!BG29</f>
        <v>7197</v>
      </c>
      <c r="AV344" s="266">
        <f>'P&amp;L consol'!BH29</f>
        <v>7864</v>
      </c>
      <c r="AW344" s="266">
        <f>'P&amp;L consol'!BI29</f>
        <v>11154</v>
      </c>
      <c r="AX344" s="266"/>
      <c r="AY344" s="266"/>
    </row>
    <row r="345" spans="1:51">
      <c r="A345" s="4" t="s">
        <v>847</v>
      </c>
      <c r="N345" s="210">
        <f>'P&amp;L consol'!J61</f>
        <v>841</v>
      </c>
      <c r="O345" s="210">
        <f>'P&amp;L consol'!K61</f>
        <v>1065</v>
      </c>
      <c r="P345" s="210">
        <f>'P&amp;L consol'!L61</f>
        <v>922</v>
      </c>
      <c r="Q345" s="210">
        <f>'P&amp;L consol'!M61</f>
        <v>1022</v>
      </c>
      <c r="R345" s="210">
        <f>'P&amp;L consol'!N61</f>
        <v>892</v>
      </c>
      <c r="S345" s="210">
        <f>'P&amp;L consol'!O61</f>
        <v>1195</v>
      </c>
      <c r="T345" s="210">
        <f>'P&amp;L consol'!P61</f>
        <v>1233</v>
      </c>
      <c r="U345" s="210">
        <f>'P&amp;L consol'!Q61</f>
        <v>1137</v>
      </c>
      <c r="V345" s="210">
        <f>'P&amp;L consol'!R61</f>
        <v>799</v>
      </c>
      <c r="W345" s="210">
        <f>'P&amp;L consol'!S61</f>
        <v>1207</v>
      </c>
      <c r="X345" s="210">
        <f>'P&amp;L consol'!T61</f>
        <v>1220</v>
      </c>
      <c r="Y345" s="210">
        <f>'P&amp;L consol'!U61</f>
        <v>1330</v>
      </c>
      <c r="Z345" s="210">
        <f>'P&amp;L consol'!V61</f>
        <v>1218</v>
      </c>
      <c r="AA345" s="210">
        <f>'P&amp;L consol'!W61</f>
        <v>1467</v>
      </c>
      <c r="AB345" s="210">
        <f>'P&amp;L consol'!X61</f>
        <v>1837</v>
      </c>
      <c r="AC345" s="210">
        <f>'P&amp;L consol'!Y61</f>
        <v>2077</v>
      </c>
      <c r="AD345" s="210">
        <f>'P&amp;L consol'!Z61</f>
        <v>1497</v>
      </c>
      <c r="AE345" s="210">
        <f>'P&amp;L consol'!AA61</f>
        <v>2011</v>
      </c>
      <c r="AF345" s="210">
        <f>'P&amp;L consol'!AB61</f>
        <v>2282</v>
      </c>
      <c r="AG345" s="210">
        <f>'P&amp;L consol'!AC61</f>
        <v>1148</v>
      </c>
      <c r="AH345" s="210">
        <f>'P&amp;L consol'!AD61</f>
        <v>1432</v>
      </c>
      <c r="AI345" s="210">
        <f>'P&amp;L consol'!AE61</f>
        <v>1490.6000000000001</v>
      </c>
      <c r="AJ345" s="210">
        <f>'P&amp;L consol'!AF61</f>
        <v>2034</v>
      </c>
      <c r="AK345" s="210">
        <f>'P&amp;L consol'!AG61</f>
        <v>2249</v>
      </c>
      <c r="AL345" s="210">
        <f>'P&amp;L consol'!AH61</f>
        <v>1514</v>
      </c>
      <c r="AM345" s="210">
        <f>'P&amp;L consol'!AI61</f>
        <v>2154</v>
      </c>
      <c r="AN345" s="281"/>
      <c r="AR345" s="266"/>
      <c r="AS345" s="266">
        <f>'P&amp;L consol'!BE61</f>
        <v>2801</v>
      </c>
      <c r="AT345" s="266">
        <f>'P&amp;L consol'!BF61</f>
        <v>4034</v>
      </c>
      <c r="AU345" s="266">
        <f>'P&amp;L consol'!BG61</f>
        <v>4440</v>
      </c>
      <c r="AV345" s="266">
        <f>'P&amp;L consol'!BH61</f>
        <v>4555</v>
      </c>
      <c r="AW345" s="266">
        <f>'P&amp;L consol'!BI61</f>
        <v>6617</v>
      </c>
      <c r="AX345" s="266"/>
      <c r="AY345" s="266"/>
    </row>
    <row r="346" spans="1:51">
      <c r="A346" s="4"/>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c r="AK346" s="210"/>
      <c r="AL346" s="210"/>
      <c r="AM346" s="210"/>
      <c r="AN346" s="281"/>
    </row>
    <row r="347" spans="1:51">
      <c r="A347" s="4" t="s">
        <v>293</v>
      </c>
      <c r="R347" s="309">
        <f t="shared" ref="R347:X347" si="137">R339/R345</f>
        <v>0</v>
      </c>
      <c r="S347" s="309">
        <f t="shared" si="137"/>
        <v>0</v>
      </c>
      <c r="T347" s="309">
        <f t="shared" si="137"/>
        <v>0</v>
      </c>
      <c r="U347" s="309">
        <f t="shared" si="137"/>
        <v>0</v>
      </c>
      <c r="V347" s="309">
        <f t="shared" si="137"/>
        <v>0</v>
      </c>
      <c r="W347" s="309">
        <f t="shared" si="137"/>
        <v>0</v>
      </c>
      <c r="X347" s="309">
        <f t="shared" si="137"/>
        <v>0</v>
      </c>
      <c r="Y347" s="309">
        <f>Y339/Y345</f>
        <v>0</v>
      </c>
      <c r="Z347" s="309">
        <f>Z339/Z345</f>
        <v>0</v>
      </c>
      <c r="AA347" s="309">
        <f>AA339/AA345</f>
        <v>1.3081117927743695</v>
      </c>
      <c r="AB347" s="309">
        <f t="shared" ref="AB347:AM347" si="138">AB339/AB345</f>
        <v>0</v>
      </c>
      <c r="AC347" s="309">
        <f t="shared" si="138"/>
        <v>0</v>
      </c>
      <c r="AD347" s="309">
        <f t="shared" si="138"/>
        <v>0</v>
      </c>
      <c r="AE347" s="309">
        <f t="shared" si="138"/>
        <v>0.54102436598707115</v>
      </c>
      <c r="AF347" s="309">
        <f t="shared" si="138"/>
        <v>0</v>
      </c>
      <c r="AG347" s="309">
        <f t="shared" si="138"/>
        <v>0</v>
      </c>
      <c r="AH347" s="309">
        <f t="shared" si="138"/>
        <v>0</v>
      </c>
      <c r="AI347" s="309">
        <f t="shared" si="138"/>
        <v>0</v>
      </c>
      <c r="AJ347" s="309">
        <f t="shared" si="138"/>
        <v>0</v>
      </c>
      <c r="AK347" s="309">
        <f t="shared" si="138"/>
        <v>0</v>
      </c>
      <c r="AL347" s="309">
        <f t="shared" si="138"/>
        <v>0</v>
      </c>
      <c r="AM347" s="309">
        <f t="shared" si="138"/>
        <v>0</v>
      </c>
      <c r="AN347" s="281"/>
      <c r="AR347" s="309"/>
      <c r="AS347" s="309">
        <f t="shared" ref="AS347:AW347" si="139">AS339/AS345</f>
        <v>1.3652267047483042</v>
      </c>
      <c r="AT347" s="309">
        <f t="shared" si="139"/>
        <v>1.1222112047595438</v>
      </c>
      <c r="AU347" s="309">
        <f t="shared" si="139"/>
        <v>0.66869369369369369</v>
      </c>
      <c r="AV347" s="309">
        <f t="shared" si="139"/>
        <v>1.6735455543358946</v>
      </c>
      <c r="AW347" s="309">
        <f t="shared" si="139"/>
        <v>1.1570197974913103</v>
      </c>
      <c r="AX347" s="309"/>
      <c r="AY347" s="309"/>
    </row>
    <row r="348" spans="1:51">
      <c r="A348" s="4" t="s">
        <v>294</v>
      </c>
      <c r="R348" s="309">
        <f>R339/R343</f>
        <v>0</v>
      </c>
      <c r="S348" s="309">
        <f t="shared" ref="S348:X348" si="140">S339/S344</f>
        <v>0</v>
      </c>
      <c r="T348" s="309">
        <f t="shared" si="140"/>
        <v>0</v>
      </c>
      <c r="U348" s="309">
        <f t="shared" si="140"/>
        <v>0</v>
      </c>
      <c r="V348" s="309">
        <f t="shared" si="140"/>
        <v>0</v>
      </c>
      <c r="W348" s="309">
        <f t="shared" si="140"/>
        <v>0</v>
      </c>
      <c r="X348" s="309">
        <f t="shared" si="140"/>
        <v>0</v>
      </c>
      <c r="Y348" s="309">
        <f>Y339/Y344</f>
        <v>0</v>
      </c>
      <c r="Z348" s="309">
        <f>Z339/Z344</f>
        <v>0</v>
      </c>
      <c r="AA348" s="309">
        <f>AA339/AA344</f>
        <v>0.70113262696382905</v>
      </c>
      <c r="AB348" s="309">
        <f t="shared" ref="AB348:AM348" si="141">AB339/AB344</f>
        <v>0</v>
      </c>
      <c r="AC348" s="309">
        <f t="shared" si="141"/>
        <v>0</v>
      </c>
      <c r="AD348" s="309">
        <f t="shared" si="141"/>
        <v>0</v>
      </c>
      <c r="AE348" s="309">
        <f t="shared" si="141"/>
        <v>0.3159117305458769</v>
      </c>
      <c r="AF348" s="309">
        <f t="shared" si="141"/>
        <v>0</v>
      </c>
      <c r="AG348" s="309">
        <f t="shared" si="141"/>
        <v>0</v>
      </c>
      <c r="AH348" s="309">
        <f t="shared" si="141"/>
        <v>0</v>
      </c>
      <c r="AI348" s="309">
        <f t="shared" si="141"/>
        <v>0</v>
      </c>
      <c r="AJ348" s="309">
        <f t="shared" si="141"/>
        <v>0</v>
      </c>
      <c r="AK348" s="309">
        <f t="shared" si="141"/>
        <v>0</v>
      </c>
      <c r="AL348" s="309">
        <f t="shared" si="141"/>
        <v>0</v>
      </c>
      <c r="AM348" s="309">
        <f t="shared" si="141"/>
        <v>0</v>
      </c>
      <c r="AN348" s="281"/>
      <c r="AR348" s="309"/>
      <c r="AS348" s="309">
        <f t="shared" ref="AS348:AW348" si="142">AS339/AS344</f>
        <v>0.76296887470071828</v>
      </c>
      <c r="AT348" s="309">
        <f t="shared" si="142"/>
        <v>0.70164290142591446</v>
      </c>
      <c r="AU348" s="309">
        <f t="shared" si="142"/>
        <v>0.41253299986105324</v>
      </c>
      <c r="AV348" s="309">
        <f t="shared" si="142"/>
        <v>0.96935401831129198</v>
      </c>
      <c r="AW348" s="309">
        <f t="shared" si="142"/>
        <v>0.68639053254437865</v>
      </c>
      <c r="AX348" s="309"/>
      <c r="AY348" s="309"/>
    </row>
    <row r="349" spans="1:51">
      <c r="A349" s="4"/>
      <c r="V349" s="205"/>
      <c r="W349" s="205"/>
      <c r="X349" s="205"/>
      <c r="Y349" s="205"/>
      <c r="Z349" s="205"/>
      <c r="AA349" s="205"/>
      <c r="AB349" s="205"/>
      <c r="AC349" s="205"/>
      <c r="AD349" s="205"/>
      <c r="AE349" s="205"/>
      <c r="AF349" s="205"/>
      <c r="AG349" s="205"/>
      <c r="AH349" s="205"/>
      <c r="AI349" s="205"/>
      <c r="AJ349" s="205"/>
      <c r="AK349" s="205"/>
      <c r="AL349" s="205"/>
      <c r="AM349" s="205"/>
      <c r="AN349" s="281"/>
    </row>
    <row r="350" spans="1:51">
      <c r="A350" s="4" t="s">
        <v>295</v>
      </c>
      <c r="R350" s="309">
        <f t="shared" ref="R350:X350" si="143">R342/R345</f>
        <v>0</v>
      </c>
      <c r="S350" s="309">
        <f t="shared" si="143"/>
        <v>0</v>
      </c>
      <c r="T350" s="309">
        <f t="shared" si="143"/>
        <v>0</v>
      </c>
      <c r="U350" s="309">
        <f t="shared" si="143"/>
        <v>0</v>
      </c>
      <c r="V350" s="309">
        <f t="shared" si="143"/>
        <v>0</v>
      </c>
      <c r="W350" s="309">
        <f t="shared" si="143"/>
        <v>0</v>
      </c>
      <c r="X350" s="309">
        <f t="shared" si="143"/>
        <v>0</v>
      </c>
      <c r="Y350" s="309">
        <f>Y342/Y345</f>
        <v>0</v>
      </c>
      <c r="Z350" s="309">
        <f>Z342/Z345</f>
        <v>0</v>
      </c>
      <c r="AA350" s="309">
        <f>AA342/AA345</f>
        <v>0.59918200408997957</v>
      </c>
      <c r="AB350" s="309">
        <f t="shared" ref="AB350:AM350" si="144">AB342/AB345</f>
        <v>0</v>
      </c>
      <c r="AC350" s="309">
        <f t="shared" si="144"/>
        <v>0</v>
      </c>
      <c r="AD350" s="309">
        <f t="shared" si="144"/>
        <v>0</v>
      </c>
      <c r="AE350" s="309">
        <f t="shared" si="144"/>
        <v>9.7463948284435609E-2</v>
      </c>
      <c r="AF350" s="309">
        <f t="shared" si="144"/>
        <v>0</v>
      </c>
      <c r="AG350" s="309">
        <f t="shared" si="144"/>
        <v>0</v>
      </c>
      <c r="AH350" s="309">
        <f t="shared" si="144"/>
        <v>0</v>
      </c>
      <c r="AI350" s="309">
        <f t="shared" si="144"/>
        <v>0</v>
      </c>
      <c r="AJ350" s="309">
        <f t="shared" si="144"/>
        <v>0</v>
      </c>
      <c r="AK350" s="309">
        <f t="shared" si="144"/>
        <v>0</v>
      </c>
      <c r="AL350" s="309">
        <f t="shared" si="144"/>
        <v>0</v>
      </c>
      <c r="AM350" s="309">
        <f t="shared" si="144"/>
        <v>0</v>
      </c>
      <c r="AN350" s="281"/>
      <c r="AR350" s="309"/>
      <c r="AS350" s="309">
        <f t="shared" ref="AS350:AW350" si="145">AS342/AS345</f>
        <v>1.0481970724741163</v>
      </c>
      <c r="AT350" s="309">
        <f t="shared" si="145"/>
        <v>0.94794248884481902</v>
      </c>
      <c r="AU350" s="309">
        <f t="shared" si="145"/>
        <v>0.50540540540540535</v>
      </c>
      <c r="AV350" s="309">
        <f t="shared" si="145"/>
        <v>1.5018660812294182</v>
      </c>
      <c r="AW350" s="309">
        <f t="shared" si="145"/>
        <v>0.92413480429197525</v>
      </c>
      <c r="AX350" s="309"/>
      <c r="AY350" s="309"/>
    </row>
    <row r="351" spans="1:51">
      <c r="A351" s="4" t="s">
        <v>296</v>
      </c>
      <c r="R351" s="309">
        <f>R342/R343</f>
        <v>0</v>
      </c>
      <c r="S351" s="309">
        <f t="shared" ref="S351:X351" si="146">S342/S344</f>
        <v>0</v>
      </c>
      <c r="T351" s="309">
        <f t="shared" si="146"/>
        <v>0</v>
      </c>
      <c r="U351" s="309">
        <f t="shared" si="146"/>
        <v>0</v>
      </c>
      <c r="V351" s="309">
        <f t="shared" si="146"/>
        <v>0</v>
      </c>
      <c r="W351" s="309">
        <f t="shared" si="146"/>
        <v>0</v>
      </c>
      <c r="X351" s="309">
        <f t="shared" si="146"/>
        <v>0</v>
      </c>
      <c r="Y351" s="309">
        <f>Y342/Y344</f>
        <v>0</v>
      </c>
      <c r="Z351" s="309">
        <f>Z342/Z344</f>
        <v>0</v>
      </c>
      <c r="AA351" s="309">
        <f>AA342/AA344</f>
        <v>0.32115454877603217</v>
      </c>
      <c r="AB351" s="309">
        <f t="shared" ref="AB351:AM351" si="147">AB342/AB344</f>
        <v>0</v>
      </c>
      <c r="AC351" s="309">
        <f t="shared" si="147"/>
        <v>0</v>
      </c>
      <c r="AD351" s="309">
        <f t="shared" si="147"/>
        <v>0</v>
      </c>
      <c r="AE351" s="309">
        <f t="shared" si="147"/>
        <v>5.6910569105691054E-2</v>
      </c>
      <c r="AF351" s="309">
        <f t="shared" si="147"/>
        <v>0</v>
      </c>
      <c r="AG351" s="309">
        <f t="shared" si="147"/>
        <v>0</v>
      </c>
      <c r="AH351" s="309">
        <f t="shared" si="147"/>
        <v>0</v>
      </c>
      <c r="AI351" s="309">
        <f t="shared" si="147"/>
        <v>0</v>
      </c>
      <c r="AJ351" s="309">
        <f t="shared" si="147"/>
        <v>0</v>
      </c>
      <c r="AK351" s="309">
        <f t="shared" si="147"/>
        <v>0</v>
      </c>
      <c r="AL351" s="309">
        <f t="shared" si="147"/>
        <v>0</v>
      </c>
      <c r="AM351" s="309">
        <f t="shared" si="147"/>
        <v>0</v>
      </c>
      <c r="AN351" s="281"/>
      <c r="AR351" s="309"/>
      <c r="AS351" s="309">
        <f t="shared" ref="AS351:AW351" si="148">AS342/AS344</f>
        <v>0.58579409417398243</v>
      </c>
      <c r="AT351" s="309">
        <f t="shared" si="148"/>
        <v>0.59268443893366396</v>
      </c>
      <c r="AU351" s="309">
        <f t="shared" si="148"/>
        <v>0.31179658190912879</v>
      </c>
      <c r="AV351" s="309">
        <f t="shared" si="148"/>
        <v>0.86991353001017291</v>
      </c>
      <c r="AW351" s="309">
        <f t="shared" si="148"/>
        <v>0.54823381746458666</v>
      </c>
      <c r="AX351" s="309"/>
      <c r="AY351" s="309"/>
    </row>
    <row r="352" spans="1:51">
      <c r="AN352" s="281"/>
    </row>
    <row r="353" spans="1:51">
      <c r="A353" s="4" t="s">
        <v>848</v>
      </c>
      <c r="AC353" s="391">
        <v>62.2</v>
      </c>
      <c r="AD353" s="391">
        <v>42</v>
      </c>
      <c r="AE353" s="391"/>
      <c r="AF353" s="391"/>
      <c r="AG353" s="391"/>
      <c r="AH353" s="391"/>
      <c r="AI353" s="391"/>
      <c r="AJ353" s="391"/>
      <c r="AK353" s="391"/>
      <c r="AL353" s="391"/>
      <c r="AM353" s="391"/>
      <c r="AN353" s="281"/>
      <c r="AT353" s="205"/>
      <c r="AU353" s="205"/>
      <c r="AV353" s="205"/>
      <c r="AW353" s="205"/>
      <c r="AX353" s="205"/>
      <c r="AY353" s="205"/>
    </row>
    <row r="354" spans="1:51">
      <c r="A354" s="4" t="s">
        <v>849</v>
      </c>
      <c r="R354" s="210"/>
      <c r="S354" s="210"/>
      <c r="T354" s="210"/>
      <c r="U354" s="210"/>
      <c r="V354" s="210"/>
      <c r="W354" s="210"/>
      <c r="X354" s="210"/>
      <c r="Y354" s="210"/>
      <c r="Z354" s="210"/>
      <c r="AA354" s="210"/>
      <c r="AB354" s="210"/>
      <c r="AC354" s="210"/>
      <c r="AD354" s="210"/>
      <c r="AE354" s="210"/>
      <c r="AF354" s="210"/>
      <c r="AG354" s="210"/>
      <c r="AH354" s="210"/>
      <c r="AI354" s="210"/>
      <c r="AJ354" s="210"/>
      <c r="AK354" s="210"/>
      <c r="AL354" s="210"/>
      <c r="AM354" s="210"/>
      <c r="AN354" s="281"/>
      <c r="AQ354" s="205"/>
      <c r="AR354" s="205"/>
      <c r="AS354" s="205">
        <v>8057</v>
      </c>
      <c r="AT354" s="205">
        <v>9758</v>
      </c>
      <c r="AU354" s="205">
        <v>9365</v>
      </c>
      <c r="AV354" s="205">
        <v>8391</v>
      </c>
      <c r="AW354" s="205">
        <v>4718</v>
      </c>
      <c r="AX354" s="205"/>
      <c r="AY354" s="205"/>
    </row>
    <row r="355" spans="1:51">
      <c r="A355" s="4" t="s">
        <v>291</v>
      </c>
      <c r="R355" s="210"/>
      <c r="S355" s="210"/>
      <c r="T355" s="210"/>
      <c r="U355" s="210"/>
      <c r="V355" s="210"/>
      <c r="W355" s="210"/>
      <c r="X355" s="210"/>
      <c r="Y355" s="210"/>
      <c r="Z355" s="210"/>
      <c r="AA355" s="210"/>
      <c r="AB355" s="210"/>
      <c r="AC355" s="392">
        <v>3.2</v>
      </c>
      <c r="AD355" s="392">
        <v>7</v>
      </c>
      <c r="AE355" s="392"/>
      <c r="AF355" s="392"/>
      <c r="AG355" s="392"/>
      <c r="AH355" s="392"/>
      <c r="AI355" s="392"/>
      <c r="AJ355" s="392"/>
      <c r="AK355" s="392"/>
      <c r="AL355" s="392"/>
      <c r="AM355" s="392"/>
      <c r="AN355" s="281"/>
      <c r="AU355" s="205"/>
      <c r="AV355" s="205"/>
      <c r="AW355" s="205"/>
      <c r="AX355" s="205"/>
      <c r="AY355" s="205"/>
    </row>
    <row r="356" spans="1:51">
      <c r="AN356" s="281"/>
    </row>
    <row r="357" spans="1:51">
      <c r="A357" s="269" t="s">
        <v>850</v>
      </c>
      <c r="N357" s="269"/>
      <c r="O357" s="269"/>
      <c r="P357" s="269"/>
      <c r="Q357" s="269"/>
      <c r="R357" s="269"/>
      <c r="S357" s="269"/>
      <c r="T357" s="269"/>
      <c r="U357" s="269"/>
      <c r="V357" s="269"/>
      <c r="W357" s="269"/>
      <c r="X357" s="269"/>
      <c r="Y357" s="269"/>
      <c r="Z357" s="320">
        <f t="shared" ref="Z357:AM357" si="149">Z260</f>
        <v>71</v>
      </c>
      <c r="AA357" s="320">
        <f t="shared" si="149"/>
        <v>66</v>
      </c>
      <c r="AB357" s="320">
        <f t="shared" si="149"/>
        <v>70</v>
      </c>
      <c r="AC357" s="320">
        <f t="shared" si="149"/>
        <v>63</v>
      </c>
      <c r="AD357" s="320">
        <f t="shared" si="149"/>
        <v>72</v>
      </c>
      <c r="AE357" s="320">
        <f t="shared" si="149"/>
        <v>70</v>
      </c>
      <c r="AF357" s="320">
        <f t="shared" si="149"/>
        <v>73</v>
      </c>
      <c r="AG357" s="320">
        <f t="shared" si="149"/>
        <v>61</v>
      </c>
      <c r="AH357" s="320">
        <f t="shared" si="149"/>
        <v>61</v>
      </c>
      <c r="AI357" s="320">
        <f t="shared" si="149"/>
        <v>64</v>
      </c>
      <c r="AJ357" s="320">
        <f t="shared" si="149"/>
        <v>63</v>
      </c>
      <c r="AK357" s="320">
        <f t="shared" si="149"/>
        <v>56</v>
      </c>
      <c r="AL357" s="320">
        <f t="shared" si="149"/>
        <v>59</v>
      </c>
      <c r="AM357" s="320">
        <f t="shared" si="149"/>
        <v>61</v>
      </c>
      <c r="AN357" s="281"/>
      <c r="AQ357" s="391"/>
      <c r="AR357" s="391"/>
      <c r="AT357" s="391">
        <v>62</v>
      </c>
      <c r="AU357" s="391">
        <v>74</v>
      </c>
      <c r="AV357" s="391">
        <v>70</v>
      </c>
      <c r="AW357" s="391">
        <v>63</v>
      </c>
      <c r="AX357" s="391"/>
      <c r="AY357" s="391"/>
    </row>
    <row r="358" spans="1:51" ht="15.75" customHeight="1">
      <c r="A358" s="269" t="s">
        <v>851</v>
      </c>
      <c r="AN358" s="281"/>
      <c r="AU358" s="391"/>
      <c r="AV358" s="391">
        <v>71</v>
      </c>
    </row>
    <row r="359" spans="1:51" ht="15.75" customHeight="1">
      <c r="A359" s="269"/>
      <c r="AN359" s="281"/>
    </row>
    <row r="360" spans="1:51">
      <c r="A360" s="251" t="s">
        <v>31</v>
      </c>
      <c r="B360" s="252"/>
      <c r="C360" s="252"/>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c r="AA360" s="252"/>
      <c r="AB360" s="252"/>
      <c r="AC360" s="252"/>
      <c r="AD360" s="252"/>
      <c r="AE360" s="252"/>
      <c r="AF360" s="252"/>
      <c r="AG360" s="252"/>
      <c r="AH360" s="252"/>
      <c r="AI360" s="252"/>
      <c r="AJ360" s="252"/>
      <c r="AK360" s="252"/>
      <c r="AL360" s="252"/>
      <c r="AM360" s="252"/>
      <c r="AN360" s="281"/>
      <c r="AO360" s="7"/>
      <c r="AP360" s="7"/>
      <c r="AQ360" s="7"/>
      <c r="AR360" s="7"/>
      <c r="AS360" s="7"/>
      <c r="AT360" s="4"/>
      <c r="AU360" s="4"/>
      <c r="AV360" s="4"/>
      <c r="AW360" s="4"/>
      <c r="AX360" s="4"/>
      <c r="AY360" s="4"/>
    </row>
    <row r="361" spans="1:51">
      <c r="A361" t="s">
        <v>852</v>
      </c>
      <c r="X361" s="316"/>
      <c r="AA361" s="205"/>
      <c r="AB361" s="205"/>
      <c r="AC361" s="205"/>
      <c r="AD361" s="205"/>
      <c r="AE361" s="496">
        <v>13</v>
      </c>
      <c r="AF361" s="496">
        <v>19</v>
      </c>
      <c r="AG361" s="496"/>
      <c r="AH361" s="496">
        <v>19</v>
      </c>
      <c r="AI361" s="496">
        <v>19</v>
      </c>
      <c r="AJ361" s="496">
        <v>19</v>
      </c>
      <c r="AK361" s="496">
        <v>19</v>
      </c>
      <c r="AL361" s="496"/>
      <c r="AM361" s="496"/>
      <c r="AN361" s="281"/>
      <c r="AR361" s="391"/>
      <c r="AS361" s="504">
        <v>15</v>
      </c>
      <c r="AU361" s="504">
        <v>31</v>
      </c>
      <c r="AV361" s="504">
        <v>13</v>
      </c>
    </row>
    <row r="362" spans="1:51">
      <c r="AN362" s="281"/>
    </row>
    <row r="363" spans="1:51">
      <c r="AN363" s="281"/>
    </row>
    <row r="364" spans="1:51">
      <c r="A364" s="251"/>
      <c r="B364" s="252"/>
      <c r="C364" s="252"/>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c r="AA364" s="252"/>
      <c r="AB364" s="252"/>
      <c r="AC364" s="252"/>
      <c r="AD364" s="252"/>
      <c r="AE364" s="252"/>
      <c r="AF364" s="252"/>
      <c r="AG364" s="252"/>
      <c r="AH364" s="252"/>
      <c r="AI364" s="252"/>
      <c r="AJ364" s="252"/>
      <c r="AK364" s="252"/>
      <c r="AL364" s="252"/>
      <c r="AM364" s="252"/>
      <c r="AN364" s="281"/>
      <c r="AO364" s="7"/>
      <c r="AP364" s="7"/>
      <c r="AQ364" s="7"/>
      <c r="AR364" s="7"/>
      <c r="AS364" s="7"/>
      <c r="AT364" s="4"/>
      <c r="AU364" s="4"/>
      <c r="AV364" s="4"/>
      <c r="AW364" s="4"/>
      <c r="AX364" s="4"/>
      <c r="AY364" s="4"/>
    </row>
    <row r="365" spans="1:51">
      <c r="A365" t="s">
        <v>853</v>
      </c>
      <c r="AN365" s="281"/>
    </row>
    <row r="366" spans="1:51">
      <c r="AN366" s="281"/>
    </row>
    <row r="367" spans="1:51">
      <c r="A367" t="s">
        <v>854</v>
      </c>
      <c r="AN367" s="281"/>
    </row>
    <row r="368" spans="1:51">
      <c r="AN368" s="281"/>
    </row>
    <row r="369" spans="1:51">
      <c r="AN369" s="281"/>
    </row>
    <row r="370" spans="1:51">
      <c r="A370" s="251" t="s">
        <v>855</v>
      </c>
      <c r="B370" s="252"/>
      <c r="C370" s="252"/>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c r="AA370" s="252"/>
      <c r="AB370" s="252"/>
      <c r="AC370" s="252"/>
      <c r="AD370" s="252"/>
      <c r="AE370" s="252"/>
      <c r="AF370" s="252"/>
      <c r="AG370" s="252"/>
      <c r="AH370" s="252"/>
      <c r="AI370" s="252"/>
      <c r="AJ370" s="252"/>
      <c r="AK370" s="252"/>
      <c r="AL370" s="252"/>
      <c r="AM370" s="252"/>
      <c r="AN370" s="281"/>
      <c r="AO370" s="7"/>
      <c r="AP370" s="7"/>
      <c r="AQ370" s="7"/>
      <c r="AR370" s="7"/>
      <c r="AS370" s="7"/>
      <c r="AT370" s="4"/>
      <c r="AU370" s="4"/>
      <c r="AV370" s="4"/>
      <c r="AW370" s="4"/>
      <c r="AX370" s="4"/>
      <c r="AY370" s="4"/>
    </row>
    <row r="371" spans="1:51">
      <c r="A371" t="s">
        <v>856</v>
      </c>
      <c r="AD371">
        <v>-250</v>
      </c>
      <c r="AL371" t="s">
        <v>857</v>
      </c>
    </row>
    <row r="372" spans="1:51">
      <c r="A372" t="s">
        <v>858</v>
      </c>
      <c r="AD372">
        <v>-100</v>
      </c>
    </row>
    <row r="373" spans="1:51">
      <c r="A373" t="s">
        <v>859</v>
      </c>
    </row>
    <row r="375" spans="1:51">
      <c r="A375" s="251" t="s">
        <v>860</v>
      </c>
      <c r="B375" s="252"/>
      <c r="C375" s="252"/>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c r="AA375" s="252"/>
      <c r="AB375" s="252"/>
      <c r="AC375" s="252"/>
      <c r="AD375" s="252"/>
      <c r="AE375" s="252"/>
      <c r="AF375" s="252"/>
      <c r="AG375" s="252"/>
      <c r="AH375" s="252"/>
      <c r="AI375" s="252"/>
      <c r="AJ375" s="252"/>
      <c r="AK375" s="252"/>
      <c r="AL375" s="252"/>
      <c r="AM375" s="252"/>
      <c r="AN375" s="281"/>
      <c r="AO375" s="7"/>
      <c r="AP375" s="7"/>
      <c r="AQ375" s="252"/>
      <c r="AR375" s="252"/>
      <c r="AS375" s="252"/>
      <c r="AT375" s="252"/>
      <c r="AU375" s="252"/>
      <c r="AV375" s="252"/>
      <c r="AW375" s="252"/>
      <c r="AX375" s="252"/>
      <c r="AY375" s="252"/>
    </row>
    <row r="376" spans="1:51">
      <c r="A376" s="4" t="s">
        <v>860</v>
      </c>
      <c r="Z376" s="391">
        <v>11</v>
      </c>
      <c r="AA376" s="391">
        <v>11</v>
      </c>
      <c r="AB376" s="391">
        <v>11</v>
      </c>
      <c r="AC376" s="391">
        <v>11</v>
      </c>
      <c r="AD376" s="391">
        <v>13</v>
      </c>
      <c r="AE376" s="391">
        <v>12</v>
      </c>
      <c r="AF376" s="391">
        <v>11</v>
      </c>
      <c r="AG376" s="391">
        <v>10</v>
      </c>
      <c r="AH376" s="391"/>
      <c r="AI376" s="391"/>
      <c r="AJ376" s="391"/>
      <c r="AK376" s="391">
        <v>8</v>
      </c>
      <c r="AL376" s="391"/>
      <c r="AM376" s="391"/>
      <c r="AQ376" s="229"/>
      <c r="AR376" s="229"/>
      <c r="AS376" s="229">
        <v>31</v>
      </c>
      <c r="AT376" s="229">
        <v>40</v>
      </c>
      <c r="AU376" s="229">
        <v>41</v>
      </c>
      <c r="AV376" s="229">
        <v>47</v>
      </c>
      <c r="AW376" s="229">
        <v>47</v>
      </c>
      <c r="AX376" s="229"/>
      <c r="AY376" s="229"/>
    </row>
    <row r="377" spans="1:51">
      <c r="A377" s="499" t="s">
        <v>616</v>
      </c>
      <c r="Z377" s="391">
        <v>6</v>
      </c>
      <c r="AA377" s="391">
        <v>6</v>
      </c>
      <c r="AB377" s="391">
        <v>6</v>
      </c>
      <c r="AC377" s="391">
        <v>4</v>
      </c>
      <c r="AD377" s="391">
        <v>8</v>
      </c>
      <c r="AE377" s="555">
        <v>10</v>
      </c>
      <c r="AF377" s="391"/>
      <c r="AG377" s="391"/>
      <c r="AH377" s="391"/>
      <c r="AI377" s="391"/>
      <c r="AJ377" s="391"/>
      <c r="AK377" s="391"/>
      <c r="AL377" s="391"/>
      <c r="AM377" s="391"/>
      <c r="AQ377" s="21"/>
      <c r="AR377" s="21"/>
    </row>
    <row r="378" spans="1:51">
      <c r="A378" s="499" t="s">
        <v>617</v>
      </c>
      <c r="Z378" s="391">
        <v>4</v>
      </c>
      <c r="AA378" s="391">
        <v>5</v>
      </c>
      <c r="AB378" s="391">
        <v>4</v>
      </c>
      <c r="AC378" s="391">
        <v>5</v>
      </c>
      <c r="AD378" s="391">
        <v>3</v>
      </c>
      <c r="AE378" s="391">
        <v>2</v>
      </c>
      <c r="AF378" s="391"/>
      <c r="AG378" s="391"/>
      <c r="AH378" s="391"/>
      <c r="AI378" s="391"/>
      <c r="AJ378" s="391"/>
      <c r="AK378" s="391"/>
      <c r="AL378" s="391"/>
      <c r="AM378" s="391"/>
      <c r="AQ378" s="21"/>
      <c r="AR378" s="21"/>
    </row>
    <row r="379" spans="1:51">
      <c r="A379" s="499" t="s">
        <v>861</v>
      </c>
      <c r="Z379" s="391">
        <v>1</v>
      </c>
      <c r="AA379" s="391"/>
      <c r="AB379" s="391">
        <v>1</v>
      </c>
      <c r="AC379" s="391">
        <v>2</v>
      </c>
      <c r="AD379" s="391">
        <v>2</v>
      </c>
      <c r="AE379" s="391"/>
      <c r="AF379" s="391"/>
      <c r="AG379" s="391"/>
      <c r="AH379" s="391"/>
      <c r="AI379" s="391"/>
      <c r="AJ379" s="391"/>
      <c r="AK379" s="391"/>
      <c r="AL379" s="391"/>
      <c r="AM379" s="391"/>
      <c r="AQ379" s="21"/>
      <c r="AR379" s="21"/>
    </row>
    <row r="380" spans="1:51">
      <c r="A380" s="499" t="s">
        <v>619</v>
      </c>
      <c r="AQ380" s="21"/>
      <c r="AR380" s="21"/>
    </row>
    <row r="382" spans="1:51">
      <c r="A382" s="499" t="s">
        <v>706</v>
      </c>
      <c r="R382">
        <v>0</v>
      </c>
      <c r="S382">
        <v>0</v>
      </c>
      <c r="T382">
        <v>4</v>
      </c>
      <c r="U382">
        <v>3</v>
      </c>
      <c r="V382">
        <v>3</v>
      </c>
      <c r="W382">
        <v>2</v>
      </c>
      <c r="X382">
        <v>2</v>
      </c>
      <c r="Y382">
        <v>2</v>
      </c>
      <c r="AF382">
        <v>5</v>
      </c>
      <c r="AS382" s="391">
        <v>7</v>
      </c>
      <c r="AT382" s="391">
        <v>6</v>
      </c>
      <c r="AU382" s="391">
        <v>7</v>
      </c>
      <c r="AV382" s="391">
        <v>9</v>
      </c>
      <c r="AW382" s="391">
        <v>11</v>
      </c>
      <c r="AX382" s="391"/>
      <c r="AY382" s="391"/>
    </row>
    <row r="383" spans="1:51">
      <c r="A383" s="499" t="s">
        <v>862</v>
      </c>
    </row>
    <row r="385" spans="1:51">
      <c r="A385" s="251"/>
      <c r="B385" s="252"/>
      <c r="C385" s="252"/>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c r="AA385" s="252"/>
      <c r="AB385" s="252"/>
      <c r="AC385" s="252"/>
      <c r="AD385" s="252"/>
      <c r="AE385" s="252"/>
      <c r="AF385" s="252"/>
      <c r="AG385" s="252"/>
      <c r="AH385" s="252"/>
      <c r="AI385" s="252"/>
      <c r="AJ385" s="252"/>
      <c r="AK385" s="252"/>
      <c r="AL385" s="252"/>
      <c r="AM385" s="252"/>
      <c r="AN385" s="281"/>
      <c r="AO385" s="7"/>
      <c r="AP385" s="7"/>
      <c r="AQ385" s="252"/>
      <c r="AR385" s="252"/>
      <c r="AS385" s="252"/>
      <c r="AT385" s="252"/>
      <c r="AU385" s="252"/>
      <c r="AV385" s="252"/>
      <c r="AW385" s="252"/>
      <c r="AX385" s="252"/>
      <c r="AY385" s="252"/>
    </row>
    <row r="386" spans="1:51">
      <c r="A386" s="264" t="s">
        <v>863</v>
      </c>
      <c r="AB386" s="504"/>
      <c r="AC386" s="504"/>
      <c r="AD386" s="504"/>
      <c r="AE386" s="504"/>
      <c r="AF386" s="504"/>
      <c r="AG386" s="504"/>
      <c r="AH386" s="504"/>
      <c r="AI386" s="504"/>
      <c r="AJ386" s="504"/>
      <c r="AK386" s="504"/>
      <c r="AL386" s="504"/>
      <c r="AM386" s="504"/>
    </row>
    <row r="387" spans="1:51">
      <c r="A387" t="s">
        <v>864</v>
      </c>
      <c r="AB387" s="504">
        <v>129.47999999999999</v>
      </c>
      <c r="AC387" s="504"/>
      <c r="AD387" s="504"/>
      <c r="AE387" s="504">
        <v>155.01</v>
      </c>
      <c r="AF387" s="504">
        <v>159.30000000000001</v>
      </c>
      <c r="AG387" s="504">
        <v>214.94</v>
      </c>
      <c r="AH387" s="504">
        <v>218.34</v>
      </c>
      <c r="AI387" s="504">
        <v>218.89</v>
      </c>
      <c r="AJ387" s="504">
        <v>217.68</v>
      </c>
      <c r="AK387" s="504">
        <v>203.41</v>
      </c>
      <c r="AL387" s="504">
        <v>212.18</v>
      </c>
      <c r="AM387" s="504">
        <v>213.77</v>
      </c>
    </row>
    <row r="388" spans="1:51">
      <c r="A388" t="s">
        <v>865</v>
      </c>
      <c r="AB388" s="504">
        <v>21.18</v>
      </c>
      <c r="AC388" s="504"/>
      <c r="AD388" s="504"/>
      <c r="AE388" s="504">
        <v>40.19</v>
      </c>
      <c r="AF388" s="504">
        <v>44.23</v>
      </c>
      <c r="AG388" s="504">
        <v>83.8</v>
      </c>
      <c r="AH388" s="504">
        <v>89.03</v>
      </c>
      <c r="AI388" s="504">
        <v>94.65</v>
      </c>
      <c r="AJ388" s="504">
        <v>96.12</v>
      </c>
      <c r="AK388" s="504">
        <v>98.42</v>
      </c>
      <c r="AL388" s="504">
        <v>102.41</v>
      </c>
      <c r="AM388" s="504">
        <v>107.5</v>
      </c>
    </row>
    <row r="389" spans="1:51">
      <c r="A389" t="s">
        <v>866</v>
      </c>
      <c r="AB389" s="504">
        <v>4.3899999999999997</v>
      </c>
      <c r="AC389" s="504"/>
      <c r="AD389" s="504"/>
      <c r="AE389" s="504">
        <v>4.18</v>
      </c>
      <c r="AF389" s="504">
        <v>4.4000000000000004</v>
      </c>
      <c r="AG389" s="504">
        <v>7.56</v>
      </c>
      <c r="AH389" s="504">
        <v>8.5</v>
      </c>
      <c r="AI389" s="504">
        <v>8.75</v>
      </c>
      <c r="AJ389" s="504">
        <v>8.5299999999999994</v>
      </c>
      <c r="AK389" s="504">
        <v>8.6199999999999992</v>
      </c>
      <c r="AL389" s="504">
        <v>8.9</v>
      </c>
      <c r="AM389" s="504">
        <v>8.75</v>
      </c>
    </row>
    <row r="390" spans="1:51">
      <c r="AB390" s="504"/>
      <c r="AC390" s="504"/>
      <c r="AD390" s="504"/>
      <c r="AE390" s="504"/>
      <c r="AF390" s="504"/>
      <c r="AG390" s="504"/>
      <c r="AH390" s="504"/>
      <c r="AI390" s="504"/>
      <c r="AJ390" s="504"/>
      <c r="AK390" s="504"/>
      <c r="AL390" s="504"/>
      <c r="AM390" s="504"/>
    </row>
    <row r="391" spans="1:51">
      <c r="A391" s="264" t="s">
        <v>867</v>
      </c>
      <c r="AB391" s="504"/>
      <c r="AC391" s="504"/>
      <c r="AD391" s="504"/>
      <c r="AE391" s="504"/>
      <c r="AF391" s="504"/>
      <c r="AG391" s="504"/>
      <c r="AH391" s="504"/>
      <c r="AI391" s="504"/>
      <c r="AJ391" s="504"/>
      <c r="AK391" s="504"/>
      <c r="AL391" s="504"/>
      <c r="AM391" s="504"/>
    </row>
    <row r="392" spans="1:51">
      <c r="A392" t="s">
        <v>864</v>
      </c>
      <c r="AB392" s="504">
        <v>77.319999999999993</v>
      </c>
      <c r="AC392" s="504"/>
      <c r="AD392" s="504"/>
      <c r="AE392" s="504">
        <v>79.78</v>
      </c>
      <c r="AF392" s="504">
        <v>81.41</v>
      </c>
      <c r="AG392" s="504">
        <v>82.76</v>
      </c>
      <c r="AH392" s="504">
        <v>83.31</v>
      </c>
      <c r="AI392" s="504">
        <v>83.73</v>
      </c>
      <c r="AJ392" s="504">
        <v>83.91</v>
      </c>
      <c r="AK392" s="504">
        <v>84.06</v>
      </c>
      <c r="AL392" s="504">
        <v>84.31</v>
      </c>
      <c r="AM392" s="504">
        <v>84.67</v>
      </c>
    </row>
    <row r="393" spans="1:51">
      <c r="A393" t="s">
        <v>865</v>
      </c>
      <c r="AB393" s="504">
        <v>106.04</v>
      </c>
      <c r="AC393" s="504"/>
      <c r="AD393" s="504"/>
      <c r="AE393" s="504">
        <v>99.9</v>
      </c>
      <c r="AF393" s="504">
        <v>98.56</v>
      </c>
      <c r="AG393" s="504">
        <v>100.47</v>
      </c>
      <c r="AH393" s="504">
        <v>101.8</v>
      </c>
      <c r="AI393" s="504">
        <v>103.66</v>
      </c>
      <c r="AJ393" s="504">
        <v>104.75</v>
      </c>
      <c r="AK393" s="504">
        <v>105.78</v>
      </c>
      <c r="AL393" s="504">
        <v>106.23</v>
      </c>
      <c r="AM393" s="504">
        <v>108.19</v>
      </c>
    </row>
    <row r="394" spans="1:51">
      <c r="A394" t="s">
        <v>866</v>
      </c>
      <c r="AB394" s="504">
        <v>91.59</v>
      </c>
      <c r="AC394" s="504"/>
      <c r="AD394" s="504"/>
      <c r="AE394" s="504">
        <v>87.06</v>
      </c>
      <c r="AF394" s="504">
        <v>85.74</v>
      </c>
      <c r="AG394" s="504">
        <v>88.42</v>
      </c>
      <c r="AH394" s="504">
        <v>89.79</v>
      </c>
      <c r="AI394" s="504">
        <v>91.57</v>
      </c>
      <c r="AJ394" s="504">
        <v>92.38</v>
      </c>
      <c r="AK394" s="504">
        <v>92.57</v>
      </c>
      <c r="AL394" s="504">
        <v>92.47</v>
      </c>
      <c r="AM394" s="504">
        <v>93.13</v>
      </c>
    </row>
    <row r="395" spans="1:51">
      <c r="AB395" s="504"/>
      <c r="AC395" s="504"/>
      <c r="AD395" s="504"/>
      <c r="AE395" s="504"/>
      <c r="AF395" s="504"/>
      <c r="AG395" s="504"/>
      <c r="AH395" s="504"/>
      <c r="AI395" s="504"/>
      <c r="AJ395" s="504"/>
      <c r="AK395" s="504"/>
      <c r="AL395" s="504"/>
      <c r="AM395" s="504"/>
    </row>
    <row r="396" spans="1:51">
      <c r="AB396" s="504"/>
      <c r="AC396" s="504"/>
      <c r="AD396" s="504"/>
      <c r="AE396" s="504"/>
      <c r="AF396" s="504"/>
      <c r="AG396" s="504"/>
      <c r="AH396" s="504"/>
      <c r="AI396" s="504"/>
      <c r="AJ396" s="504"/>
      <c r="AK396" s="504"/>
      <c r="AL396" s="504"/>
      <c r="AM396" s="504"/>
    </row>
    <row r="397" spans="1:51">
      <c r="A397" s="251" t="s">
        <v>868</v>
      </c>
      <c r="B397" s="252"/>
      <c r="C397" s="252"/>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c r="AA397" s="252"/>
      <c r="AB397" s="252"/>
      <c r="AC397" s="252"/>
      <c r="AD397" s="252"/>
      <c r="AE397" s="252"/>
      <c r="AF397" s="252"/>
      <c r="AG397" s="252"/>
      <c r="AH397" s="252"/>
      <c r="AI397" s="252"/>
      <c r="AJ397" s="252"/>
      <c r="AK397" s="252"/>
      <c r="AL397" s="252"/>
      <c r="AM397" s="252"/>
      <c r="AN397" s="281"/>
      <c r="AO397" s="7"/>
      <c r="AP397" s="7"/>
      <c r="AQ397" s="252"/>
      <c r="AR397" s="252"/>
      <c r="AS397" s="252"/>
      <c r="AT397" s="252"/>
      <c r="AU397" s="252"/>
      <c r="AV397" s="252"/>
      <c r="AW397" s="252"/>
      <c r="AX397" s="252"/>
      <c r="AY397" s="252"/>
    </row>
    <row r="398" spans="1:51">
      <c r="A398" t="s">
        <v>869</v>
      </c>
    </row>
    <row r="399" spans="1:51">
      <c r="A399" s="532" t="s">
        <v>870</v>
      </c>
      <c r="AF399" s="354">
        <v>0.6</v>
      </c>
      <c r="AG399" s="354"/>
      <c r="AH399" s="354"/>
      <c r="AI399" s="354"/>
      <c r="AJ399" s="354"/>
      <c r="AK399" s="354"/>
      <c r="AL399" s="354"/>
      <c r="AM399" s="354"/>
    </row>
    <row r="400" spans="1:51">
      <c r="A400" s="532" t="s">
        <v>871</v>
      </c>
      <c r="AF400" s="354">
        <v>0.4</v>
      </c>
      <c r="AG400" s="354"/>
      <c r="AH400" s="354"/>
      <c r="AI400" s="354"/>
      <c r="AJ400" s="354"/>
      <c r="AK400" s="354"/>
      <c r="AL400" s="354"/>
      <c r="AM400" s="354"/>
    </row>
    <row r="402" spans="1:51">
      <c r="A402" t="s">
        <v>872</v>
      </c>
      <c r="AF402" s="304" t="s">
        <v>873</v>
      </c>
      <c r="AG402" s="304"/>
      <c r="AH402" s="304"/>
      <c r="AI402" s="304"/>
      <c r="AJ402" s="304"/>
      <c r="AK402" s="304"/>
      <c r="AL402" s="304"/>
      <c r="AM402" s="304"/>
    </row>
    <row r="404" spans="1:51">
      <c r="A404" t="s">
        <v>874</v>
      </c>
      <c r="AF404" t="s">
        <v>875</v>
      </c>
    </row>
    <row r="406" spans="1:51">
      <c r="A406" t="s">
        <v>876</v>
      </c>
    </row>
    <row r="407" spans="1:51">
      <c r="A407" t="s">
        <v>19</v>
      </c>
      <c r="AF407" t="s">
        <v>877</v>
      </c>
    </row>
    <row r="408" spans="1:51">
      <c r="A408" t="s">
        <v>20</v>
      </c>
      <c r="AF408">
        <v>2000</v>
      </c>
    </row>
    <row r="409" spans="1:51">
      <c r="A409" t="s">
        <v>878</v>
      </c>
      <c r="AF409" t="s">
        <v>879</v>
      </c>
    </row>
    <row r="411" spans="1:51">
      <c r="A411" t="s">
        <v>880</v>
      </c>
      <c r="AF411" t="s">
        <v>881</v>
      </c>
    </row>
    <row r="413" spans="1:51">
      <c r="A413" t="s">
        <v>882</v>
      </c>
      <c r="AF413" t="s">
        <v>883</v>
      </c>
    </row>
    <row r="415" spans="1:51">
      <c r="A415" s="251" t="s">
        <v>884</v>
      </c>
      <c r="B415" s="252"/>
      <c r="C415" s="252"/>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c r="AA415" s="252"/>
      <c r="AB415" s="252"/>
      <c r="AC415" s="252"/>
      <c r="AD415" s="252"/>
      <c r="AE415" s="252"/>
      <c r="AF415" s="252"/>
      <c r="AG415" s="252"/>
      <c r="AH415" s="252"/>
      <c r="AI415" s="252"/>
      <c r="AJ415" s="252"/>
      <c r="AK415" s="252"/>
      <c r="AL415" s="252"/>
      <c r="AM415" s="252"/>
      <c r="AN415" s="281"/>
      <c r="AO415" s="7"/>
      <c r="AP415" s="7"/>
      <c r="AQ415" s="252"/>
      <c r="AR415" s="252"/>
      <c r="AS415" s="252"/>
      <c r="AT415" s="252"/>
      <c r="AU415" s="252"/>
      <c r="AV415" s="252"/>
      <c r="AW415" s="252"/>
      <c r="AX415" s="252"/>
      <c r="AY415" s="252"/>
    </row>
    <row r="417" spans="1:51">
      <c r="A417" t="s">
        <v>884</v>
      </c>
      <c r="AR417" s="516"/>
      <c r="AS417" s="516"/>
      <c r="AT417" s="516"/>
      <c r="AU417" s="516"/>
      <c r="AV417" s="516"/>
      <c r="AW417" s="516"/>
      <c r="AX417" s="516"/>
      <c r="AY417" s="516"/>
    </row>
    <row r="418" spans="1:51">
      <c r="AR418" s="516"/>
      <c r="AS418" s="516"/>
      <c r="AT418" s="516"/>
      <c r="AU418" s="516"/>
      <c r="AV418" s="516"/>
      <c r="AW418" s="516"/>
      <c r="AX418" s="516"/>
      <c r="AY418" s="516"/>
    </row>
    <row r="419" spans="1:51">
      <c r="A419" s="251" t="s">
        <v>885</v>
      </c>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c r="AA419" s="252"/>
      <c r="AB419" s="252"/>
      <c r="AC419" s="252"/>
      <c r="AD419" s="252"/>
      <c r="AE419" s="252"/>
      <c r="AF419" s="252"/>
      <c r="AG419" s="252"/>
      <c r="AH419" s="252"/>
      <c r="AI419" s="252"/>
      <c r="AJ419" s="252"/>
      <c r="AK419" s="252"/>
      <c r="AL419" s="252"/>
      <c r="AM419" s="252"/>
      <c r="AN419" s="281"/>
      <c r="AO419" s="7"/>
      <c r="AP419" s="7"/>
      <c r="AQ419" s="252"/>
      <c r="AR419" s="252"/>
      <c r="AS419" s="252"/>
      <c r="AT419" s="252"/>
      <c r="AU419" s="252"/>
      <c r="AV419" s="252"/>
      <c r="AW419" s="252"/>
      <c r="AX419" s="252"/>
      <c r="AY419" s="252"/>
    </row>
    <row r="420" spans="1:51">
      <c r="A420" s="4" t="s">
        <v>360</v>
      </c>
      <c r="AJ420" s="577">
        <v>0</v>
      </c>
      <c r="AK420" s="577"/>
    </row>
    <row r="421" spans="1:51">
      <c r="A421" s="4" t="s">
        <v>611</v>
      </c>
      <c r="AJ421" s="577">
        <v>3.1</v>
      </c>
      <c r="AK421" s="577"/>
    </row>
    <row r="422" spans="1:51">
      <c r="A422" s="4" t="s">
        <v>612</v>
      </c>
      <c r="AJ422" s="577">
        <v>1</v>
      </c>
      <c r="AK422" s="577"/>
    </row>
    <row r="423" spans="1:51">
      <c r="A423" s="4" t="s">
        <v>85</v>
      </c>
      <c r="AJ423" s="577">
        <v>2.5</v>
      </c>
      <c r="AK423" s="577"/>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5A616-1D37-4950-AF5E-76B66A3D096F}">
  <dimension ref="A1:F97"/>
  <sheetViews>
    <sheetView showGridLines="0" topLeftCell="A19" zoomScale="70" workbookViewId="0">
      <selection activeCell="F14" sqref="F14"/>
    </sheetView>
  </sheetViews>
  <sheetFormatPr defaultRowHeight="14.45"/>
  <cols>
    <col min="1" max="1" width="78.140625" customWidth="1"/>
    <col min="2" max="2" width="10.7109375" bestFit="1" customWidth="1"/>
    <col min="3" max="3" width="17" bestFit="1" customWidth="1"/>
    <col min="4" max="4" width="12" bestFit="1" customWidth="1"/>
    <col min="6" max="6" width="229.42578125" bestFit="1" customWidth="1"/>
  </cols>
  <sheetData>
    <row r="1" spans="1:6">
      <c r="A1" s="870"/>
      <c r="B1" s="1106" t="s">
        <v>886</v>
      </c>
      <c r="C1" s="1106"/>
      <c r="D1" s="1107"/>
      <c r="F1" t="s">
        <v>887</v>
      </c>
    </row>
    <row r="2" spans="1:6">
      <c r="A2" s="270" t="s">
        <v>888</v>
      </c>
      <c r="B2" s="270" t="s">
        <v>1</v>
      </c>
      <c r="C2" s="661" t="s">
        <v>370</v>
      </c>
      <c r="D2" s="270" t="s">
        <v>889</v>
      </c>
      <c r="F2" t="s">
        <v>890</v>
      </c>
    </row>
    <row r="3" spans="1:6">
      <c r="A3" s="270" t="s">
        <v>69</v>
      </c>
      <c r="B3" s="977">
        <v>2136</v>
      </c>
      <c r="C3" s="978">
        <v>690</v>
      </c>
      <c r="D3" s="454">
        <f>SUM(B3:C3)</f>
        <v>2826</v>
      </c>
      <c r="F3" t="s">
        <v>891</v>
      </c>
    </row>
    <row r="4" spans="1:6">
      <c r="A4" s="870" t="s">
        <v>72</v>
      </c>
      <c r="B4" s="979">
        <v>384</v>
      </c>
      <c r="C4" s="764">
        <v>148</v>
      </c>
      <c r="D4" s="975">
        <f>SUM(B4:C4)</f>
        <v>532</v>
      </c>
      <c r="F4" t="s">
        <v>892</v>
      </c>
    </row>
    <row r="5" spans="1:6">
      <c r="A5" s="883" t="s">
        <v>893</v>
      </c>
      <c r="B5" s="980">
        <f>B4/B3</f>
        <v>0.1797752808988764</v>
      </c>
      <c r="C5" s="981">
        <f t="shared" ref="C5:D5" si="0">C4/C3</f>
        <v>0.2144927536231884</v>
      </c>
      <c r="D5" s="980">
        <f t="shared" si="0"/>
        <v>0.18825194621372965</v>
      </c>
    </row>
    <row r="6" spans="1:6">
      <c r="A6" s="871" t="s">
        <v>180</v>
      </c>
      <c r="B6" s="963">
        <v>86</v>
      </c>
      <c r="C6" s="663">
        <v>9</v>
      </c>
      <c r="D6" s="965">
        <f>SUM(B6:C6)</f>
        <v>95</v>
      </c>
    </row>
    <row r="7" spans="1:6" ht="15.95">
      <c r="A7" s="871" t="s">
        <v>894</v>
      </c>
      <c r="B7" s="964"/>
      <c r="C7" s="663">
        <v>39</v>
      </c>
      <c r="D7" s="965">
        <f>SUM(B7:C7)</f>
        <v>39</v>
      </c>
    </row>
    <row r="8" spans="1:6">
      <c r="A8" s="870" t="s">
        <v>73</v>
      </c>
      <c r="B8" s="975">
        <f>B4-B6</f>
        <v>298</v>
      </c>
      <c r="C8" s="976">
        <f>C4-C6-C7</f>
        <v>100</v>
      </c>
      <c r="D8" s="975">
        <f>SUM(B8:C8)</f>
        <v>398</v>
      </c>
    </row>
    <row r="9" spans="1:6">
      <c r="A9" s="883" t="s">
        <v>895</v>
      </c>
      <c r="B9" s="969">
        <f>B8/B3</f>
        <v>0.13951310861423222</v>
      </c>
      <c r="C9" s="869">
        <f t="shared" ref="C9:D9" si="1">C8/C3</f>
        <v>0.14492753623188406</v>
      </c>
      <c r="D9" s="969">
        <f t="shared" si="1"/>
        <v>0.1408351026185421</v>
      </c>
    </row>
    <row r="10" spans="1:6">
      <c r="A10" s="871" t="s">
        <v>896</v>
      </c>
      <c r="B10" s="871">
        <v>20</v>
      </c>
      <c r="C10">
        <v>0</v>
      </c>
      <c r="D10" s="965">
        <f>SUM(B10:C10)</f>
        <v>20</v>
      </c>
    </row>
    <row r="11" spans="1:6">
      <c r="A11" s="870" t="s">
        <v>74</v>
      </c>
      <c r="B11" s="975">
        <f>B8-B10</f>
        <v>278</v>
      </c>
      <c r="C11" s="976">
        <f t="shared" ref="C11" si="2">C8-C10</f>
        <v>100</v>
      </c>
      <c r="D11" s="975">
        <f>SUM(B11:C11)</f>
        <v>378</v>
      </c>
    </row>
    <row r="12" spans="1:6">
      <c r="A12" s="883" t="s">
        <v>897</v>
      </c>
      <c r="B12" s="969">
        <f>B11/B3</f>
        <v>0.13014981273408241</v>
      </c>
      <c r="C12" s="869">
        <f t="shared" ref="C12:D12" si="3">C11/C3</f>
        <v>0.14492753623188406</v>
      </c>
      <c r="D12" s="969">
        <f t="shared" si="3"/>
        <v>0.13375796178343949</v>
      </c>
    </row>
    <row r="13" spans="1:6">
      <c r="A13" s="871" t="s">
        <v>168</v>
      </c>
      <c r="B13" s="871">
        <v>70</v>
      </c>
      <c r="C13">
        <v>21</v>
      </c>
      <c r="D13" s="965">
        <f>SUM(B13:C13)</f>
        <v>91</v>
      </c>
    </row>
    <row r="14" spans="1:6">
      <c r="A14" s="871" t="s">
        <v>169</v>
      </c>
      <c r="B14" s="871">
        <v>5</v>
      </c>
      <c r="D14" s="965">
        <f>SUM(B14:C14)</f>
        <v>5</v>
      </c>
    </row>
    <row r="15" spans="1:6">
      <c r="A15" s="870" t="s">
        <v>79</v>
      </c>
      <c r="B15" s="975">
        <f>B11-B13-B14</f>
        <v>203</v>
      </c>
      <c r="C15" s="976">
        <f t="shared" ref="C15" si="4">C11-C13-C14</f>
        <v>79</v>
      </c>
      <c r="D15" s="975">
        <f>SUM(B15:C15)</f>
        <v>282</v>
      </c>
      <c r="E15" s="321">
        <f>D15*93</f>
        <v>26226</v>
      </c>
    </row>
    <row r="16" spans="1:6">
      <c r="A16" s="883" t="s">
        <v>898</v>
      </c>
      <c r="B16" s="969">
        <f>B15/B3</f>
        <v>9.5037453183520595E-2</v>
      </c>
      <c r="C16" s="869">
        <f t="shared" ref="C16:D16" si="5">C15/C3</f>
        <v>0.11449275362318841</v>
      </c>
      <c r="D16" s="969">
        <f t="shared" si="5"/>
        <v>9.9787685774946927E-2</v>
      </c>
    </row>
    <row r="17" spans="1:6">
      <c r="A17" s="871" t="s">
        <v>899</v>
      </c>
      <c r="B17" s="872">
        <v>347.7</v>
      </c>
      <c r="C17" s="663"/>
      <c r="D17" s="872">
        <v>468.7</v>
      </c>
    </row>
    <row r="18" spans="1:6">
      <c r="A18" s="270" t="s">
        <v>900</v>
      </c>
      <c r="B18" s="967">
        <v>52.1</v>
      </c>
      <c r="C18" s="661">
        <v>58.2</v>
      </c>
      <c r="D18" s="270">
        <v>53.7</v>
      </c>
    </row>
    <row r="21" spans="1:6">
      <c r="A21" t="s">
        <v>901</v>
      </c>
    </row>
    <row r="23" spans="1:6">
      <c r="A23" s="763" t="s">
        <v>902</v>
      </c>
      <c r="B23" s="873">
        <v>2350</v>
      </c>
      <c r="C23" s="266">
        <v>221935</v>
      </c>
      <c r="F23" t="s">
        <v>903</v>
      </c>
    </row>
    <row r="24" spans="1:6">
      <c r="A24" s="1256" t="s">
        <v>904</v>
      </c>
      <c r="B24" s="872">
        <v>1897</v>
      </c>
      <c r="C24" s="266">
        <v>170326</v>
      </c>
      <c r="D24" s="266">
        <v>1890</v>
      </c>
      <c r="F24" t="s">
        <v>905</v>
      </c>
    </row>
    <row r="25" spans="1:6">
      <c r="A25" s="1256" t="s">
        <v>906</v>
      </c>
      <c r="B25" s="872">
        <v>93.8</v>
      </c>
      <c r="C25" s="353">
        <f>93.796508</f>
        <v>93.796508000000003</v>
      </c>
      <c r="D25" s="353">
        <f>93.796508</f>
        <v>93.796508000000003</v>
      </c>
      <c r="E25">
        <v>1815.9</v>
      </c>
    </row>
    <row r="26" spans="1:6">
      <c r="A26" s="1256" t="s">
        <v>907</v>
      </c>
      <c r="B26" s="872">
        <v>550</v>
      </c>
    </row>
    <row r="27" spans="1:6">
      <c r="A27" s="1256" t="s">
        <v>908</v>
      </c>
      <c r="B27" s="872">
        <v>27.2</v>
      </c>
    </row>
    <row r="28" spans="1:6">
      <c r="A28" s="1256" t="s">
        <v>909</v>
      </c>
      <c r="B28" s="872">
        <v>335</v>
      </c>
    </row>
    <row r="29" spans="1:6">
      <c r="A29" s="1256" t="s">
        <v>910</v>
      </c>
      <c r="B29" s="872">
        <v>12.7</v>
      </c>
    </row>
    <row r="30" spans="1:6">
      <c r="A30" s="660" t="s">
        <v>911</v>
      </c>
      <c r="B30" s="358">
        <v>468.7</v>
      </c>
    </row>
    <row r="31" spans="1:6">
      <c r="C31" s="351" t="s">
        <v>912</v>
      </c>
    </row>
    <row r="33" spans="1:5">
      <c r="A33" s="660" t="s">
        <v>913</v>
      </c>
      <c r="B33" s="352"/>
      <c r="E33" t="s">
        <v>914</v>
      </c>
    </row>
    <row r="34" spans="1:5">
      <c r="A34" s="1256" t="s">
        <v>65</v>
      </c>
      <c r="B34" s="872">
        <v>600</v>
      </c>
      <c r="C34" s="270" t="s">
        <v>370</v>
      </c>
      <c r="D34" s="362">
        <f>C25</f>
        <v>93.796508000000003</v>
      </c>
    </row>
    <row r="35" spans="1:5">
      <c r="A35" s="1256" t="s">
        <v>72</v>
      </c>
      <c r="B35" s="966">
        <v>0.19</v>
      </c>
      <c r="C35" s="270" t="s">
        <v>369</v>
      </c>
      <c r="D35" s="1009">
        <v>13</v>
      </c>
      <c r="E35">
        <v>2</v>
      </c>
    </row>
    <row r="36" spans="1:5">
      <c r="A36" s="1256" t="s">
        <v>915</v>
      </c>
      <c r="B36" s="968">
        <v>74000</v>
      </c>
      <c r="E36">
        <f>D35*E35</f>
        <v>26</v>
      </c>
    </row>
    <row r="37" spans="1:5">
      <c r="A37" s="767" t="s">
        <v>916</v>
      </c>
      <c r="B37" s="969">
        <v>0.9</v>
      </c>
      <c r="C37" t="s">
        <v>809</v>
      </c>
      <c r="D37">
        <v>1815.9</v>
      </c>
    </row>
    <row r="38" spans="1:5">
      <c r="B38" s="354"/>
      <c r="C38" t="s">
        <v>914</v>
      </c>
      <c r="D38">
        <v>2</v>
      </c>
    </row>
    <row r="39" spans="1:5">
      <c r="B39" s="354"/>
      <c r="C39" t="s">
        <v>917</v>
      </c>
      <c r="D39" s="266">
        <f>D34*D37</f>
        <v>170325.07887720002</v>
      </c>
    </row>
    <row r="40" spans="1:5">
      <c r="B40" s="354"/>
    </row>
    <row r="41" spans="1:5">
      <c r="A41" t="s">
        <v>308</v>
      </c>
      <c r="B41" s="354"/>
    </row>
    <row r="42" spans="1:5">
      <c r="A42" s="660" t="s">
        <v>918</v>
      </c>
      <c r="B42" s="270"/>
      <c r="C42" s="782">
        <f>SUM(C43:C47)</f>
        <v>9127</v>
      </c>
    </row>
    <row r="43" spans="1:5">
      <c r="A43" s="1256" t="s">
        <v>919</v>
      </c>
      <c r="B43" s="966">
        <f>C43/$C$42</f>
        <v>0.48866001972170481</v>
      </c>
      <c r="C43" s="880">
        <v>4460</v>
      </c>
    </row>
    <row r="44" spans="1:5">
      <c r="A44" s="1256" t="s">
        <v>920</v>
      </c>
      <c r="B44" s="966">
        <f t="shared" ref="B44:B47" si="6">C44/$C$42</f>
        <v>0.3396515832146379</v>
      </c>
      <c r="C44" s="880">
        <v>3100</v>
      </c>
    </row>
    <row r="45" spans="1:5">
      <c r="A45" s="1256" t="s">
        <v>861</v>
      </c>
      <c r="B45" s="966">
        <f t="shared" si="6"/>
        <v>6.7820751616084141E-2</v>
      </c>
      <c r="C45" s="880">
        <v>619</v>
      </c>
    </row>
    <row r="46" spans="1:5">
      <c r="A46" s="1256" t="s">
        <v>352</v>
      </c>
      <c r="B46" s="966">
        <f t="shared" si="6"/>
        <v>6.1575545086008543E-2</v>
      </c>
      <c r="C46" s="880">
        <v>562</v>
      </c>
    </row>
    <row r="47" spans="1:5">
      <c r="A47" s="767" t="s">
        <v>85</v>
      </c>
      <c r="B47" s="969">
        <f t="shared" si="6"/>
        <v>4.229210036156459E-2</v>
      </c>
      <c r="C47" s="769">
        <v>386</v>
      </c>
    </row>
    <row r="51" spans="1:3">
      <c r="A51" s="660" t="s">
        <v>921</v>
      </c>
      <c r="B51" s="270" t="s">
        <v>75</v>
      </c>
      <c r="C51" s="662" t="s">
        <v>65</v>
      </c>
    </row>
    <row r="52" spans="1:3">
      <c r="A52" s="1256" t="s">
        <v>922</v>
      </c>
      <c r="B52" s="966">
        <v>0.77</v>
      </c>
      <c r="C52" s="962">
        <f>B52*$B$34</f>
        <v>462</v>
      </c>
    </row>
    <row r="53" spans="1:3">
      <c r="A53" s="1256" t="s">
        <v>923</v>
      </c>
      <c r="B53" s="966">
        <v>0.13</v>
      </c>
      <c r="C53" s="962">
        <f t="shared" ref="C53:C54" si="7">B53*$B$34</f>
        <v>78</v>
      </c>
    </row>
    <row r="54" spans="1:3">
      <c r="A54" s="1256" t="s">
        <v>924</v>
      </c>
      <c r="B54" s="966">
        <v>0.1</v>
      </c>
      <c r="C54" s="962">
        <f t="shared" si="7"/>
        <v>60</v>
      </c>
    </row>
    <row r="55" spans="1:3">
      <c r="A55" s="660" t="s">
        <v>279</v>
      </c>
      <c r="B55" s="494">
        <f>SUM(B52:B54)</f>
        <v>1</v>
      </c>
      <c r="C55" s="970">
        <f>SUM(C52:C54)</f>
        <v>600</v>
      </c>
    </row>
    <row r="56" spans="1:3">
      <c r="C56" s="321"/>
    </row>
    <row r="57" spans="1:3">
      <c r="C57" s="321"/>
    </row>
    <row r="58" spans="1:3">
      <c r="A58" s="270" t="s">
        <v>921</v>
      </c>
      <c r="B58" s="661" t="s">
        <v>75</v>
      </c>
      <c r="C58" s="270" t="s">
        <v>65</v>
      </c>
    </row>
    <row r="59" spans="1:3">
      <c r="A59" s="871" t="s">
        <v>925</v>
      </c>
      <c r="B59" s="971">
        <v>0.28000000000000003</v>
      </c>
      <c r="C59" s="965">
        <f t="shared" ref="C59:C65" si="8">B59*$B$34</f>
        <v>168.00000000000003</v>
      </c>
    </row>
    <row r="60" spans="1:3">
      <c r="A60" s="871" t="s">
        <v>358</v>
      </c>
      <c r="B60" s="971">
        <v>0.24</v>
      </c>
      <c r="C60" s="965">
        <f t="shared" si="8"/>
        <v>144</v>
      </c>
    </row>
    <row r="61" spans="1:3">
      <c r="A61" s="871" t="s">
        <v>926</v>
      </c>
      <c r="B61" s="971">
        <v>0.13</v>
      </c>
      <c r="C61" s="965">
        <f t="shared" si="8"/>
        <v>78</v>
      </c>
    </row>
    <row r="62" spans="1:3">
      <c r="A62" s="871" t="s">
        <v>927</v>
      </c>
      <c r="B62" s="971">
        <v>0.12</v>
      </c>
      <c r="C62" s="965">
        <f t="shared" si="8"/>
        <v>72</v>
      </c>
    </row>
    <row r="63" spans="1:3">
      <c r="A63" s="871" t="s">
        <v>361</v>
      </c>
      <c r="B63" s="971">
        <v>7.0000000000000007E-2</v>
      </c>
      <c r="C63" s="965">
        <f t="shared" si="8"/>
        <v>42.000000000000007</v>
      </c>
    </row>
    <row r="64" spans="1:3">
      <c r="A64" s="871" t="s">
        <v>928</v>
      </c>
      <c r="B64" s="971">
        <v>0.05</v>
      </c>
      <c r="C64" s="965">
        <f t="shared" si="8"/>
        <v>30</v>
      </c>
    </row>
    <row r="65" spans="1:3">
      <c r="A65" s="871" t="s">
        <v>85</v>
      </c>
      <c r="B65" s="971">
        <v>0.12</v>
      </c>
      <c r="C65" s="965">
        <f t="shared" si="8"/>
        <v>72</v>
      </c>
    </row>
    <row r="66" spans="1:3">
      <c r="A66" s="270" t="s">
        <v>279</v>
      </c>
      <c r="B66" s="974">
        <f>SUM(B59:B65)</f>
        <v>1.0100000000000002</v>
      </c>
      <c r="C66" s="972">
        <f>SUM(C59:C65)</f>
        <v>606</v>
      </c>
    </row>
    <row r="67" spans="1:3">
      <c r="C67" s="321"/>
    </row>
    <row r="69" spans="1:3">
      <c r="A69" s="660" t="s">
        <v>921</v>
      </c>
      <c r="B69" s="270" t="s">
        <v>75</v>
      </c>
      <c r="C69" s="662" t="s">
        <v>65</v>
      </c>
    </row>
    <row r="70" spans="1:3">
      <c r="A70" s="1256" t="s">
        <v>616</v>
      </c>
      <c r="B70" s="973">
        <v>0.8</v>
      </c>
      <c r="C70" s="962">
        <f t="shared" ref="C70:C72" si="9">B70*$B$34</f>
        <v>480</v>
      </c>
    </row>
    <row r="71" spans="1:3">
      <c r="A71" s="1256" t="s">
        <v>617</v>
      </c>
      <c r="B71" s="973">
        <v>0.06</v>
      </c>
      <c r="C71" s="962">
        <f t="shared" si="9"/>
        <v>36</v>
      </c>
    </row>
    <row r="72" spans="1:3">
      <c r="A72" s="1256" t="s">
        <v>929</v>
      </c>
      <c r="B72" s="973">
        <v>0.14000000000000001</v>
      </c>
      <c r="C72" s="962">
        <f t="shared" si="9"/>
        <v>84.000000000000014</v>
      </c>
    </row>
    <row r="73" spans="1:3">
      <c r="A73" s="660" t="s">
        <v>279</v>
      </c>
      <c r="B73" s="494">
        <f>SUM(B70:B72)</f>
        <v>1</v>
      </c>
      <c r="C73" s="970">
        <f>SUM(C70:C72)</f>
        <v>600</v>
      </c>
    </row>
    <row r="74" spans="1:3">
      <c r="C74" s="321"/>
    </row>
    <row r="75" spans="1:3">
      <c r="C75" s="321"/>
    </row>
    <row r="76" spans="1:3">
      <c r="A76" t="s">
        <v>930</v>
      </c>
    </row>
    <row r="77" spans="1:3">
      <c r="A77" s="870" t="s">
        <v>931</v>
      </c>
      <c r="B77" s="765">
        <v>11</v>
      </c>
    </row>
    <row r="78" spans="1:3">
      <c r="A78" s="871" t="s">
        <v>932</v>
      </c>
      <c r="B78" s="880">
        <v>9</v>
      </c>
    </row>
    <row r="79" spans="1:3">
      <c r="A79" s="871" t="s">
        <v>933</v>
      </c>
      <c r="B79" s="880">
        <v>111</v>
      </c>
    </row>
    <row r="80" spans="1:3">
      <c r="A80" s="270" t="s">
        <v>279</v>
      </c>
      <c r="B80" s="970">
        <f>SUM(B77:B79)</f>
        <v>131</v>
      </c>
    </row>
    <row r="81" spans="1:6">
      <c r="B81" s="321"/>
    </row>
    <row r="83" spans="1:6">
      <c r="A83" s="763"/>
      <c r="B83" s="870" t="s">
        <v>1</v>
      </c>
      <c r="C83" s="766" t="s">
        <v>370</v>
      </c>
      <c r="D83" s="870" t="s">
        <v>889</v>
      </c>
    </row>
    <row r="84" spans="1:6">
      <c r="A84" s="660" t="s">
        <v>934</v>
      </c>
      <c r="B84" s="270">
        <v>1.85</v>
      </c>
      <c r="C84" s="661">
        <v>0.6</v>
      </c>
      <c r="D84" s="270">
        <f>SUM(B84:C84)</f>
        <v>2.4500000000000002</v>
      </c>
      <c r="F84" t="s">
        <v>935</v>
      </c>
    </row>
    <row r="85" spans="1:6">
      <c r="A85" s="1256"/>
      <c r="B85" s="871"/>
      <c r="D85" s="871"/>
    </row>
    <row r="86" spans="1:6">
      <c r="A86" s="660" t="s">
        <v>308</v>
      </c>
      <c r="B86" s="270"/>
      <c r="C86" s="661"/>
      <c r="D86" s="270"/>
    </row>
    <row r="87" spans="1:6">
      <c r="A87" s="1256" t="s">
        <v>619</v>
      </c>
      <c r="B87" s="872">
        <v>30000</v>
      </c>
      <c r="C87" s="663">
        <f>C43</f>
        <v>4460</v>
      </c>
      <c r="D87" s="965">
        <f>SUM(B87:C87)</f>
        <v>34460</v>
      </c>
    </row>
    <row r="88" spans="1:6">
      <c r="A88" s="1256" t="s">
        <v>936</v>
      </c>
      <c r="B88" s="872"/>
      <c r="C88" s="663">
        <f>C44</f>
        <v>3100</v>
      </c>
      <c r="D88" s="965">
        <f t="shared" ref="D88:D90" si="10">SUM(B88:C88)</f>
        <v>3100</v>
      </c>
    </row>
    <row r="89" spans="1:6">
      <c r="A89" s="1256" t="s">
        <v>937</v>
      </c>
      <c r="B89" s="872">
        <v>1800</v>
      </c>
      <c r="C89" s="663">
        <f>C46</f>
        <v>562</v>
      </c>
      <c r="D89" s="965">
        <f t="shared" si="10"/>
        <v>2362</v>
      </c>
    </row>
    <row r="90" spans="1:6">
      <c r="A90" s="1256" t="s">
        <v>687</v>
      </c>
      <c r="B90" s="872">
        <v>3500</v>
      </c>
      <c r="C90" s="663">
        <f>C47+C45</f>
        <v>1005</v>
      </c>
      <c r="D90" s="965">
        <f t="shared" si="10"/>
        <v>4505</v>
      </c>
    </row>
    <row r="91" spans="1:6">
      <c r="A91" s="660" t="s">
        <v>279</v>
      </c>
      <c r="B91" s="454">
        <f>SUM(B87:B90)</f>
        <v>35300</v>
      </c>
      <c r="C91" s="783">
        <f t="shared" ref="C91:D91" si="11">SUM(C87:C90)</f>
        <v>9127</v>
      </c>
      <c r="D91" s="454">
        <f t="shared" si="11"/>
        <v>44427</v>
      </c>
    </row>
    <row r="92" spans="1:6">
      <c r="A92" s="1256"/>
      <c r="B92" s="871"/>
      <c r="D92" s="871"/>
    </row>
    <row r="93" spans="1:6">
      <c r="A93" s="660" t="s">
        <v>938</v>
      </c>
      <c r="B93" s="270"/>
      <c r="C93" s="661"/>
      <c r="D93" s="270"/>
    </row>
    <row r="94" spans="1:6">
      <c r="A94" s="1256" t="s">
        <v>931</v>
      </c>
      <c r="B94" s="871">
        <v>34</v>
      </c>
      <c r="C94">
        <v>11</v>
      </c>
      <c r="D94" s="871">
        <f>SUM(B94:C94)</f>
        <v>45</v>
      </c>
    </row>
    <row r="95" spans="1:6">
      <c r="A95" s="1256" t="s">
        <v>932</v>
      </c>
      <c r="B95" s="871">
        <v>45</v>
      </c>
      <c r="C95">
        <v>9</v>
      </c>
      <c r="D95" s="871">
        <f t="shared" ref="D95:D96" si="12">SUM(B95:C95)</f>
        <v>54</v>
      </c>
    </row>
    <row r="96" spans="1:6">
      <c r="A96" s="1256" t="s">
        <v>933</v>
      </c>
      <c r="B96" s="871">
        <v>165</v>
      </c>
      <c r="C96">
        <v>111</v>
      </c>
      <c r="D96" s="871">
        <f t="shared" si="12"/>
        <v>276</v>
      </c>
    </row>
    <row r="97" spans="1:4">
      <c r="A97" s="660" t="s">
        <v>279</v>
      </c>
      <c r="B97" s="270">
        <f>SUM(B94:B96)</f>
        <v>244</v>
      </c>
      <c r="C97" s="661">
        <f>SUM(C94:C96)</f>
        <v>131</v>
      </c>
      <c r="D97" s="270">
        <f>SUM(B97:C97)</f>
        <v>375</v>
      </c>
    </row>
  </sheetData>
  <mergeCells count="1">
    <mergeCell ref="B1:D1"/>
  </mergeCells>
  <hyperlinks>
    <hyperlink ref="C31" r:id="rId1" xr:uid="{F582C65A-024A-4E1E-94B1-CD3DE44D1E4B}"/>
  </hyperlinks>
  <pageMargins left="0.7" right="0.7" top="0.75" bottom="0.75" header="0.3" footer="0.3"/>
  <pageSetup paperSize="9" orientation="portrait" horizontalDpi="4294967293" verticalDpi="4294967293"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A9EE2-B95A-46B9-8778-C3A40683A44B}">
  <sheetPr>
    <tabColor rgb="FFFFC000"/>
  </sheetPr>
  <dimension ref="A1:AE140"/>
  <sheetViews>
    <sheetView showGridLines="0" zoomScale="74" zoomScaleNormal="150" workbookViewId="0">
      <pane xSplit="1" ySplit="2" topLeftCell="C14" activePane="bottomRight" state="frozen"/>
      <selection pane="bottomRight" activeCell="K21" sqref="K21"/>
      <selection pane="bottomLeft" activeCell="A3" sqref="A3"/>
      <selection pane="topRight" activeCell="C1" sqref="C1"/>
    </sheetView>
  </sheetViews>
  <sheetFormatPr defaultRowHeight="14.45" outlineLevelCol="1"/>
  <cols>
    <col min="1" max="1" width="28.5703125" style="4" customWidth="1"/>
    <col min="2" max="4" width="9.5703125" style="4" customWidth="1" outlineLevel="1"/>
    <col min="5" max="5" width="9.5703125" style="4" customWidth="1"/>
    <col min="6" max="12" width="9.5703125" style="4" customWidth="1" outlineLevel="1"/>
    <col min="13" max="13" width="9.5703125" style="4" customWidth="1"/>
    <col min="14" max="16" width="9.5703125" style="4" customWidth="1" outlineLevel="1"/>
    <col min="17" max="17" width="9.5703125" style="4" customWidth="1"/>
    <col min="18" max="18" width="9.5703125" style="4" customWidth="1" outlineLevel="1"/>
    <col min="19" max="21" width="9.140625" style="4"/>
    <col min="22" max="24" width="9.140625" style="4" collapsed="1"/>
    <col min="25" max="27" width="9.5703125" style="4" customWidth="1" outlineLevel="1"/>
  </cols>
  <sheetData>
    <row r="1" spans="1:30">
      <c r="A1" s="1"/>
      <c r="B1" s="556"/>
      <c r="C1" s="2"/>
      <c r="D1" s="2"/>
      <c r="E1" s="1112"/>
      <c r="F1" s="556"/>
      <c r="G1" s="2"/>
      <c r="H1" s="2"/>
      <c r="I1" s="2"/>
      <c r="J1" s="556" t="s">
        <v>100</v>
      </c>
      <c r="K1" s="2" t="s">
        <v>100</v>
      </c>
      <c r="L1" s="2" t="s">
        <v>100</v>
      </c>
      <c r="M1" s="1112" t="s">
        <v>100</v>
      </c>
      <c r="N1" s="556" t="s">
        <v>100</v>
      </c>
      <c r="O1" s="2" t="s">
        <v>100</v>
      </c>
      <c r="P1" s="2" t="s">
        <v>100</v>
      </c>
      <c r="Q1" s="1112" t="s">
        <v>100</v>
      </c>
      <c r="R1" s="2" t="s">
        <v>939</v>
      </c>
      <c r="S1" s="2" t="s">
        <v>101</v>
      </c>
      <c r="T1" s="2" t="s">
        <v>101</v>
      </c>
      <c r="U1" s="2"/>
      <c r="V1" s="2" t="s">
        <v>101</v>
      </c>
      <c r="W1" s="2" t="s">
        <v>101</v>
      </c>
      <c r="X1" s="2" t="s">
        <v>101</v>
      </c>
      <c r="Y1" s="2" t="s">
        <v>100</v>
      </c>
      <c r="Z1" s="2" t="s">
        <v>100</v>
      </c>
      <c r="AA1" s="2" t="s">
        <v>100</v>
      </c>
    </row>
    <row r="2" spans="1:30">
      <c r="A2" s="3" t="s">
        <v>102</v>
      </c>
      <c r="B2" s="556" t="s">
        <v>130</v>
      </c>
      <c r="C2" s="2" t="s">
        <v>131</v>
      </c>
      <c r="D2" s="2" t="s">
        <v>132</v>
      </c>
      <c r="E2" s="1112" t="s">
        <v>133</v>
      </c>
      <c r="F2" s="556" t="s">
        <v>134</v>
      </c>
      <c r="G2" s="2" t="s">
        <v>135</v>
      </c>
      <c r="H2" s="2" t="s">
        <v>136</v>
      </c>
      <c r="I2" s="2" t="s">
        <v>137</v>
      </c>
      <c r="J2" s="1113" t="s">
        <v>138</v>
      </c>
      <c r="K2" s="108" t="s">
        <v>139</v>
      </c>
      <c r="L2" s="108" t="s">
        <v>140</v>
      </c>
      <c r="M2" s="1114" t="s">
        <v>141</v>
      </c>
      <c r="N2" s="1113" t="s">
        <v>142</v>
      </c>
      <c r="O2" s="108" t="s">
        <v>143</v>
      </c>
      <c r="P2" s="108" t="s">
        <v>144</v>
      </c>
      <c r="Q2" s="1114" t="s">
        <v>145</v>
      </c>
      <c r="R2" s="2" t="s">
        <v>135</v>
      </c>
      <c r="S2" s="2" t="s">
        <v>515</v>
      </c>
      <c r="T2" s="2" t="s">
        <v>516</v>
      </c>
      <c r="U2" s="2"/>
      <c r="V2" s="2" t="s">
        <v>19</v>
      </c>
      <c r="W2" s="2" t="s">
        <v>20</v>
      </c>
      <c r="X2" s="2" t="s">
        <v>21</v>
      </c>
      <c r="Y2" s="2" t="s">
        <v>22</v>
      </c>
      <c r="Z2" s="2" t="s">
        <v>35</v>
      </c>
      <c r="AA2" s="2" t="s">
        <v>155</v>
      </c>
    </row>
    <row r="3" spans="1:30">
      <c r="B3" s="374"/>
      <c r="C3" s="26"/>
      <c r="D3" s="26"/>
      <c r="E3" s="26"/>
      <c r="F3" s="374"/>
      <c r="G3" s="26"/>
      <c r="H3" s="26"/>
      <c r="I3" s="26"/>
      <c r="J3" s="281"/>
      <c r="M3" s="1115"/>
      <c r="N3" s="281"/>
      <c r="Q3" s="1115">
        <f>Q5*4</f>
        <v>0</v>
      </c>
      <c r="R3" s="26"/>
      <c r="V3" s="19"/>
      <c r="W3" s="19"/>
      <c r="X3" s="19"/>
      <c r="Y3" s="19" t="e">
        <f>Y4/X4-1</f>
        <v>#DIV/0!</v>
      </c>
      <c r="Z3" s="19" t="e">
        <f>Z4/Y4-1</f>
        <v>#DIV/0!</v>
      </c>
    </row>
    <row r="4" spans="1:30">
      <c r="A4" s="4" t="s">
        <v>158</v>
      </c>
      <c r="B4" s="374" t="e">
        <f t="shared" ref="B4:G4" si="0">B12/B5</f>
        <v>#DIV/0!</v>
      </c>
      <c r="C4" s="26">
        <f t="shared" si="0"/>
        <v>82.747252747252745</v>
      </c>
      <c r="D4" s="26" t="e">
        <f t="shared" si="0"/>
        <v>#DIV/0!</v>
      </c>
      <c r="E4" s="26" t="e">
        <f t="shared" si="0"/>
        <v>#DIV/0!</v>
      </c>
      <c r="F4" s="374">
        <f t="shared" si="0"/>
        <v>83.362989323843408</v>
      </c>
      <c r="G4" s="26">
        <f t="shared" si="0"/>
        <v>83.758389261744966</v>
      </c>
      <c r="H4" s="26">
        <f t="shared" ref="H4:I4" si="1">H12/H5</f>
        <v>84.794548440065682</v>
      </c>
      <c r="I4" s="26" t="e">
        <f t="shared" si="1"/>
        <v>#DIV/0!</v>
      </c>
      <c r="J4" s="393">
        <v>86.5</v>
      </c>
      <c r="K4" s="394">
        <v>86.5</v>
      </c>
      <c r="L4" s="394">
        <v>86.5</v>
      </c>
      <c r="M4" s="1257">
        <v>86.5</v>
      </c>
      <c r="N4" s="393">
        <v>87</v>
      </c>
      <c r="O4" s="394">
        <v>87</v>
      </c>
      <c r="P4" s="394">
        <v>87</v>
      </c>
      <c r="Q4" s="1257">
        <v>87</v>
      </c>
      <c r="R4" s="26" t="e">
        <f t="shared" ref="R4" si="2">R12/R5</f>
        <v>#DIV/0!</v>
      </c>
      <c r="V4" s="15"/>
      <c r="W4" s="15"/>
      <c r="X4" s="15"/>
      <c r="Y4" s="27" t="e">
        <f>AVERAGE(F4:I4)</f>
        <v>#DIV/0!</v>
      </c>
      <c r="Z4" s="27">
        <f>AVERAGE(J4:M4)</f>
        <v>86.5</v>
      </c>
      <c r="AA4" s="27">
        <f>AVERAGE(N4:Q4)</f>
        <v>87</v>
      </c>
      <c r="AC4" s="309"/>
    </row>
    <row r="5" spans="1:30">
      <c r="A5" s="28" t="s">
        <v>159</v>
      </c>
      <c r="B5" s="29"/>
      <c r="C5" s="30">
        <v>54.6</v>
      </c>
      <c r="D5" s="30"/>
      <c r="E5" s="30"/>
      <c r="F5" s="29">
        <v>56.2</v>
      </c>
      <c r="G5" s="30">
        <v>59.6</v>
      </c>
      <c r="H5" s="30">
        <v>60.9</v>
      </c>
      <c r="I5" s="30"/>
      <c r="J5" s="31">
        <f t="shared" ref="J5:Q5" si="3">J110</f>
        <v>0</v>
      </c>
      <c r="K5" s="31">
        <f t="shared" si="3"/>
        <v>0</v>
      </c>
      <c r="L5" s="31">
        <f t="shared" si="3"/>
        <v>0</v>
      </c>
      <c r="M5" s="31">
        <f t="shared" si="3"/>
        <v>0</v>
      </c>
      <c r="N5" s="31">
        <f t="shared" si="3"/>
        <v>0</v>
      </c>
      <c r="O5" s="31">
        <f t="shared" si="3"/>
        <v>0</v>
      </c>
      <c r="P5" s="31">
        <f t="shared" si="3"/>
        <v>0</v>
      </c>
      <c r="Q5" s="31">
        <f t="shared" si="3"/>
        <v>0</v>
      </c>
      <c r="R5" s="30"/>
      <c r="S5" s="32"/>
      <c r="T5" s="28"/>
      <c r="U5" s="28"/>
      <c r="V5" s="367"/>
      <c r="W5" s="367"/>
      <c r="X5" s="367"/>
      <c r="Y5" s="33">
        <f>SUM(F5:I5)</f>
        <v>176.70000000000002</v>
      </c>
      <c r="Z5" s="33">
        <f>SUM(J5:M5)</f>
        <v>0</v>
      </c>
      <c r="AA5" s="33">
        <f>SUM(N5:Q5)</f>
        <v>0</v>
      </c>
      <c r="AB5" s="309">
        <f>(AA5/Y5)^(1/2)-1</f>
        <v>-1</v>
      </c>
      <c r="AC5" s="309" t="e">
        <f>(V5/#REF!)^(1/5)-1</f>
        <v>#REF!</v>
      </c>
      <c r="AD5" s="309" t="e">
        <f>(Y5/V5)^(1/3)-1</f>
        <v>#DIV/0!</v>
      </c>
    </row>
    <row r="6" spans="1:30">
      <c r="A6" s="4" t="s">
        <v>161</v>
      </c>
      <c r="B6" s="460"/>
      <c r="C6" s="36" t="e">
        <f t="shared" ref="C6:R6" si="4">C5/B5-1</f>
        <v>#DIV/0!</v>
      </c>
      <c r="D6" s="36">
        <f t="shared" si="4"/>
        <v>-1</v>
      </c>
      <c r="E6" s="1258" t="e">
        <f t="shared" si="4"/>
        <v>#DIV/0!</v>
      </c>
      <c r="F6" s="460" t="e">
        <f t="shared" si="4"/>
        <v>#DIV/0!</v>
      </c>
      <c r="G6" s="36">
        <f t="shared" si="4"/>
        <v>6.0498220640569311E-2</v>
      </c>
      <c r="H6" s="36">
        <f t="shared" si="4"/>
        <v>2.1812080536912637E-2</v>
      </c>
      <c r="I6" s="36">
        <f t="shared" si="4"/>
        <v>-1</v>
      </c>
      <c r="J6" s="460" t="e">
        <f t="shared" si="4"/>
        <v>#DIV/0!</v>
      </c>
      <c r="K6" s="36" t="e">
        <f t="shared" si="4"/>
        <v>#DIV/0!</v>
      </c>
      <c r="L6" s="36" t="e">
        <f t="shared" si="4"/>
        <v>#DIV/0!</v>
      </c>
      <c r="M6" s="1258" t="e">
        <f t="shared" si="4"/>
        <v>#DIV/0!</v>
      </c>
      <c r="N6" s="460" t="e">
        <f t="shared" si="4"/>
        <v>#DIV/0!</v>
      </c>
      <c r="O6" s="36" t="e">
        <f t="shared" si="4"/>
        <v>#DIV/0!</v>
      </c>
      <c r="P6" s="36" t="e">
        <f t="shared" si="4"/>
        <v>#DIV/0!</v>
      </c>
      <c r="Q6" s="1258" t="e">
        <f t="shared" si="4"/>
        <v>#DIV/0!</v>
      </c>
      <c r="R6" s="36" t="e">
        <f t="shared" si="4"/>
        <v>#DIV/0!</v>
      </c>
      <c r="S6" s="17"/>
      <c r="V6" s="356"/>
      <c r="W6" s="356"/>
      <c r="X6" s="356"/>
      <c r="Y6" s="37" t="e">
        <f t="shared" ref="Y6" si="5">Y5/X5-1</f>
        <v>#DIV/0!</v>
      </c>
      <c r="Z6" s="37">
        <f>Z5/Y5-1</f>
        <v>-1</v>
      </c>
      <c r="AA6" s="37" t="e">
        <f t="shared" ref="AA6" si="6">AA5/Z5-1</f>
        <v>#DIV/0!</v>
      </c>
    </row>
    <row r="7" spans="1:30">
      <c r="A7" s="4" t="s">
        <v>940</v>
      </c>
      <c r="B7" s="288"/>
      <c r="C7" s="38" t="e">
        <f>C5/#REF!-1</f>
        <v>#REF!</v>
      </c>
      <c r="D7" s="38" t="e">
        <f>D5/#REF!-1</f>
        <v>#REF!</v>
      </c>
      <c r="E7" s="1243" t="e">
        <f>E5/#REF!-1</f>
        <v>#REF!</v>
      </c>
      <c r="F7" s="288" t="e">
        <f t="shared" ref="F7:R7" si="7">F5/B5-1</f>
        <v>#DIV/0!</v>
      </c>
      <c r="G7" s="38">
        <f t="shared" si="7"/>
        <v>9.1575091575091472E-2</v>
      </c>
      <c r="H7" s="38" t="e">
        <f t="shared" si="7"/>
        <v>#DIV/0!</v>
      </c>
      <c r="I7" s="38" t="e">
        <f t="shared" si="7"/>
        <v>#DIV/0!</v>
      </c>
      <c r="J7" s="288">
        <f t="shared" si="7"/>
        <v>-1</v>
      </c>
      <c r="K7" s="38">
        <f t="shared" si="7"/>
        <v>-1</v>
      </c>
      <c r="L7" s="38">
        <f t="shared" si="7"/>
        <v>-1</v>
      </c>
      <c r="M7" s="1243" t="e">
        <f t="shared" si="7"/>
        <v>#DIV/0!</v>
      </c>
      <c r="N7" s="288" t="e">
        <f t="shared" si="7"/>
        <v>#DIV/0!</v>
      </c>
      <c r="O7" s="38" t="e">
        <f t="shared" si="7"/>
        <v>#DIV/0!</v>
      </c>
      <c r="P7" s="38" t="e">
        <f t="shared" si="7"/>
        <v>#DIV/0!</v>
      </c>
      <c r="Q7" s="1243" t="e">
        <f t="shared" si="7"/>
        <v>#DIV/0!</v>
      </c>
      <c r="R7" s="38" t="e">
        <f t="shared" si="7"/>
        <v>#DIV/0!</v>
      </c>
      <c r="S7" s="39"/>
      <c r="V7" s="356"/>
      <c r="W7" s="356"/>
      <c r="X7" s="356"/>
      <c r="Y7" s="40"/>
      <c r="Z7" s="40"/>
      <c r="AA7" s="40"/>
    </row>
    <row r="8" spans="1:30">
      <c r="A8" s="4" t="s">
        <v>162</v>
      </c>
      <c r="B8" s="288"/>
      <c r="C8" s="38"/>
      <c r="D8" s="38"/>
      <c r="E8" s="1243"/>
      <c r="F8" s="288"/>
      <c r="G8" s="38"/>
      <c r="H8" s="38"/>
      <c r="I8" s="38"/>
      <c r="J8" s="288"/>
      <c r="K8" s="38"/>
      <c r="L8" s="38"/>
      <c r="M8" s="1243"/>
      <c r="N8" s="288"/>
      <c r="O8" s="38"/>
      <c r="P8" s="38"/>
      <c r="Q8" s="1243"/>
      <c r="R8" s="38"/>
      <c r="S8" s="39"/>
      <c r="V8" s="310"/>
      <c r="W8" s="310"/>
      <c r="X8" s="310"/>
      <c r="Y8" s="40"/>
      <c r="Z8" s="40"/>
      <c r="AA8" s="40"/>
    </row>
    <row r="9" spans="1:30">
      <c r="A9" s="6" t="s">
        <v>163</v>
      </c>
      <c r="B9" s="557"/>
      <c r="C9" s="41"/>
      <c r="D9" s="41"/>
      <c r="E9" s="1243"/>
      <c r="F9" s="557"/>
      <c r="G9" s="41"/>
      <c r="H9" s="41"/>
      <c r="I9" s="41"/>
      <c r="J9" s="288"/>
      <c r="K9" s="38"/>
      <c r="L9" s="38"/>
      <c r="M9" s="1243"/>
      <c r="N9" s="288"/>
      <c r="O9" s="38"/>
      <c r="P9" s="38"/>
      <c r="Q9" s="1243"/>
      <c r="R9" s="41"/>
      <c r="S9" s="39"/>
      <c r="V9" s="20"/>
      <c r="W9" s="20"/>
      <c r="X9" s="20"/>
      <c r="Y9" s="40"/>
      <c r="Z9" s="40"/>
      <c r="AA9" s="40"/>
    </row>
    <row r="10" spans="1:30">
      <c r="A10" s="4" t="s">
        <v>164</v>
      </c>
      <c r="B10" s="558"/>
      <c r="C10" s="48"/>
      <c r="D10" s="48"/>
      <c r="E10" s="1243"/>
      <c r="F10" s="558"/>
      <c r="G10" s="48"/>
      <c r="H10" s="100"/>
      <c r="I10" s="100"/>
      <c r="J10" s="288"/>
      <c r="K10" s="38"/>
      <c r="L10" s="38"/>
      <c r="M10" s="1243"/>
      <c r="N10" s="288"/>
      <c r="O10" s="38"/>
      <c r="P10" s="38"/>
      <c r="Q10" s="1243"/>
      <c r="R10" s="48"/>
      <c r="S10" s="39"/>
      <c r="Y10" s="40"/>
      <c r="Z10" s="40"/>
      <c r="AA10" s="40"/>
    </row>
    <row r="11" spans="1:30">
      <c r="B11" s="288"/>
      <c r="C11" s="38"/>
      <c r="D11" s="38"/>
      <c r="E11" s="1115"/>
      <c r="F11" s="288"/>
      <c r="G11" s="38"/>
      <c r="H11" s="38"/>
      <c r="I11" s="38"/>
      <c r="J11" s="281"/>
      <c r="M11" s="1115"/>
      <c r="N11" s="281"/>
      <c r="Q11" s="1115"/>
      <c r="R11" s="38"/>
      <c r="S11" s="39"/>
      <c r="Y11" s="40"/>
      <c r="Z11" s="40"/>
      <c r="AA11" s="40"/>
    </row>
    <row r="12" spans="1:30">
      <c r="A12" s="6" t="s">
        <v>165</v>
      </c>
      <c r="B12" s="557"/>
      <c r="C12" s="41">
        <v>4518</v>
      </c>
      <c r="D12" s="41"/>
      <c r="E12" s="41">
        <v>4556.41</v>
      </c>
      <c r="F12" s="557">
        <v>4685</v>
      </c>
      <c r="G12" s="41">
        <v>4992</v>
      </c>
      <c r="H12" s="41">
        <v>5163.9880000000003</v>
      </c>
      <c r="I12" s="41">
        <v>5302.7709999999997</v>
      </c>
      <c r="J12" s="282">
        <v>5342</v>
      </c>
      <c r="K12" s="43">
        <f t="shared" ref="K12:Q12" si="8">K5*K4</f>
        <v>0</v>
      </c>
      <c r="L12" s="43">
        <f t="shared" si="8"/>
        <v>0</v>
      </c>
      <c r="M12" s="1259">
        <f t="shared" si="8"/>
        <v>0</v>
      </c>
      <c r="N12" s="282">
        <f t="shared" si="8"/>
        <v>0</v>
      </c>
      <c r="O12" s="43">
        <f t="shared" si="8"/>
        <v>0</v>
      </c>
      <c r="P12" s="43">
        <f t="shared" si="8"/>
        <v>0</v>
      </c>
      <c r="Q12" s="1259">
        <f t="shared" si="8"/>
        <v>0</v>
      </c>
      <c r="R12" s="41">
        <v>25631</v>
      </c>
      <c r="S12" s="44"/>
      <c r="T12" s="7"/>
      <c r="U12" s="7"/>
      <c r="V12" s="45"/>
      <c r="W12" s="45"/>
      <c r="X12" s="45"/>
      <c r="Y12" s="46">
        <f>SUM(F12:I12)</f>
        <v>20143.759000000002</v>
      </c>
      <c r="Z12" s="46">
        <f>SUM(J12:M12)</f>
        <v>5342</v>
      </c>
      <c r="AA12" s="46">
        <f>SUM(N12:Q12)</f>
        <v>0</v>
      </c>
      <c r="AC12" s="309" t="e">
        <f>(V12/#REF!)^(1/5)-1</f>
        <v>#REF!</v>
      </c>
      <c r="AD12" s="309" t="e">
        <f>(Y12/V12)^(1/3)-1</f>
        <v>#DIV/0!</v>
      </c>
    </row>
    <row r="13" spans="1:30">
      <c r="B13" s="281"/>
      <c r="E13" s="1115"/>
      <c r="F13" s="281"/>
      <c r="J13" s="281"/>
      <c r="M13" s="1115"/>
      <c r="N13" s="281"/>
      <c r="Q13" s="1115"/>
      <c r="T13" s="20"/>
      <c r="U13" s="20"/>
      <c r="V13" s="19"/>
      <c r="W13" s="19"/>
      <c r="X13" s="19"/>
      <c r="Y13" s="47" t="e">
        <f t="shared" ref="Y13:AA13" si="9">Y12/X12-1</f>
        <v>#DIV/0!</v>
      </c>
      <c r="Z13" s="47">
        <f t="shared" si="9"/>
        <v>-0.73480619977631778</v>
      </c>
      <c r="AA13" s="47">
        <f t="shared" si="9"/>
        <v>-1</v>
      </c>
    </row>
    <row r="14" spans="1:30">
      <c r="A14" s="4" t="s">
        <v>166</v>
      </c>
      <c r="B14" s="281"/>
      <c r="E14" s="1115"/>
      <c r="F14" s="281"/>
      <c r="J14" s="281"/>
      <c r="M14" s="1115"/>
      <c r="N14" s="281"/>
      <c r="Q14" s="1115"/>
      <c r="Y14" s="40"/>
      <c r="Z14" s="40"/>
      <c r="AA14" s="40"/>
    </row>
    <row r="15" spans="1:30">
      <c r="A15" s="4" t="s">
        <v>167</v>
      </c>
      <c r="B15" s="558"/>
      <c r="C15" s="558">
        <f>0.655*C12</f>
        <v>2959.29</v>
      </c>
      <c r="D15" s="48"/>
      <c r="E15" s="48">
        <f>3037.171+694.753</f>
        <v>3731.924</v>
      </c>
      <c r="F15" s="558">
        <f>3066+640</f>
        <v>3706</v>
      </c>
      <c r="G15" s="558">
        <f>3022.478+703.57</f>
        <v>3726.0480000000002</v>
      </c>
      <c r="H15" s="558">
        <f>2990.124+829.697</f>
        <v>3819.8209999999999</v>
      </c>
      <c r="I15" s="558">
        <f>3102.607+833.673</f>
        <v>3936.2799999999997</v>
      </c>
      <c r="J15" s="1260">
        <f>2963+889</f>
        <v>3852</v>
      </c>
      <c r="K15" s="49">
        <f t="shared" ref="K15:Q15" si="10">K130</f>
        <v>0</v>
      </c>
      <c r="L15" s="49">
        <f t="shared" si="10"/>
        <v>0</v>
      </c>
      <c r="M15" s="1261">
        <f t="shared" si="10"/>
        <v>0</v>
      </c>
      <c r="N15" s="1260">
        <f t="shared" si="10"/>
        <v>0</v>
      </c>
      <c r="O15" s="49">
        <f t="shared" si="10"/>
        <v>0</v>
      </c>
      <c r="P15" s="49">
        <f t="shared" si="10"/>
        <v>0</v>
      </c>
      <c r="Q15" s="1261">
        <f t="shared" si="10"/>
        <v>0</v>
      </c>
      <c r="R15" s="558">
        <f>R12-(R12*32.4%)</f>
        <v>17326.556</v>
      </c>
      <c r="T15" s="13"/>
      <c r="U15" s="13"/>
      <c r="V15" s="50"/>
      <c r="W15" s="50"/>
      <c r="X15" s="50"/>
      <c r="Y15" s="51">
        <f>SUM(F15:I15)</f>
        <v>15188.149000000001</v>
      </c>
      <c r="Z15" s="51">
        <f>SUM(J15:M15)</f>
        <v>3852</v>
      </c>
      <c r="AA15" s="51">
        <f>SUM(N15:Q15)</f>
        <v>0</v>
      </c>
    </row>
    <row r="16" spans="1:30">
      <c r="A16" s="52" t="s">
        <v>170</v>
      </c>
      <c r="B16" s="536"/>
      <c r="C16" s="53"/>
      <c r="D16" s="53"/>
      <c r="E16" s="1262"/>
      <c r="F16" s="536">
        <f t="shared" ref="F16" si="11">F15/F12</f>
        <v>0.79103521878335115</v>
      </c>
      <c r="G16" s="53">
        <f>G15/G12</f>
        <v>0.74640384615384625</v>
      </c>
      <c r="H16" s="53">
        <f>H15/H12</f>
        <v>0.73970369412167492</v>
      </c>
      <c r="I16" s="53">
        <f>I15/I12</f>
        <v>0.74230623951137997</v>
      </c>
      <c r="J16" s="536">
        <f t="shared" ref="J16:Q16" si="12">J15/J12</f>
        <v>0.72107824784724828</v>
      </c>
      <c r="K16" s="53" t="e">
        <f t="shared" si="12"/>
        <v>#DIV/0!</v>
      </c>
      <c r="L16" s="53" t="e">
        <f t="shared" si="12"/>
        <v>#DIV/0!</v>
      </c>
      <c r="M16" s="1262" t="e">
        <f t="shared" si="12"/>
        <v>#DIV/0!</v>
      </c>
      <c r="N16" s="536" t="e">
        <f t="shared" si="12"/>
        <v>#DIV/0!</v>
      </c>
      <c r="O16" s="53" t="e">
        <f t="shared" si="12"/>
        <v>#DIV/0!</v>
      </c>
      <c r="P16" s="53" t="e">
        <f t="shared" si="12"/>
        <v>#DIV/0!</v>
      </c>
      <c r="Q16" s="1262" t="e">
        <f t="shared" si="12"/>
        <v>#DIV/0!</v>
      </c>
      <c r="R16" s="53">
        <f>R15/R12</f>
        <v>0.67600000000000005</v>
      </c>
      <c r="T16" s="13"/>
      <c r="U16" s="13"/>
      <c r="V16" s="54"/>
      <c r="W16" s="54"/>
      <c r="X16" s="54"/>
      <c r="Y16" s="55">
        <f t="shared" ref="Y16:AA16" si="13">Y15/Y12</f>
        <v>0.75398782322604241</v>
      </c>
      <c r="Z16" s="55">
        <f t="shared" si="13"/>
        <v>0.72107824784724828</v>
      </c>
      <c r="AA16" s="55" t="e">
        <f t="shared" si="13"/>
        <v>#DIV/0!</v>
      </c>
    </row>
    <row r="17" spans="1:30">
      <c r="A17" s="52"/>
      <c r="B17" s="536"/>
      <c r="C17" s="53"/>
      <c r="D17" s="53"/>
      <c r="E17" s="1262"/>
      <c r="F17" s="536"/>
      <c r="G17" s="53"/>
      <c r="H17" s="53"/>
      <c r="I17" s="53"/>
      <c r="J17" s="536"/>
      <c r="K17" s="53"/>
      <c r="L17" s="53"/>
      <c r="M17" s="1262"/>
      <c r="N17" s="536"/>
      <c r="O17" s="53"/>
      <c r="P17" s="53"/>
      <c r="Q17" s="1262"/>
      <c r="R17" s="53"/>
      <c r="T17" s="13"/>
      <c r="U17" s="13"/>
      <c r="V17" s="54"/>
      <c r="W17" s="54"/>
      <c r="X17" s="54"/>
      <c r="Y17" s="55"/>
      <c r="Z17" s="55"/>
      <c r="AA17" s="55"/>
    </row>
    <row r="18" spans="1:30">
      <c r="A18" s="4" t="s">
        <v>171</v>
      </c>
      <c r="B18" s="558"/>
      <c r="C18" s="48">
        <v>905</v>
      </c>
      <c r="D18" s="48"/>
      <c r="E18" s="48">
        <v>525.79899999999998</v>
      </c>
      <c r="F18" s="558">
        <v>482</v>
      </c>
      <c r="G18" s="48">
        <v>616.51099999999997</v>
      </c>
      <c r="H18" s="48">
        <v>494.25700000000001</v>
      </c>
      <c r="I18" s="48">
        <v>471.71699999999998</v>
      </c>
      <c r="J18" s="285">
        <v>601</v>
      </c>
      <c r="K18" s="59">
        <f t="shared" ref="K18:Q18" si="14">K134</f>
        <v>0</v>
      </c>
      <c r="L18" s="59">
        <f t="shared" si="14"/>
        <v>0</v>
      </c>
      <c r="M18" s="1263">
        <f t="shared" si="14"/>
        <v>0</v>
      </c>
      <c r="N18" s="285">
        <f t="shared" si="14"/>
        <v>0</v>
      </c>
      <c r="O18" s="59">
        <f t="shared" si="14"/>
        <v>0</v>
      </c>
      <c r="P18" s="59">
        <f t="shared" si="14"/>
        <v>0</v>
      </c>
      <c r="Q18" s="1263">
        <f t="shared" si="14"/>
        <v>0</v>
      </c>
      <c r="R18" s="48">
        <f>R12*(32.4%-16.593%)</f>
        <v>4051.4921700000004</v>
      </c>
      <c r="T18" s="13"/>
      <c r="U18" s="13"/>
      <c r="V18" s="50"/>
      <c r="W18" s="50"/>
      <c r="X18" s="50"/>
      <c r="Y18" s="51">
        <f>SUM(F18:I18)</f>
        <v>2064.4850000000001</v>
      </c>
      <c r="Z18" s="51">
        <f>SUM(J18:M18)</f>
        <v>601</v>
      </c>
      <c r="AA18" s="51">
        <f>SUM(N18:Q18)</f>
        <v>0</v>
      </c>
    </row>
    <row r="19" spans="1:30">
      <c r="A19" s="52" t="s">
        <v>172</v>
      </c>
      <c r="B19" s="536"/>
      <c r="C19" s="53"/>
      <c r="D19" s="53"/>
      <c r="E19" s="1262"/>
      <c r="F19" s="536">
        <f t="shared" ref="F19:R19" si="15">F18/F12</f>
        <v>0.10288153681963715</v>
      </c>
      <c r="G19" s="53">
        <f t="shared" si="15"/>
        <v>0.12349979967948717</v>
      </c>
      <c r="H19" s="53">
        <f t="shared" ref="H19:I19" si="16">H18/H12</f>
        <v>9.5712267340667706E-2</v>
      </c>
      <c r="I19" s="53">
        <f t="shared" si="16"/>
        <v>8.8956698299813439E-2</v>
      </c>
      <c r="J19" s="536">
        <f t="shared" si="15"/>
        <v>0.11250467989517035</v>
      </c>
      <c r="K19" s="53" t="e">
        <f t="shared" si="15"/>
        <v>#DIV/0!</v>
      </c>
      <c r="L19" s="53" t="e">
        <f t="shared" si="15"/>
        <v>#DIV/0!</v>
      </c>
      <c r="M19" s="1262" t="e">
        <f t="shared" si="15"/>
        <v>#DIV/0!</v>
      </c>
      <c r="N19" s="536" t="e">
        <f t="shared" si="15"/>
        <v>#DIV/0!</v>
      </c>
      <c r="O19" s="53" t="e">
        <f t="shared" si="15"/>
        <v>#DIV/0!</v>
      </c>
      <c r="P19" s="53" t="e">
        <f t="shared" si="15"/>
        <v>#DIV/0!</v>
      </c>
      <c r="Q19" s="1262" t="e">
        <f t="shared" si="15"/>
        <v>#DIV/0!</v>
      </c>
      <c r="R19" s="53">
        <f t="shared" si="15"/>
        <v>0.15807000000000002</v>
      </c>
      <c r="T19" s="13"/>
      <c r="U19" s="13"/>
      <c r="V19" s="57"/>
      <c r="W19" s="57"/>
      <c r="X19" s="57"/>
      <c r="Y19" s="58">
        <f t="shared" ref="Y19:AA19" si="17">Y18/Y12</f>
        <v>0.10248757443930896</v>
      </c>
      <c r="Z19" s="58">
        <f t="shared" si="17"/>
        <v>0.11250467989517035</v>
      </c>
      <c r="AA19" s="58" t="e">
        <f t="shared" si="17"/>
        <v>#DIV/0!</v>
      </c>
    </row>
    <row r="20" spans="1:30">
      <c r="A20" s="4" t="s">
        <v>383</v>
      </c>
      <c r="B20" s="285"/>
      <c r="C20" s="59"/>
      <c r="D20" s="59"/>
      <c r="E20" s="48"/>
      <c r="F20" s="285"/>
      <c r="G20" s="59"/>
      <c r="H20" s="59"/>
      <c r="I20" s="59"/>
      <c r="J20" s="285"/>
      <c r="K20" s="59"/>
      <c r="L20" s="59"/>
      <c r="M20" s="1263"/>
      <c r="N20" s="285"/>
      <c r="O20" s="59"/>
      <c r="P20" s="59"/>
      <c r="Q20" s="1263"/>
      <c r="R20" s="59"/>
      <c r="T20" s="13"/>
      <c r="U20" s="13"/>
      <c r="V20" s="13"/>
      <c r="W20" s="13"/>
      <c r="X20" s="13"/>
      <c r="Y20" s="51">
        <f>SUM(F20:I20)</f>
        <v>0</v>
      </c>
      <c r="Z20" s="51">
        <f>SUM(J20:M20)</f>
        <v>0</v>
      </c>
      <c r="AA20" s="51">
        <f>SUM(N20:Q20)</f>
        <v>0</v>
      </c>
    </row>
    <row r="21" spans="1:30">
      <c r="A21" s="52" t="s">
        <v>172</v>
      </c>
      <c r="B21" s="537"/>
      <c r="C21" s="60"/>
      <c r="D21" s="60"/>
      <c r="E21" s="60"/>
      <c r="F21" s="537"/>
      <c r="G21" s="60"/>
      <c r="H21" s="60"/>
      <c r="I21" s="60"/>
      <c r="J21" s="537"/>
      <c r="K21" s="60"/>
      <c r="L21" s="60"/>
      <c r="M21" s="1264"/>
      <c r="N21" s="537"/>
      <c r="O21" s="60"/>
      <c r="P21" s="60"/>
      <c r="Q21" s="1264"/>
      <c r="R21" s="60"/>
      <c r="T21" s="13"/>
      <c r="U21" s="13"/>
      <c r="V21" s="57"/>
      <c r="W21" s="57"/>
      <c r="X21" s="57"/>
      <c r="Y21" s="365">
        <f t="shared" ref="Y21:AA21" si="18">Y20/Y12</f>
        <v>0</v>
      </c>
      <c r="Z21" s="365">
        <f t="shared" si="18"/>
        <v>0</v>
      </c>
      <c r="AA21" s="365" t="e">
        <f t="shared" si="18"/>
        <v>#DIV/0!</v>
      </c>
    </row>
    <row r="22" spans="1:30">
      <c r="A22" s="258" t="s">
        <v>173</v>
      </c>
      <c r="B22" s="559"/>
      <c r="C22" s="559"/>
      <c r="D22" s="559"/>
      <c r="E22" s="75"/>
      <c r="F22" s="615"/>
      <c r="G22" s="559"/>
      <c r="H22" s="559"/>
      <c r="I22" s="559"/>
      <c r="J22" s="537"/>
      <c r="K22" s="60"/>
      <c r="L22" s="60"/>
      <c r="M22" s="1264"/>
      <c r="N22" s="537"/>
      <c r="O22" s="60"/>
      <c r="P22" s="60"/>
      <c r="Q22" s="1264"/>
      <c r="R22" s="559"/>
      <c r="T22" s="13"/>
      <c r="U22" s="13"/>
      <c r="V22" s="57"/>
      <c r="W22" s="57"/>
      <c r="X22" s="57"/>
      <c r="Y22" s="365"/>
      <c r="Z22" s="365"/>
      <c r="AA22" s="365"/>
    </row>
    <row r="23" spans="1:30">
      <c r="A23" s="61" t="s">
        <v>176</v>
      </c>
      <c r="B23" s="62"/>
      <c r="C23" s="63">
        <f t="shared" ref="C23:E23" si="19">C15+C18+C20</f>
        <v>3864.29</v>
      </c>
      <c r="D23" s="63">
        <f t="shared" si="19"/>
        <v>0</v>
      </c>
      <c r="E23" s="64">
        <f t="shared" si="19"/>
        <v>4257.723</v>
      </c>
      <c r="F23" s="62">
        <f>F15+F18+F20</f>
        <v>4188</v>
      </c>
      <c r="G23" s="63">
        <f t="shared" ref="G23:R23" si="20">G15+G18+G20</f>
        <v>4342.5590000000002</v>
      </c>
      <c r="H23" s="63">
        <f>H15+H18+H20</f>
        <v>4314.0779999999995</v>
      </c>
      <c r="I23" s="63">
        <f>I15+I18+I20</f>
        <v>4407.9969999999994</v>
      </c>
      <c r="J23" s="62">
        <f t="shared" si="20"/>
        <v>4453</v>
      </c>
      <c r="K23" s="63">
        <f t="shared" si="20"/>
        <v>0</v>
      </c>
      <c r="L23" s="63">
        <f t="shared" si="20"/>
        <v>0</v>
      </c>
      <c r="M23" s="64">
        <f t="shared" si="20"/>
        <v>0</v>
      </c>
      <c r="N23" s="62">
        <f t="shared" si="20"/>
        <v>0</v>
      </c>
      <c r="O23" s="63">
        <f t="shared" si="20"/>
        <v>0</v>
      </c>
      <c r="P23" s="63">
        <f t="shared" si="20"/>
        <v>0</v>
      </c>
      <c r="Q23" s="64">
        <f t="shared" si="20"/>
        <v>0</v>
      </c>
      <c r="R23" s="63">
        <f t="shared" si="20"/>
        <v>21378.048170000002</v>
      </c>
      <c r="S23" s="65"/>
      <c r="T23" s="63"/>
      <c r="U23" s="63"/>
      <c r="V23" s="63"/>
      <c r="W23" s="63"/>
      <c r="X23" s="63"/>
      <c r="Y23" s="66">
        <f t="shared" ref="Y23:AA23" si="21">Y15+Y18+Y20</f>
        <v>17252.634000000002</v>
      </c>
      <c r="Z23" s="66">
        <f t="shared" si="21"/>
        <v>4453</v>
      </c>
      <c r="AA23" s="66">
        <f t="shared" si="21"/>
        <v>0</v>
      </c>
    </row>
    <row r="24" spans="1:30">
      <c r="A24" s="6"/>
      <c r="B24" s="328"/>
      <c r="C24" s="6"/>
      <c r="D24" s="6"/>
      <c r="E24" s="1265"/>
      <c r="F24" s="328"/>
      <c r="G24" s="6"/>
      <c r="H24" s="6"/>
      <c r="I24" s="6"/>
      <c r="J24" s="328"/>
      <c r="K24" s="6"/>
      <c r="L24" s="6"/>
      <c r="M24" s="1265"/>
      <c r="N24" s="328"/>
      <c r="O24" s="6"/>
      <c r="P24" s="6"/>
      <c r="Q24" s="1265"/>
      <c r="R24" s="6"/>
      <c r="T24" s="13"/>
      <c r="U24" s="13"/>
      <c r="Y24" s="40"/>
      <c r="Z24" s="40"/>
      <c r="AA24" s="40"/>
    </row>
    <row r="25" spans="1:30" ht="15" thickBot="1">
      <c r="A25" s="67" t="s">
        <v>72</v>
      </c>
      <c r="B25" s="68"/>
      <c r="C25" s="69">
        <f t="shared" ref="C25:E25" si="22">C12-C23</f>
        <v>653.71</v>
      </c>
      <c r="D25" s="69">
        <f t="shared" si="22"/>
        <v>0</v>
      </c>
      <c r="E25" s="70">
        <f t="shared" si="22"/>
        <v>298.6869999999999</v>
      </c>
      <c r="F25" s="68">
        <f>F12-F23</f>
        <v>497</v>
      </c>
      <c r="G25" s="69">
        <f>G12-G23</f>
        <v>649.4409999999998</v>
      </c>
      <c r="H25" s="69">
        <f>H12-H23</f>
        <v>849.91000000000076</v>
      </c>
      <c r="I25" s="69">
        <f>I12-I23</f>
        <v>894.77400000000034</v>
      </c>
      <c r="J25" s="68">
        <f t="shared" ref="J25:Q25" si="23">J12-J23</f>
        <v>889</v>
      </c>
      <c r="K25" s="69">
        <f t="shared" si="23"/>
        <v>0</v>
      </c>
      <c r="L25" s="69">
        <f t="shared" si="23"/>
        <v>0</v>
      </c>
      <c r="M25" s="70">
        <f t="shared" si="23"/>
        <v>0</v>
      </c>
      <c r="N25" s="68">
        <f t="shared" si="23"/>
        <v>0</v>
      </c>
      <c r="O25" s="69">
        <f t="shared" si="23"/>
        <v>0</v>
      </c>
      <c r="P25" s="69">
        <f t="shared" si="23"/>
        <v>0</v>
      </c>
      <c r="Q25" s="70">
        <f t="shared" si="23"/>
        <v>0</v>
      </c>
      <c r="R25" s="69">
        <f>R12-R23</f>
        <v>4252.9518299999982</v>
      </c>
      <c r="S25" s="67"/>
      <c r="T25" s="69"/>
      <c r="U25" s="69"/>
      <c r="V25" s="69"/>
      <c r="W25" s="69"/>
      <c r="X25" s="69"/>
      <c r="Y25" s="71">
        <f t="shared" ref="Y25:AA25" si="24">Y12-Y23</f>
        <v>2891.125</v>
      </c>
      <c r="Z25" s="71">
        <f t="shared" si="24"/>
        <v>889</v>
      </c>
      <c r="AA25" s="71">
        <f t="shared" si="24"/>
        <v>0</v>
      </c>
      <c r="AC25" s="309" t="e">
        <f>(V25/#REF!)^(1/5)-1</f>
        <v>#REF!</v>
      </c>
      <c r="AD25" s="309" t="e">
        <f>(Y25/V25)^(1/3)-1</f>
        <v>#DIV/0!</v>
      </c>
    </row>
    <row r="26" spans="1:30">
      <c r="A26" s="72" t="s">
        <v>177</v>
      </c>
      <c r="B26" s="560"/>
      <c r="C26" s="74">
        <f t="shared" ref="C26:R26" si="25">C25/C12</f>
        <v>0.14469012837538736</v>
      </c>
      <c r="D26" s="74" t="e">
        <f t="shared" si="25"/>
        <v>#DIV/0!</v>
      </c>
      <c r="E26" s="1266">
        <f t="shared" si="25"/>
        <v>6.5553143812782405E-2</v>
      </c>
      <c r="F26" s="560">
        <f t="shared" si="25"/>
        <v>0.10608324439701174</v>
      </c>
      <c r="G26" s="74">
        <f>G25/G12</f>
        <v>0.13009635416666662</v>
      </c>
      <c r="H26" s="74">
        <f t="shared" ref="H26:I26" si="26">H25/H12</f>
        <v>0.16458403853765746</v>
      </c>
      <c r="I26" s="74">
        <f t="shared" si="26"/>
        <v>0.16873706218880663</v>
      </c>
      <c r="J26" s="560">
        <f t="shared" si="25"/>
        <v>0.16641707225758143</v>
      </c>
      <c r="K26" s="74" t="e">
        <f t="shared" si="25"/>
        <v>#DIV/0!</v>
      </c>
      <c r="L26" s="74" t="e">
        <f t="shared" si="25"/>
        <v>#DIV/0!</v>
      </c>
      <c r="M26" s="1266" t="e">
        <f t="shared" si="25"/>
        <v>#DIV/0!</v>
      </c>
      <c r="N26" s="560" t="e">
        <f t="shared" si="25"/>
        <v>#DIV/0!</v>
      </c>
      <c r="O26" s="74" t="e">
        <f t="shared" si="25"/>
        <v>#DIV/0!</v>
      </c>
      <c r="P26" s="74" t="e">
        <f t="shared" si="25"/>
        <v>#DIV/0!</v>
      </c>
      <c r="Q26" s="1266" t="e">
        <f t="shared" si="25"/>
        <v>#DIV/0!</v>
      </c>
      <c r="R26" s="74">
        <f t="shared" si="25"/>
        <v>0.16592999999999994</v>
      </c>
      <c r="T26" s="56"/>
      <c r="U26" s="56"/>
      <c r="V26" s="57"/>
      <c r="W26" s="57"/>
      <c r="X26" s="57"/>
      <c r="Y26" s="58">
        <f t="shared" ref="Y26:AA26" si="27">Y25/Y12</f>
        <v>0.14352460233464864</v>
      </c>
      <c r="Z26" s="58">
        <f t="shared" si="27"/>
        <v>0.16641707225758143</v>
      </c>
      <c r="AA26" s="58" t="e">
        <f t="shared" si="27"/>
        <v>#DIV/0!</v>
      </c>
      <c r="AC26" s="355" t="e">
        <f>V26-#REF!</f>
        <v>#REF!</v>
      </c>
    </row>
    <row r="27" spans="1:30">
      <c r="A27" s="72" t="s">
        <v>178</v>
      </c>
      <c r="B27" s="74"/>
      <c r="C27" s="74">
        <f t="shared" ref="C27:E27" si="28">C26+C21</f>
        <v>0.14469012837538736</v>
      </c>
      <c r="D27" s="74" t="e">
        <f t="shared" si="28"/>
        <v>#DIV/0!</v>
      </c>
      <c r="E27" s="1266">
        <f t="shared" si="28"/>
        <v>6.5553143812782405E-2</v>
      </c>
      <c r="F27" s="74">
        <f>F26+F21</f>
        <v>0.10608324439701174</v>
      </c>
      <c r="G27" s="74">
        <f t="shared" ref="G27:R27" si="29">G26+G21</f>
        <v>0.13009635416666662</v>
      </c>
      <c r="H27" s="74">
        <f t="shared" ref="H27:I27" si="30">H26+H21</f>
        <v>0.16458403853765746</v>
      </c>
      <c r="I27" s="74">
        <f t="shared" si="30"/>
        <v>0.16873706218880663</v>
      </c>
      <c r="J27" s="560">
        <f t="shared" si="29"/>
        <v>0.16641707225758143</v>
      </c>
      <c r="K27" s="74" t="e">
        <f t="shared" si="29"/>
        <v>#DIV/0!</v>
      </c>
      <c r="L27" s="74" t="e">
        <f t="shared" si="29"/>
        <v>#DIV/0!</v>
      </c>
      <c r="M27" s="1266" t="e">
        <f t="shared" si="29"/>
        <v>#DIV/0!</v>
      </c>
      <c r="N27" s="560" t="e">
        <f t="shared" si="29"/>
        <v>#DIV/0!</v>
      </c>
      <c r="O27" s="74" t="e">
        <f t="shared" si="29"/>
        <v>#DIV/0!</v>
      </c>
      <c r="P27" s="74" t="e">
        <f t="shared" si="29"/>
        <v>#DIV/0!</v>
      </c>
      <c r="Q27" s="1266" t="e">
        <f t="shared" si="29"/>
        <v>#DIV/0!</v>
      </c>
      <c r="R27" s="74">
        <f t="shared" si="29"/>
        <v>0.16592999999999994</v>
      </c>
      <c r="T27" s="56"/>
      <c r="U27" s="56"/>
      <c r="V27" s="57"/>
      <c r="W27" s="57"/>
      <c r="X27" s="57"/>
      <c r="Y27" s="58">
        <f t="shared" ref="Y27:AA27" si="31">Y26+Y21</f>
        <v>0.14352460233464864</v>
      </c>
      <c r="Z27" s="58">
        <f t="shared" si="31"/>
        <v>0.16641707225758143</v>
      </c>
      <c r="AA27" s="58" t="e">
        <f t="shared" si="31"/>
        <v>#DIV/0!</v>
      </c>
    </row>
    <row r="28" spans="1:30">
      <c r="A28" s="4" t="s">
        <v>179</v>
      </c>
      <c r="B28" s="306"/>
      <c r="C28" s="259"/>
      <c r="D28" s="259"/>
      <c r="E28" s="1115"/>
      <c r="F28" s="306"/>
      <c r="G28" s="259"/>
      <c r="H28" s="259"/>
      <c r="I28" s="259">
        <f>I26-F26</f>
        <v>6.2653817791794894E-2</v>
      </c>
      <c r="J28" s="281"/>
      <c r="M28" s="1115"/>
      <c r="N28" s="281"/>
      <c r="Q28" s="1115"/>
      <c r="R28" s="259"/>
      <c r="T28" s="20"/>
      <c r="U28" s="20"/>
      <c r="V28" s="19"/>
      <c r="W28" s="19"/>
      <c r="X28" s="19"/>
      <c r="Y28" s="47" t="e">
        <f t="shared" ref="Y28:AA28" si="32">Y25/X25-1</f>
        <v>#DIV/0!</v>
      </c>
      <c r="Z28" s="47">
        <f t="shared" si="32"/>
        <v>-0.69250724199057467</v>
      </c>
      <c r="AA28" s="47">
        <f t="shared" si="32"/>
        <v>-1</v>
      </c>
    </row>
    <row r="29" spans="1:30">
      <c r="A29" s="72"/>
      <c r="B29" s="74"/>
      <c r="C29" s="74"/>
      <c r="D29" s="74"/>
      <c r="E29" s="75"/>
      <c r="F29" s="560"/>
      <c r="G29" s="74"/>
      <c r="H29" s="74"/>
      <c r="I29" s="74"/>
      <c r="J29" s="560"/>
      <c r="K29" s="74"/>
      <c r="L29" s="74"/>
      <c r="M29" s="1266"/>
      <c r="N29" s="560"/>
      <c r="O29" s="74"/>
      <c r="P29" s="74"/>
      <c r="Q29" s="1266"/>
      <c r="R29" s="74"/>
      <c r="T29" s="56"/>
      <c r="U29" s="56"/>
      <c r="V29" s="57"/>
      <c r="W29" s="57"/>
      <c r="X29" s="57"/>
      <c r="Y29" s="58"/>
      <c r="Z29" s="58"/>
      <c r="AA29" s="58"/>
    </row>
    <row r="30" spans="1:30">
      <c r="A30" s="4" t="s">
        <v>180</v>
      </c>
      <c r="B30" s="297"/>
      <c r="C30" s="75">
        <f>76+6</f>
        <v>82</v>
      </c>
      <c r="D30" s="75"/>
      <c r="E30" s="75">
        <v>77.91</v>
      </c>
      <c r="F30" s="297">
        <v>83</v>
      </c>
      <c r="G30" s="630">
        <f>94+11</f>
        <v>105</v>
      </c>
      <c r="H30" s="630">
        <v>83.26</v>
      </c>
      <c r="I30" s="630">
        <v>82.153999999999996</v>
      </c>
      <c r="J30" s="462">
        <v>75</v>
      </c>
      <c r="K30" s="76">
        <f t="shared" ref="K30:Q30" si="33">K12*K33</f>
        <v>0</v>
      </c>
      <c r="L30" s="76">
        <f t="shared" si="33"/>
        <v>0</v>
      </c>
      <c r="M30" s="1267">
        <f t="shared" si="33"/>
        <v>0</v>
      </c>
      <c r="N30" s="462">
        <f t="shared" si="33"/>
        <v>0</v>
      </c>
      <c r="O30" s="76">
        <f t="shared" si="33"/>
        <v>0</v>
      </c>
      <c r="P30" s="76">
        <f t="shared" si="33"/>
        <v>0</v>
      </c>
      <c r="Q30" s="1267">
        <f t="shared" si="33"/>
        <v>0</v>
      </c>
      <c r="R30" s="75">
        <f>4043-3117</f>
        <v>926</v>
      </c>
      <c r="T30" s="13"/>
      <c r="U30" s="13"/>
      <c r="V30" s="14"/>
      <c r="W30" s="14"/>
      <c r="X30" s="14"/>
      <c r="Y30" s="51">
        <f>SUM(F30:I30)</f>
        <v>353.41399999999999</v>
      </c>
      <c r="Z30" s="51">
        <f>SUM(J30:M30)</f>
        <v>75</v>
      </c>
      <c r="AA30" s="51">
        <f>SUM(N30:Q30)</f>
        <v>0</v>
      </c>
      <c r="AC30">
        <f>1688/3*4</f>
        <v>2250.6666666666665</v>
      </c>
    </row>
    <row r="31" spans="1:30">
      <c r="A31" s="4" t="s">
        <v>181</v>
      </c>
      <c r="B31" s="462"/>
      <c r="C31" s="76">
        <f t="shared" ref="C31:R31" si="34">$X$31/4</f>
        <v>0</v>
      </c>
      <c r="D31" s="76">
        <f t="shared" si="34"/>
        <v>0</v>
      </c>
      <c r="E31" s="1268">
        <f t="shared" si="34"/>
        <v>0</v>
      </c>
      <c r="F31" s="462">
        <f t="shared" si="34"/>
        <v>0</v>
      </c>
      <c r="G31" s="76">
        <f t="shared" si="34"/>
        <v>0</v>
      </c>
      <c r="H31" s="76">
        <f t="shared" si="34"/>
        <v>0</v>
      </c>
      <c r="I31" s="76">
        <f t="shared" si="34"/>
        <v>0</v>
      </c>
      <c r="J31" s="1269">
        <f t="shared" si="34"/>
        <v>0</v>
      </c>
      <c r="K31" s="77">
        <f t="shared" si="34"/>
        <v>0</v>
      </c>
      <c r="L31" s="77">
        <f t="shared" si="34"/>
        <v>0</v>
      </c>
      <c r="M31" s="1268">
        <f t="shared" si="34"/>
        <v>0</v>
      </c>
      <c r="N31" s="1269">
        <f t="shared" si="34"/>
        <v>0</v>
      </c>
      <c r="O31" s="77">
        <f t="shared" si="34"/>
        <v>0</v>
      </c>
      <c r="P31" s="77">
        <f t="shared" si="34"/>
        <v>0</v>
      </c>
      <c r="Q31" s="1268">
        <f t="shared" si="34"/>
        <v>0</v>
      </c>
      <c r="R31" s="76">
        <f t="shared" si="34"/>
        <v>0</v>
      </c>
      <c r="T31" s="13"/>
      <c r="U31" s="13"/>
      <c r="V31" s="14"/>
      <c r="W31" s="14"/>
      <c r="X31" s="14"/>
      <c r="Y31" s="51"/>
      <c r="Z31" s="51"/>
      <c r="AA31" s="51"/>
    </row>
    <row r="32" spans="1:30">
      <c r="A32" s="250" t="s">
        <v>179</v>
      </c>
      <c r="B32" s="460"/>
      <c r="C32" s="36" t="e">
        <f t="shared" ref="C32:R32" si="35">C30/B30-1</f>
        <v>#DIV/0!</v>
      </c>
      <c r="D32" s="36">
        <f t="shared" si="35"/>
        <v>-1</v>
      </c>
      <c r="E32" s="1270" t="e">
        <f t="shared" si="35"/>
        <v>#DIV/0!</v>
      </c>
      <c r="F32" s="460">
        <f t="shared" si="35"/>
        <v>6.5331793094596469E-2</v>
      </c>
      <c r="G32" s="36">
        <f>G30/F30-1</f>
        <v>0.26506024096385539</v>
      </c>
      <c r="H32" s="36">
        <f>H30/G30-1</f>
        <v>-0.20704761904761904</v>
      </c>
      <c r="I32" s="36">
        <f>I30/H30-1</f>
        <v>-1.3283689646889418E-2</v>
      </c>
      <c r="J32" s="464">
        <f t="shared" si="35"/>
        <v>-8.7080361272731666E-2</v>
      </c>
      <c r="K32" s="463">
        <f t="shared" si="35"/>
        <v>-1</v>
      </c>
      <c r="L32" s="463" t="e">
        <f t="shared" si="35"/>
        <v>#DIV/0!</v>
      </c>
      <c r="M32" s="1270" t="e">
        <f t="shared" si="35"/>
        <v>#DIV/0!</v>
      </c>
      <c r="N32" s="464" t="e">
        <f t="shared" si="35"/>
        <v>#DIV/0!</v>
      </c>
      <c r="O32" s="463" t="e">
        <f t="shared" si="35"/>
        <v>#DIV/0!</v>
      </c>
      <c r="P32" s="463" t="e">
        <f t="shared" si="35"/>
        <v>#DIV/0!</v>
      </c>
      <c r="Q32" s="1270" t="e">
        <f t="shared" si="35"/>
        <v>#DIV/0!</v>
      </c>
      <c r="R32" s="36" t="e">
        <f t="shared" si="35"/>
        <v>#DIV/0!</v>
      </c>
      <c r="T32" s="13"/>
      <c r="U32" s="13"/>
      <c r="V32" s="14"/>
      <c r="W32" s="14"/>
      <c r="X32" s="14"/>
      <c r="Y32" s="51"/>
      <c r="Z32" s="51"/>
      <c r="AA32" s="51"/>
    </row>
    <row r="33" spans="1:31">
      <c r="A33" s="250" t="s">
        <v>182</v>
      </c>
      <c r="B33" s="288"/>
      <c r="C33" s="38">
        <f t="shared" ref="C33:F33" si="36">(C30+C31)/C12</f>
        <v>1.814962372731297E-2</v>
      </c>
      <c r="D33" s="38" t="e">
        <f t="shared" si="36"/>
        <v>#DIV/0!</v>
      </c>
      <c r="E33" s="38">
        <f t="shared" si="36"/>
        <v>1.7098988019076423E-2</v>
      </c>
      <c r="F33" s="288">
        <f t="shared" si="36"/>
        <v>1.7716115261472785E-2</v>
      </c>
      <c r="G33" s="38">
        <f>(G30+G31)/G12</f>
        <v>2.1033653846153848E-2</v>
      </c>
      <c r="H33" s="38">
        <f t="shared" ref="H33:J33" si="37">(H30+H31)/H12</f>
        <v>1.6123197807585921E-2</v>
      </c>
      <c r="I33" s="38">
        <f t="shared" si="37"/>
        <v>1.5492654689406728E-2</v>
      </c>
      <c r="J33" s="1271">
        <f t="shared" si="37"/>
        <v>1.4039685511044552E-2</v>
      </c>
      <c r="K33" s="461">
        <v>2.1000000000000001E-2</v>
      </c>
      <c r="L33" s="461">
        <v>2.1000000000000001E-2</v>
      </c>
      <c r="M33" s="1272">
        <v>2.1000000000000001E-2</v>
      </c>
      <c r="N33" s="1271">
        <v>2.1000000000000001E-2</v>
      </c>
      <c r="O33" s="461">
        <v>2.1000000000000001E-2</v>
      </c>
      <c r="P33" s="461">
        <v>2.1000000000000001E-2</v>
      </c>
      <c r="Q33" s="1272">
        <v>2.1000000000000001E-2</v>
      </c>
      <c r="R33" s="38">
        <f t="shared" ref="R33" si="38">(R30+R31)/R12</f>
        <v>3.6128126097304043E-2</v>
      </c>
      <c r="T33" s="13"/>
      <c r="U33" s="13"/>
      <c r="V33" s="13"/>
      <c r="W33" s="13"/>
      <c r="X33" s="13"/>
      <c r="Y33" s="51">
        <f>Y30+Y31</f>
        <v>353.41399999999999</v>
      </c>
      <c r="Z33" s="51">
        <f t="shared" ref="Z33:AA33" si="39">Z30+Z31</f>
        <v>75</v>
      </c>
      <c r="AA33" s="51">
        <f t="shared" si="39"/>
        <v>0</v>
      </c>
    </row>
    <row r="34" spans="1:31">
      <c r="B34" s="281"/>
      <c r="E34" s="1115"/>
      <c r="F34" s="281"/>
      <c r="J34" s="281"/>
      <c r="M34" s="1115"/>
      <c r="N34" s="281"/>
      <c r="Q34" s="1115"/>
      <c r="T34" s="13"/>
      <c r="U34" s="13"/>
      <c r="V34" s="253"/>
      <c r="W34" s="253"/>
      <c r="X34" s="253"/>
      <c r="Y34" s="79">
        <f t="shared" ref="Y34:AA34" si="40">Y33/Y12*100</f>
        <v>1.7544590361709547</v>
      </c>
      <c r="Z34" s="79">
        <f t="shared" si="40"/>
        <v>1.4039685511044553</v>
      </c>
      <c r="AA34" s="79" t="e">
        <f t="shared" si="40"/>
        <v>#DIV/0!</v>
      </c>
    </row>
    <row r="35" spans="1:31" ht="15" thickBot="1">
      <c r="A35" s="80" t="s">
        <v>73</v>
      </c>
      <c r="B35" s="81"/>
      <c r="C35" s="82">
        <f t="shared" ref="C35:E35" si="41">C25-C30-C31</f>
        <v>571.71</v>
      </c>
      <c r="D35" s="82">
        <f t="shared" si="41"/>
        <v>0</v>
      </c>
      <c r="E35" s="82">
        <f t="shared" si="41"/>
        <v>220.7769999999999</v>
      </c>
      <c r="F35" s="81">
        <f>F25-F30-F31</f>
        <v>414</v>
      </c>
      <c r="G35" s="82">
        <f>G25-G30-G31</f>
        <v>544.4409999999998</v>
      </c>
      <c r="H35" s="82">
        <f>H25-H30-H31</f>
        <v>766.65000000000077</v>
      </c>
      <c r="I35" s="82">
        <f>I25-I30-I31</f>
        <v>812.62000000000035</v>
      </c>
      <c r="J35" s="81">
        <f t="shared" ref="J35:R35" si="42">J25-J30-J31</f>
        <v>814</v>
      </c>
      <c r="K35" s="82">
        <f t="shared" si="42"/>
        <v>0</v>
      </c>
      <c r="L35" s="82">
        <f t="shared" si="42"/>
        <v>0</v>
      </c>
      <c r="M35" s="83">
        <f t="shared" si="42"/>
        <v>0</v>
      </c>
      <c r="N35" s="81">
        <f t="shared" si="42"/>
        <v>0</v>
      </c>
      <c r="O35" s="82">
        <f t="shared" si="42"/>
        <v>0</v>
      </c>
      <c r="P35" s="82">
        <f t="shared" si="42"/>
        <v>0</v>
      </c>
      <c r="Q35" s="83">
        <f t="shared" si="42"/>
        <v>0</v>
      </c>
      <c r="R35" s="82">
        <f t="shared" si="42"/>
        <v>3326.9518299999982</v>
      </c>
      <c r="S35" s="84"/>
      <c r="T35" s="82"/>
      <c r="U35" s="82"/>
      <c r="V35" s="82"/>
      <c r="W35" s="82"/>
      <c r="X35" s="82"/>
      <c r="Y35" s="85">
        <f t="shared" ref="Y35:AA35" si="43">Y25-Y30-Y31</f>
        <v>2537.7110000000002</v>
      </c>
      <c r="Z35" s="85">
        <f t="shared" si="43"/>
        <v>814</v>
      </c>
      <c r="AA35" s="85">
        <f t="shared" si="43"/>
        <v>0</v>
      </c>
      <c r="AC35" s="309" t="e">
        <f>(V35/#REF!)^(1/5)-1</f>
        <v>#REF!</v>
      </c>
      <c r="AD35" s="309" t="e">
        <f>(Y35/V35)^(1/3)-1</f>
        <v>#DIV/0!</v>
      </c>
    </row>
    <row r="36" spans="1:31">
      <c r="A36" s="72" t="s">
        <v>177</v>
      </c>
      <c r="B36" s="560"/>
      <c r="C36" s="74">
        <f t="shared" ref="C36:R36" si="44">C35/C12</f>
        <v>0.12654050464807437</v>
      </c>
      <c r="D36" s="74" t="e">
        <f t="shared" si="44"/>
        <v>#DIV/0!</v>
      </c>
      <c r="E36" s="1266">
        <f t="shared" si="44"/>
        <v>4.8454155793705989E-2</v>
      </c>
      <c r="F36" s="560">
        <f t="shared" si="44"/>
        <v>8.8367129135538958E-2</v>
      </c>
      <c r="G36" s="74">
        <f t="shared" si="44"/>
        <v>0.10906270032051278</v>
      </c>
      <c r="H36" s="74">
        <f t="shared" ref="H36:I36" si="45">H35/H12</f>
        <v>0.14846084073007154</v>
      </c>
      <c r="I36" s="74">
        <f t="shared" si="45"/>
        <v>0.15324440749939991</v>
      </c>
      <c r="J36" s="560">
        <f t="shared" si="44"/>
        <v>0.15237738674653689</v>
      </c>
      <c r="K36" s="74" t="e">
        <f t="shared" si="44"/>
        <v>#DIV/0!</v>
      </c>
      <c r="L36" s="74" t="e">
        <f t="shared" si="44"/>
        <v>#DIV/0!</v>
      </c>
      <c r="M36" s="1266" t="e">
        <f t="shared" si="44"/>
        <v>#DIV/0!</v>
      </c>
      <c r="N36" s="560" t="e">
        <f t="shared" si="44"/>
        <v>#DIV/0!</v>
      </c>
      <c r="O36" s="74" t="e">
        <f t="shared" si="44"/>
        <v>#DIV/0!</v>
      </c>
      <c r="P36" s="74" t="e">
        <f t="shared" si="44"/>
        <v>#DIV/0!</v>
      </c>
      <c r="Q36" s="1266" t="e">
        <f t="shared" si="44"/>
        <v>#DIV/0!</v>
      </c>
      <c r="R36" s="74">
        <f t="shared" si="44"/>
        <v>0.12980187390269587</v>
      </c>
      <c r="T36" s="56"/>
      <c r="U36" s="56"/>
      <c r="V36" s="57"/>
      <c r="W36" s="57"/>
      <c r="X36" s="57"/>
      <c r="Y36" s="58">
        <f t="shared" ref="Y36:AA36" si="46">Y35/Y12</f>
        <v>0.12598001197293912</v>
      </c>
      <c r="Z36" s="58">
        <f t="shared" si="46"/>
        <v>0.15237738674653689</v>
      </c>
      <c r="AA36" s="58" t="e">
        <f t="shared" si="46"/>
        <v>#DIV/0!</v>
      </c>
    </row>
    <row r="37" spans="1:31">
      <c r="A37" s="4" t="s">
        <v>179</v>
      </c>
      <c r="B37" s="281"/>
      <c r="E37" s="1115"/>
      <c r="F37" s="281"/>
      <c r="J37" s="281"/>
      <c r="M37" s="1115"/>
      <c r="N37" s="281"/>
      <c r="Q37" s="1115"/>
      <c r="T37" s="20"/>
      <c r="U37" s="20"/>
      <c r="V37" s="19"/>
      <c r="W37" s="19"/>
      <c r="X37" s="19"/>
      <c r="Y37" s="47" t="e">
        <f t="shared" ref="Y37:AA37" si="47">Y35/X35-1</f>
        <v>#DIV/0!</v>
      </c>
      <c r="Z37" s="47">
        <f t="shared" si="47"/>
        <v>-0.67923849484831011</v>
      </c>
      <c r="AA37" s="47">
        <f t="shared" si="47"/>
        <v>-1</v>
      </c>
    </row>
    <row r="38" spans="1:31">
      <c r="B38" s="281"/>
      <c r="E38" s="1115"/>
      <c r="F38" s="281"/>
      <c r="J38" s="281"/>
      <c r="M38" s="1115"/>
      <c r="N38" s="281"/>
      <c r="Q38" s="1115"/>
      <c r="T38" s="13"/>
      <c r="U38" s="13"/>
      <c r="V38" s="19"/>
      <c r="W38" s="19"/>
      <c r="X38" s="19"/>
      <c r="Y38" s="47">
        <f t="shared" ref="Y38" si="48">Y39/Y35</f>
        <v>4.5050047069977624E-2</v>
      </c>
      <c r="Z38" s="47">
        <f>Z39/Z35</f>
        <v>0.69164619164619168</v>
      </c>
      <c r="AA38" s="47" t="e">
        <f>AA39/AA35</f>
        <v>#DIV/0!</v>
      </c>
    </row>
    <row r="39" spans="1:31">
      <c r="A39" s="4" t="s">
        <v>183</v>
      </c>
      <c r="B39" s="561"/>
      <c r="C39" s="627">
        <v>42</v>
      </c>
      <c r="D39" s="90"/>
      <c r="E39" s="90">
        <v>104.7</v>
      </c>
      <c r="F39" s="561">
        <v>55</v>
      </c>
      <c r="G39" s="627">
        <v>165</v>
      </c>
      <c r="H39" s="627">
        <v>41.14</v>
      </c>
      <c r="I39" s="627">
        <v>106.84</v>
      </c>
      <c r="J39" s="298">
        <f t="shared" ref="J39:Q39" si="49">J40+J41+J44+J42</f>
        <v>91</v>
      </c>
      <c r="K39" s="86">
        <f t="shared" si="49"/>
        <v>160</v>
      </c>
      <c r="L39" s="86">
        <f t="shared" si="49"/>
        <v>160</v>
      </c>
      <c r="M39" s="1273">
        <f t="shared" si="49"/>
        <v>160</v>
      </c>
      <c r="N39" s="298">
        <f t="shared" si="49"/>
        <v>160</v>
      </c>
      <c r="O39" s="86">
        <f t="shared" si="49"/>
        <v>160</v>
      </c>
      <c r="P39" s="86">
        <f t="shared" si="49"/>
        <v>160</v>
      </c>
      <c r="Q39" s="1273">
        <f t="shared" si="49"/>
        <v>160</v>
      </c>
      <c r="R39" s="627">
        <f>-2916+2578</f>
        <v>-338</v>
      </c>
      <c r="T39" s="13"/>
      <c r="U39" s="13"/>
      <c r="V39" s="335"/>
      <c r="W39" s="335"/>
      <c r="X39" s="335"/>
      <c r="Y39" s="51">
        <f t="shared" ref="Y39:AA39" si="50">Y40+Y41+Y42</f>
        <v>114.324</v>
      </c>
      <c r="Z39" s="51">
        <f t="shared" si="50"/>
        <v>563</v>
      </c>
      <c r="AA39" s="51">
        <f t="shared" si="50"/>
        <v>640</v>
      </c>
      <c r="AB39" s="321" t="e">
        <f>#REF!-#REF!</f>
        <v>#REF!</v>
      </c>
      <c r="AC39" s="321">
        <f>V39-V44</f>
        <v>0</v>
      </c>
      <c r="AD39" s="321">
        <f>W39-W44</f>
        <v>0</v>
      </c>
      <c r="AE39" s="321">
        <f>X39-X44</f>
        <v>0</v>
      </c>
    </row>
    <row r="40" spans="1:31">
      <c r="A40" s="87" t="s">
        <v>184</v>
      </c>
      <c r="B40" s="297"/>
      <c r="C40" s="75"/>
      <c r="D40" s="75"/>
      <c r="E40" s="75"/>
      <c r="F40" s="297"/>
      <c r="G40" s="75"/>
      <c r="H40" s="75"/>
      <c r="I40" s="75"/>
      <c r="J40" s="1274">
        <v>13</v>
      </c>
      <c r="K40" s="514">
        <v>160</v>
      </c>
      <c r="L40" s="514">
        <v>160</v>
      </c>
      <c r="M40" s="1275">
        <v>160</v>
      </c>
      <c r="N40" s="1274">
        <v>160</v>
      </c>
      <c r="O40" s="514">
        <v>160</v>
      </c>
      <c r="P40" s="514">
        <v>160</v>
      </c>
      <c r="Q40" s="1275">
        <v>160</v>
      </c>
      <c r="R40" s="75"/>
      <c r="T40" s="13"/>
      <c r="U40" s="13"/>
      <c r="V40" s="14"/>
      <c r="W40" s="14"/>
      <c r="X40" s="14"/>
      <c r="Y40" s="89">
        <f>SUM(F40:I40)</f>
        <v>0</v>
      </c>
      <c r="Z40" s="89">
        <f>SUM(J40:M40)</f>
        <v>493</v>
      </c>
      <c r="AA40" s="89">
        <f>SUM(N40:Q40)</f>
        <v>640</v>
      </c>
      <c r="AB40">
        <f>14369+649-973</f>
        <v>14045</v>
      </c>
    </row>
    <row r="41" spans="1:31">
      <c r="A41" s="87" t="s">
        <v>183</v>
      </c>
      <c r="B41" s="297"/>
      <c r="C41" s="75"/>
      <c r="D41" s="75"/>
      <c r="E41" s="75">
        <v>57.061</v>
      </c>
      <c r="F41" s="297"/>
      <c r="G41" s="75"/>
      <c r="H41" s="75">
        <v>53.192999999999998</v>
      </c>
      <c r="I41" s="75">
        <v>61.131</v>
      </c>
      <c r="J41" s="1276">
        <v>70</v>
      </c>
      <c r="K41" s="88"/>
      <c r="L41" s="88"/>
      <c r="M41" s="1277"/>
      <c r="N41" s="1276"/>
      <c r="O41" s="88"/>
      <c r="P41" s="88"/>
      <c r="Q41" s="1277"/>
      <c r="R41" s="75"/>
      <c r="T41" s="13"/>
      <c r="U41" s="13"/>
      <c r="V41" s="13"/>
      <c r="W41" s="13"/>
      <c r="X41" s="13"/>
      <c r="Y41" s="51">
        <f>SUM(F41:I41)</f>
        <v>114.324</v>
      </c>
      <c r="Z41" s="51">
        <f>SUM(J41:M41)</f>
        <v>70</v>
      </c>
      <c r="AA41" s="51">
        <f>SUM(N41:Q41)</f>
        <v>0</v>
      </c>
    </row>
    <row r="42" spans="1:31">
      <c r="A42" s="87" t="s">
        <v>185</v>
      </c>
      <c r="B42" s="297"/>
      <c r="C42" s="75"/>
      <c r="D42" s="75"/>
      <c r="E42" s="75"/>
      <c r="F42" s="297"/>
      <c r="G42" s="75"/>
      <c r="H42" s="75"/>
      <c r="I42" s="75"/>
      <c r="J42" s="1278"/>
      <c r="K42" s="514"/>
      <c r="L42" s="514"/>
      <c r="M42" s="1275"/>
      <c r="N42" s="1278"/>
      <c r="O42" s="514"/>
      <c r="P42" s="514"/>
      <c r="Q42" s="1275"/>
      <c r="R42" s="75"/>
      <c r="T42" s="13"/>
      <c r="U42" s="13"/>
      <c r="V42" s="14"/>
      <c r="W42" s="14"/>
      <c r="X42" s="14"/>
      <c r="Y42" s="51">
        <f>SUM(F42:I42)</f>
        <v>0</v>
      </c>
      <c r="Z42" s="51">
        <f>SUM(J42:M42)</f>
        <v>0</v>
      </c>
      <c r="AA42" s="51">
        <f>SUM(N42:Q42)</f>
        <v>0</v>
      </c>
    </row>
    <row r="43" spans="1:31">
      <c r="A43" s="87"/>
      <c r="B43" s="562"/>
      <c r="C43" s="87"/>
      <c r="D43" s="87"/>
      <c r="E43" s="1279"/>
      <c r="F43" s="562"/>
      <c r="G43" s="87"/>
      <c r="H43" s="87"/>
      <c r="I43" s="87"/>
      <c r="J43" s="562"/>
      <c r="K43" s="87"/>
      <c r="L43" s="87"/>
      <c r="M43" s="1279"/>
      <c r="N43" s="562"/>
      <c r="O43" s="87"/>
      <c r="P43" s="87"/>
      <c r="Q43" s="1279"/>
      <c r="R43" s="87"/>
      <c r="T43" s="13"/>
      <c r="U43" s="13"/>
      <c r="V43" s="13"/>
      <c r="W43" s="13"/>
      <c r="X43" s="13"/>
      <c r="Y43" s="51"/>
      <c r="Z43" s="51"/>
      <c r="AA43" s="51"/>
      <c r="AD43">
        <v>326</v>
      </c>
    </row>
    <row r="44" spans="1:31">
      <c r="A44" s="4" t="s">
        <v>186</v>
      </c>
      <c r="B44" s="297"/>
      <c r="C44" s="75"/>
      <c r="D44" s="75"/>
      <c r="E44" s="75">
        <v>10.25</v>
      </c>
      <c r="F44" s="297"/>
      <c r="G44" s="75"/>
      <c r="H44" s="75">
        <v>5.83</v>
      </c>
      <c r="I44" s="75">
        <v>8.98</v>
      </c>
      <c r="J44" s="298">
        <v>8</v>
      </c>
      <c r="K44" s="86"/>
      <c r="L44" s="86"/>
      <c r="M44" s="1273"/>
      <c r="N44" s="298"/>
      <c r="O44" s="86"/>
      <c r="P44" s="86"/>
      <c r="Q44" s="1273"/>
      <c r="R44" s="75"/>
      <c r="T44" s="13"/>
      <c r="U44" s="13"/>
      <c r="V44" s="14"/>
      <c r="W44" s="14"/>
      <c r="X44" s="14"/>
      <c r="Y44" s="51">
        <f>-'BS Consol'!H84</f>
        <v>300</v>
      </c>
      <c r="Z44" s="51">
        <f>-'BS Consol'!I84</f>
        <v>-954</v>
      </c>
      <c r="AA44" s="51">
        <f>-'BS Consol'!J84</f>
        <v>-3381.03</v>
      </c>
      <c r="AD44">
        <v>143</v>
      </c>
      <c r="AE44">
        <v>113</v>
      </c>
    </row>
    <row r="45" spans="1:31">
      <c r="B45" s="390"/>
      <c r="C45" s="568"/>
      <c r="D45" s="568"/>
      <c r="E45" s="1273"/>
      <c r="F45" s="390"/>
      <c r="G45" s="568"/>
      <c r="H45" s="568"/>
      <c r="I45" s="568"/>
      <c r="J45" s="298"/>
      <c r="K45" s="86"/>
      <c r="L45" s="86"/>
      <c r="M45" s="1273"/>
      <c r="N45" s="298"/>
      <c r="O45" s="86"/>
      <c r="P45" s="86"/>
      <c r="Q45" s="1273"/>
      <c r="R45" s="568"/>
      <c r="T45" s="13"/>
      <c r="U45" s="13"/>
      <c r="V45" s="14"/>
      <c r="W45" s="14"/>
      <c r="X45" s="14"/>
      <c r="Y45" s="51"/>
      <c r="Z45" s="51"/>
      <c r="AA45" s="51"/>
      <c r="AD45">
        <f>AD43-AD44</f>
        <v>183</v>
      </c>
    </row>
    <row r="46" spans="1:31">
      <c r="A46" s="4" t="s">
        <v>187</v>
      </c>
      <c r="B46" s="1280"/>
      <c r="E46" s="1281"/>
      <c r="F46" s="1280">
        <v>393</v>
      </c>
      <c r="G46" s="4">
        <v>144</v>
      </c>
      <c r="H46" s="4">
        <v>27</v>
      </c>
      <c r="J46" s="281"/>
      <c r="M46" s="1115"/>
      <c r="N46" s="281"/>
      <c r="Q46" s="1115"/>
      <c r="R46" s="4">
        <v>201</v>
      </c>
      <c r="T46" s="13"/>
      <c r="U46" s="13"/>
      <c r="V46" s="14"/>
      <c r="W46" s="14"/>
      <c r="X46" s="14"/>
      <c r="Y46" s="51">
        <f>SUM(F46:I46)</f>
        <v>564</v>
      </c>
      <c r="Z46" s="51"/>
      <c r="AA46" s="51"/>
    </row>
    <row r="47" spans="1:31">
      <c r="A47" s="61" t="s">
        <v>74</v>
      </c>
      <c r="B47" s="62">
        <f t="shared" ref="B47:H47" si="51">B35+B39-B44-B46+B41</f>
        <v>0</v>
      </c>
      <c r="C47" s="62">
        <f t="shared" si="51"/>
        <v>613.71</v>
      </c>
      <c r="D47" s="63">
        <f t="shared" si="51"/>
        <v>0</v>
      </c>
      <c r="E47" s="64">
        <f t="shared" si="51"/>
        <v>372.2879999999999</v>
      </c>
      <c r="F47" s="62">
        <f t="shared" si="51"/>
        <v>76</v>
      </c>
      <c r="G47" s="62">
        <f t="shared" si="51"/>
        <v>565.4409999999998</v>
      </c>
      <c r="H47" s="62">
        <f t="shared" si="51"/>
        <v>828.1530000000007</v>
      </c>
      <c r="I47" s="62">
        <f>I35+I39-I44-I46+I41</f>
        <v>971.61100000000033</v>
      </c>
      <c r="J47" s="62">
        <f t="shared" ref="J47:Q47" si="52">J35+J39-J44-J46+J41</f>
        <v>967</v>
      </c>
      <c r="K47" s="63">
        <f t="shared" si="52"/>
        <v>160</v>
      </c>
      <c r="L47" s="63">
        <f t="shared" si="52"/>
        <v>160</v>
      </c>
      <c r="M47" s="64">
        <f t="shared" si="52"/>
        <v>160</v>
      </c>
      <c r="N47" s="62">
        <f t="shared" si="52"/>
        <v>160</v>
      </c>
      <c r="O47" s="63">
        <f t="shared" si="52"/>
        <v>160</v>
      </c>
      <c r="P47" s="63">
        <f t="shared" si="52"/>
        <v>160</v>
      </c>
      <c r="Q47" s="64">
        <f t="shared" si="52"/>
        <v>160</v>
      </c>
      <c r="R47" s="62">
        <f>R35+R39-R46</f>
        <v>2787.9518299999982</v>
      </c>
      <c r="S47" s="61"/>
      <c r="T47" s="63"/>
      <c r="U47" s="63"/>
      <c r="V47" s="63"/>
      <c r="W47" s="63"/>
      <c r="X47" s="63"/>
      <c r="Y47" s="66">
        <f t="shared" ref="Y47:AA47" si="53">Y35+Y39+Y44</f>
        <v>2952.0350000000003</v>
      </c>
      <c r="Z47" s="66">
        <f t="shared" si="53"/>
        <v>423</v>
      </c>
      <c r="AA47" s="66">
        <f t="shared" si="53"/>
        <v>-2741.03</v>
      </c>
      <c r="AC47" s="309" t="e">
        <f>(V47/#REF!)^(1/5)-1</f>
        <v>#REF!</v>
      </c>
      <c r="AD47" s="309" t="e">
        <f>(Y47/V47)^(1/3)-1</f>
        <v>#DIV/0!</v>
      </c>
    </row>
    <row r="48" spans="1:31">
      <c r="B48" s="281"/>
      <c r="E48" s="1115"/>
      <c r="F48" s="281"/>
      <c r="J48" s="281"/>
      <c r="M48" s="1115"/>
      <c r="N48" s="281"/>
      <c r="Q48" s="1115"/>
      <c r="T48" s="13"/>
      <c r="U48" s="13"/>
      <c r="Y48" s="40"/>
      <c r="Z48" s="40"/>
      <c r="AA48" s="40"/>
    </row>
    <row r="49" spans="1:30">
      <c r="A49" s="4" t="s">
        <v>188</v>
      </c>
      <c r="B49" s="285"/>
      <c r="C49" s="59">
        <f t="shared" ref="C49" si="54">C50+C51+C52</f>
        <v>156</v>
      </c>
      <c r="D49" s="59">
        <f t="shared" ref="D49:G49" si="55">D50+D51+D52</f>
        <v>0</v>
      </c>
      <c r="E49" s="59">
        <f t="shared" si="55"/>
        <v>100.94</v>
      </c>
      <c r="F49" s="285">
        <f t="shared" si="55"/>
        <v>63</v>
      </c>
      <c r="G49" s="59">
        <f t="shared" si="55"/>
        <v>196</v>
      </c>
      <c r="H49" s="59">
        <f t="shared" ref="H49:J49" si="56">H50+H51+H52</f>
        <v>219.39</v>
      </c>
      <c r="I49" s="59">
        <f t="shared" si="56"/>
        <v>240.10499999999999</v>
      </c>
      <c r="J49" s="285">
        <f t="shared" si="56"/>
        <v>230</v>
      </c>
      <c r="K49" s="59">
        <f t="shared" ref="K49:Q49" si="57">K53*K47</f>
        <v>43.2</v>
      </c>
      <c r="L49" s="59">
        <f t="shared" si="57"/>
        <v>43.2</v>
      </c>
      <c r="M49" s="1263">
        <f t="shared" si="57"/>
        <v>43.2</v>
      </c>
      <c r="N49" s="285">
        <f t="shared" si="57"/>
        <v>43.2</v>
      </c>
      <c r="O49" s="59">
        <f t="shared" si="57"/>
        <v>43.2</v>
      </c>
      <c r="P49" s="59">
        <f t="shared" si="57"/>
        <v>43.2</v>
      </c>
      <c r="Q49" s="1263">
        <f t="shared" si="57"/>
        <v>43.2</v>
      </c>
      <c r="R49" s="59">
        <f t="shared" ref="R49" si="58">R50+R51+R52</f>
        <v>670</v>
      </c>
      <c r="T49" s="13"/>
      <c r="U49" s="13"/>
      <c r="V49" s="13"/>
      <c r="W49" s="13"/>
      <c r="X49" s="13"/>
      <c r="Y49" s="51">
        <f>SUM(F49:I49)</f>
        <v>718.495</v>
      </c>
      <c r="Z49" s="51">
        <f>SUM(J49:M49)</f>
        <v>359.59999999999997</v>
      </c>
      <c r="AA49" s="51">
        <f>SUM(N49:Q49)</f>
        <v>172.8</v>
      </c>
    </row>
    <row r="50" spans="1:30">
      <c r="A50" s="4" t="s">
        <v>189</v>
      </c>
      <c r="B50" s="558"/>
      <c r="C50" s="48">
        <v>156</v>
      </c>
      <c r="D50" s="48"/>
      <c r="E50" s="48">
        <v>104.31</v>
      </c>
      <c r="F50" s="558">
        <v>63</v>
      </c>
      <c r="G50" s="48">
        <v>196</v>
      </c>
      <c r="H50" s="48">
        <v>200.6</v>
      </c>
      <c r="I50" s="48">
        <v>247.39699999999999</v>
      </c>
      <c r="J50" s="285">
        <v>252</v>
      </c>
      <c r="K50" s="59"/>
      <c r="L50" s="59"/>
      <c r="M50" s="1263"/>
      <c r="N50" s="285"/>
      <c r="O50" s="59"/>
      <c r="P50" s="59"/>
      <c r="Q50" s="1263"/>
      <c r="R50" s="48">
        <f>2578-1908</f>
        <v>670</v>
      </c>
      <c r="T50" s="13"/>
      <c r="U50" s="13"/>
      <c r="V50" s="14"/>
      <c r="W50" s="14"/>
      <c r="X50" s="14"/>
      <c r="Y50" s="51"/>
      <c r="Z50" s="51"/>
      <c r="AA50" s="51"/>
    </row>
    <row r="51" spans="1:30">
      <c r="A51" s="4" t="s">
        <v>190</v>
      </c>
      <c r="B51" s="558"/>
      <c r="C51" s="48"/>
      <c r="D51" s="48"/>
      <c r="E51" s="1263"/>
      <c r="F51" s="558"/>
      <c r="G51" s="48"/>
      <c r="H51" s="48"/>
      <c r="I51" s="48"/>
      <c r="J51" s="285"/>
      <c r="K51" s="59"/>
      <c r="L51" s="59"/>
      <c r="M51" s="1263"/>
      <c r="N51" s="285"/>
      <c r="O51" s="59"/>
      <c r="P51" s="59"/>
      <c r="Q51" s="1263"/>
      <c r="R51" s="48"/>
      <c r="T51" s="13"/>
      <c r="U51" s="13"/>
      <c r="V51" s="13"/>
      <c r="W51" s="13"/>
      <c r="X51" s="13"/>
      <c r="Y51" s="51"/>
      <c r="Z51" s="51"/>
      <c r="AA51" s="51"/>
    </row>
    <row r="52" spans="1:30">
      <c r="A52" s="4" t="s">
        <v>191</v>
      </c>
      <c r="B52" s="558"/>
      <c r="C52" s="48"/>
      <c r="D52" s="48"/>
      <c r="E52" s="1263">
        <v>-3.37</v>
      </c>
      <c r="F52" s="558"/>
      <c r="G52" s="48"/>
      <c r="H52" s="48">
        <v>18.79</v>
      </c>
      <c r="I52" s="48">
        <v>-7.2919999999999998</v>
      </c>
      <c r="J52" s="285">
        <v>-22</v>
      </c>
      <c r="K52" s="59"/>
      <c r="L52" s="59"/>
      <c r="M52" s="1263"/>
      <c r="N52" s="285"/>
      <c r="O52" s="59"/>
      <c r="P52" s="59"/>
      <c r="Q52" s="1263"/>
      <c r="R52" s="48"/>
      <c r="T52" s="13"/>
      <c r="U52" s="13"/>
      <c r="V52" s="13"/>
      <c r="W52" s="13"/>
      <c r="X52" s="13"/>
      <c r="Y52" s="51"/>
      <c r="Z52" s="51"/>
      <c r="AA52" s="51"/>
    </row>
    <row r="53" spans="1:30">
      <c r="A53" s="72" t="s">
        <v>192</v>
      </c>
      <c r="B53" s="560"/>
      <c r="C53" s="74">
        <f t="shared" ref="C53" si="59">C49/C47</f>
        <v>0.25419171921591632</v>
      </c>
      <c r="D53" s="74" t="e">
        <f t="shared" ref="D53:G53" si="60">D49/D47</f>
        <v>#DIV/0!</v>
      </c>
      <c r="E53" s="74">
        <f t="shared" si="60"/>
        <v>0.27113417569193748</v>
      </c>
      <c r="F53" s="560">
        <f t="shared" si="60"/>
        <v>0.82894736842105265</v>
      </c>
      <c r="G53" s="74">
        <f t="shared" si="60"/>
        <v>0.3466320977785482</v>
      </c>
      <c r="H53" s="74">
        <f t="shared" ref="H53:J53" si="61">H49/H47</f>
        <v>0.26491481646507326</v>
      </c>
      <c r="I53" s="74">
        <f t="shared" si="61"/>
        <v>0.24712050398770691</v>
      </c>
      <c r="J53" s="1282">
        <f t="shared" si="61"/>
        <v>0.23784901758014479</v>
      </c>
      <c r="K53" s="597">
        <v>0.27</v>
      </c>
      <c r="L53" s="597">
        <v>0.27</v>
      </c>
      <c r="M53" s="1283">
        <v>0.27</v>
      </c>
      <c r="N53" s="1282">
        <v>0.27</v>
      </c>
      <c r="O53" s="597">
        <v>0.27</v>
      </c>
      <c r="P53" s="597">
        <v>0.27</v>
      </c>
      <c r="Q53" s="1283">
        <v>0.27</v>
      </c>
      <c r="R53" s="74">
        <f t="shared" ref="R53" si="62">R49/R47</f>
        <v>0.24031979060412978</v>
      </c>
      <c r="T53" s="13"/>
      <c r="U53" s="13"/>
      <c r="V53" s="56"/>
      <c r="W53" s="56"/>
      <c r="X53" s="56"/>
      <c r="Y53" s="58">
        <f t="shared" ref="Y53:AA53" si="63">Y49/Y47</f>
        <v>0.24338972945781467</v>
      </c>
      <c r="Z53" s="58">
        <f t="shared" si="63"/>
        <v>0.85011820330969257</v>
      </c>
      <c r="AA53" s="58">
        <f t="shared" si="63"/>
        <v>-6.3041995162402456E-2</v>
      </c>
    </row>
    <row r="54" spans="1:30">
      <c r="A54" s="6" t="s">
        <v>79</v>
      </c>
      <c r="B54" s="282"/>
      <c r="C54" s="43">
        <f>C47-C49</f>
        <v>457.71000000000004</v>
      </c>
      <c r="D54" s="43">
        <f t="shared" ref="D54:E54" si="64">D47-D49</f>
        <v>0</v>
      </c>
      <c r="E54" s="1259">
        <f t="shared" si="64"/>
        <v>271.3479999999999</v>
      </c>
      <c r="F54" s="282">
        <f>F47-F49</f>
        <v>13</v>
      </c>
      <c r="G54" s="43">
        <f>G47-G49</f>
        <v>369.4409999999998</v>
      </c>
      <c r="H54" s="43">
        <f>H47-H49</f>
        <v>608.76300000000072</v>
      </c>
      <c r="I54" s="43">
        <f>I47-I49</f>
        <v>731.50600000000031</v>
      </c>
      <c r="J54" s="282">
        <f t="shared" ref="J54:Q54" si="65">J47-J49</f>
        <v>737</v>
      </c>
      <c r="K54" s="43">
        <f t="shared" si="65"/>
        <v>116.8</v>
      </c>
      <c r="L54" s="43">
        <f t="shared" si="65"/>
        <v>116.8</v>
      </c>
      <c r="M54" s="1259">
        <f t="shared" si="65"/>
        <v>116.8</v>
      </c>
      <c r="N54" s="282">
        <f t="shared" si="65"/>
        <v>116.8</v>
      </c>
      <c r="O54" s="43">
        <f t="shared" si="65"/>
        <v>116.8</v>
      </c>
      <c r="P54" s="43">
        <f t="shared" si="65"/>
        <v>116.8</v>
      </c>
      <c r="Q54" s="1259">
        <f t="shared" si="65"/>
        <v>116.8</v>
      </c>
      <c r="R54" s="43">
        <f>R47-R49</f>
        <v>2117.9518299999982</v>
      </c>
      <c r="S54" s="6"/>
      <c r="T54" s="7"/>
      <c r="U54" s="7"/>
      <c r="V54" s="7"/>
      <c r="W54" s="7"/>
      <c r="X54" s="7"/>
      <c r="Y54" s="46">
        <f t="shared" ref="Y54:AA54" si="66">Y47-Y49</f>
        <v>2233.5400000000004</v>
      </c>
      <c r="Z54" s="46">
        <f t="shared" si="66"/>
        <v>63.400000000000034</v>
      </c>
      <c r="AA54" s="46">
        <f t="shared" si="66"/>
        <v>-2913.8300000000004</v>
      </c>
      <c r="AC54" s="309" t="e">
        <f>(V54/#REF!)^(1/5)-1</f>
        <v>#REF!</v>
      </c>
      <c r="AD54" s="309" t="e">
        <f>(Y54/V54)^(1/3)-1</f>
        <v>#DIV/0!</v>
      </c>
    </row>
    <row r="55" spans="1:30">
      <c r="A55" s="72"/>
      <c r="B55" s="323"/>
      <c r="C55" s="73"/>
      <c r="D55" s="73"/>
      <c r="E55" s="1284"/>
      <c r="F55" s="323"/>
      <c r="G55" s="73"/>
      <c r="H55" s="73"/>
      <c r="I55" s="73"/>
      <c r="J55" s="324"/>
      <c r="K55" s="91"/>
      <c r="L55" s="91"/>
      <c r="M55" s="1284"/>
      <c r="N55" s="324"/>
      <c r="O55" s="91"/>
      <c r="P55" s="91"/>
      <c r="Q55" s="1284"/>
      <c r="R55" s="73"/>
      <c r="T55" s="13"/>
      <c r="U55" s="13"/>
      <c r="V55" s="56"/>
      <c r="W55" s="56"/>
      <c r="X55" s="56"/>
      <c r="Y55" s="92"/>
      <c r="Z55" s="92"/>
      <c r="AA55" s="92"/>
    </row>
    <row r="56" spans="1:30">
      <c r="A56" s="4" t="s">
        <v>169</v>
      </c>
      <c r="B56" s="330"/>
      <c r="C56" s="569">
        <f>-C46</f>
        <v>0</v>
      </c>
      <c r="D56" s="569"/>
      <c r="E56" s="48"/>
      <c r="F56" s="569">
        <f>-F46</f>
        <v>-393</v>
      </c>
      <c r="G56" s="569">
        <f>-G46</f>
        <v>-144</v>
      </c>
      <c r="H56" s="569">
        <f>-H46</f>
        <v>-27</v>
      </c>
      <c r="I56" s="569"/>
      <c r="J56" s="342">
        <f>I56/I54*J54*1.11</f>
        <v>0</v>
      </c>
      <c r="K56" s="343">
        <f>J56/J54*K54*0.9</f>
        <v>0</v>
      </c>
      <c r="L56" s="343">
        <f t="shared" ref="L56:N56" si="67">K56/K54*L54</f>
        <v>0</v>
      </c>
      <c r="M56" s="1134">
        <f t="shared" si="67"/>
        <v>0</v>
      </c>
      <c r="N56" s="342">
        <f t="shared" si="67"/>
        <v>0</v>
      </c>
      <c r="O56" s="343">
        <f>N56/N54*O54*0.9</f>
        <v>0</v>
      </c>
      <c r="P56" s="343">
        <f t="shared" ref="P56:Q56" si="68">O56/O54*P54</f>
        <v>0</v>
      </c>
      <c r="Q56" s="1134">
        <f t="shared" si="68"/>
        <v>0</v>
      </c>
      <c r="R56" s="569">
        <v>50</v>
      </c>
      <c r="T56" s="13"/>
      <c r="U56" s="13"/>
      <c r="V56" s="14"/>
      <c r="W56" s="14"/>
      <c r="X56" s="14"/>
      <c r="Y56" s="51">
        <f>SUM(F56:I56)</f>
        <v>-564</v>
      </c>
      <c r="Z56" s="51">
        <f>SUM(J56:M56)</f>
        <v>0</v>
      </c>
      <c r="AA56" s="51">
        <f>SUM(N56:Q56)</f>
        <v>0</v>
      </c>
    </row>
    <row r="57" spans="1:30">
      <c r="A57" s="6" t="s">
        <v>193</v>
      </c>
      <c r="B57" s="282"/>
      <c r="C57" s="629">
        <f>C47-C49-C56</f>
        <v>457.71000000000004</v>
      </c>
      <c r="D57" s="43">
        <f t="shared" ref="D57:E57" si="69">D47-D49-D56</f>
        <v>0</v>
      </c>
      <c r="E57" s="1259">
        <f t="shared" si="69"/>
        <v>271.3479999999999</v>
      </c>
      <c r="F57" s="282">
        <f>F47-F49-F56</f>
        <v>406</v>
      </c>
      <c r="G57" s="629">
        <f>G47-G49-G56</f>
        <v>513.4409999999998</v>
      </c>
      <c r="H57" s="629">
        <f>H47-H49-H56</f>
        <v>635.76300000000072</v>
      </c>
      <c r="I57" s="629">
        <f>I47-I49-I56</f>
        <v>731.50600000000031</v>
      </c>
      <c r="J57" s="282">
        <f t="shared" ref="J57:Q57" si="70">J47-J49-J56</f>
        <v>737</v>
      </c>
      <c r="K57" s="43">
        <f t="shared" si="70"/>
        <v>116.8</v>
      </c>
      <c r="L57" s="43">
        <f t="shared" si="70"/>
        <v>116.8</v>
      </c>
      <c r="M57" s="1259">
        <f t="shared" si="70"/>
        <v>116.8</v>
      </c>
      <c r="N57" s="282">
        <f t="shared" si="70"/>
        <v>116.8</v>
      </c>
      <c r="O57" s="43">
        <f t="shared" si="70"/>
        <v>116.8</v>
      </c>
      <c r="P57" s="43">
        <f t="shared" si="70"/>
        <v>116.8</v>
      </c>
      <c r="Q57" s="1259">
        <f t="shared" si="70"/>
        <v>116.8</v>
      </c>
      <c r="R57" s="629">
        <f>R47-R49-R56</f>
        <v>2067.9518299999982</v>
      </c>
      <c r="S57" s="6"/>
      <c r="T57" s="7"/>
      <c r="U57" s="7"/>
      <c r="V57" s="7"/>
      <c r="W57" s="7"/>
      <c r="X57" s="7"/>
      <c r="Y57" s="46">
        <f t="shared" ref="Y57:AA57" si="71">Y54-Y56</f>
        <v>2797.5400000000004</v>
      </c>
      <c r="Z57" s="46">
        <f t="shared" si="71"/>
        <v>63.400000000000034</v>
      </c>
      <c r="AA57" s="46">
        <f t="shared" si="71"/>
        <v>-2913.8300000000004</v>
      </c>
      <c r="AC57" s="309" t="e">
        <f>(V57/#REF!)^(1/5)-1</f>
        <v>#REF!</v>
      </c>
      <c r="AD57" s="309" t="e">
        <f>(Y57/V57)^(1/3)-1</f>
        <v>#DIV/0!</v>
      </c>
    </row>
    <row r="58" spans="1:30">
      <c r="A58" s="4" t="s">
        <v>179</v>
      </c>
      <c r="B58" s="460"/>
      <c r="C58" s="36" t="e">
        <f t="shared" ref="C58:R58" si="72">C57/B57-1</f>
        <v>#DIV/0!</v>
      </c>
      <c r="D58" s="36">
        <f t="shared" si="72"/>
        <v>-1</v>
      </c>
      <c r="E58" s="1258" t="e">
        <f t="shared" si="72"/>
        <v>#DIV/0!</v>
      </c>
      <c r="F58" s="460">
        <f t="shared" si="72"/>
        <v>0.49623361882158767</v>
      </c>
      <c r="G58" s="36">
        <f t="shared" si="72"/>
        <v>0.26463300492610786</v>
      </c>
      <c r="H58" s="36">
        <f t="shared" si="72"/>
        <v>0.23823964194523017</v>
      </c>
      <c r="I58" s="36">
        <f t="shared" si="72"/>
        <v>0.15059542628306377</v>
      </c>
      <c r="J58" s="460">
        <f t="shared" si="72"/>
        <v>7.5105330646634272E-3</v>
      </c>
      <c r="K58" s="36">
        <f t="shared" si="72"/>
        <v>-0.84151967435549524</v>
      </c>
      <c r="L58" s="36">
        <f t="shared" si="72"/>
        <v>0</v>
      </c>
      <c r="M58" s="1258">
        <f t="shared" si="72"/>
        <v>0</v>
      </c>
      <c r="N58" s="460">
        <f t="shared" si="72"/>
        <v>0</v>
      </c>
      <c r="O58" s="36">
        <f t="shared" si="72"/>
        <v>0</v>
      </c>
      <c r="P58" s="36">
        <f t="shared" si="72"/>
        <v>0</v>
      </c>
      <c r="Q58" s="1258">
        <f t="shared" si="72"/>
        <v>0</v>
      </c>
      <c r="R58" s="36">
        <f t="shared" si="72"/>
        <v>16.705067037671217</v>
      </c>
      <c r="S58" s="17"/>
      <c r="V58" s="35"/>
      <c r="W58" s="35"/>
      <c r="X58" s="35"/>
      <c r="Y58" s="37" t="e">
        <f t="shared" ref="Y58:AA58" si="73">Y57/X57-1</f>
        <v>#DIV/0!</v>
      </c>
      <c r="Z58" s="37">
        <f t="shared" si="73"/>
        <v>-0.97733723199668276</v>
      </c>
      <c r="AA58" s="37">
        <f t="shared" si="73"/>
        <v>-46.959463722397459</v>
      </c>
    </row>
    <row r="59" spans="1:30">
      <c r="A59" s="6"/>
      <c r="B59" s="328"/>
      <c r="C59" s="570"/>
      <c r="D59" s="570"/>
      <c r="E59" s="1265"/>
      <c r="F59" s="328"/>
      <c r="G59" s="570"/>
      <c r="H59" s="570"/>
      <c r="I59" s="570"/>
      <c r="J59" s="328"/>
      <c r="K59" s="6"/>
      <c r="L59" s="6"/>
      <c r="M59" s="1265"/>
      <c r="N59" s="328"/>
      <c r="O59" s="6"/>
      <c r="P59" s="6"/>
      <c r="Q59" s="1265"/>
      <c r="R59" s="570"/>
      <c r="S59" s="6"/>
      <c r="T59" s="7"/>
      <c r="U59" s="7"/>
      <c r="V59" s="6"/>
      <c r="W59" s="6"/>
      <c r="X59" s="6"/>
      <c r="Y59" s="93"/>
      <c r="Z59" s="93"/>
      <c r="AA59" s="93"/>
    </row>
    <row r="60" spans="1:30">
      <c r="A60" s="4" t="s">
        <v>195</v>
      </c>
      <c r="B60" s="563"/>
      <c r="C60" s="563">
        <f>C57-C61</f>
        <v>-1.2899999999999636</v>
      </c>
      <c r="D60" s="94"/>
      <c r="E60" s="1285"/>
      <c r="F60" s="563">
        <f>F57-F61</f>
        <v>-1</v>
      </c>
      <c r="G60" s="563">
        <f>G57-G61</f>
        <v>-120.5590000000002</v>
      </c>
      <c r="H60" s="563">
        <f>H57-H61</f>
        <v>-20.236999999999284</v>
      </c>
      <c r="I60" s="563">
        <f>I57-I61</f>
        <v>0</v>
      </c>
      <c r="J60" s="1286">
        <f t="shared" ref="J60:Q60" si="74">I60</f>
        <v>0</v>
      </c>
      <c r="K60" s="95">
        <f t="shared" si="74"/>
        <v>0</v>
      </c>
      <c r="L60" s="95">
        <f t="shared" si="74"/>
        <v>0</v>
      </c>
      <c r="M60" s="1287">
        <f t="shared" si="74"/>
        <v>0</v>
      </c>
      <c r="N60" s="1286">
        <f t="shared" si="74"/>
        <v>0</v>
      </c>
      <c r="O60" s="95">
        <f t="shared" si="74"/>
        <v>0</v>
      </c>
      <c r="P60" s="95">
        <f t="shared" si="74"/>
        <v>0</v>
      </c>
      <c r="Q60" s="1287">
        <f t="shared" si="74"/>
        <v>0</v>
      </c>
      <c r="R60" s="94">
        <f>-(R61-R57)</f>
        <v>10.951829999998154</v>
      </c>
      <c r="T60" s="13"/>
      <c r="U60" s="13"/>
      <c r="V60" s="13"/>
      <c r="W60" s="13"/>
      <c r="X60" s="13"/>
      <c r="Y60" s="51">
        <f>SUM(F60:I60)</f>
        <v>-141.79599999999948</v>
      </c>
      <c r="Z60" s="51">
        <f>SUM(J60:M60)</f>
        <v>0</v>
      </c>
      <c r="AA60" s="51">
        <f>SUM(N60:Q60)</f>
        <v>0</v>
      </c>
    </row>
    <row r="61" spans="1:30">
      <c r="A61" s="6" t="s">
        <v>196</v>
      </c>
      <c r="B61" s="282"/>
      <c r="C61" s="557">
        <v>459</v>
      </c>
      <c r="D61" s="43">
        <f t="shared" ref="D61" si="75">D57+D60</f>
        <v>0</v>
      </c>
      <c r="E61" s="43">
        <f>E57-E60</f>
        <v>271.3479999999999</v>
      </c>
      <c r="F61" s="557">
        <v>407</v>
      </c>
      <c r="G61" s="557">
        <v>634</v>
      </c>
      <c r="H61" s="557">
        <v>656</v>
      </c>
      <c r="I61" s="557">
        <f>I57</f>
        <v>731.50600000000031</v>
      </c>
      <c r="J61" s="282">
        <f t="shared" ref="J61:Q61" si="76">J57+J60</f>
        <v>737</v>
      </c>
      <c r="K61" s="43">
        <f t="shared" si="76"/>
        <v>116.8</v>
      </c>
      <c r="L61" s="43">
        <f t="shared" si="76"/>
        <v>116.8</v>
      </c>
      <c r="M61" s="1259">
        <f t="shared" si="76"/>
        <v>116.8</v>
      </c>
      <c r="N61" s="282">
        <f t="shared" si="76"/>
        <v>116.8</v>
      </c>
      <c r="O61" s="43">
        <f t="shared" si="76"/>
        <v>116.8</v>
      </c>
      <c r="P61" s="43">
        <f t="shared" si="76"/>
        <v>116.8</v>
      </c>
      <c r="Q61" s="1259">
        <f t="shared" si="76"/>
        <v>116.8</v>
      </c>
      <c r="R61" s="557">
        <v>2057</v>
      </c>
      <c r="S61" s="6"/>
      <c r="T61" s="7"/>
      <c r="U61" s="7"/>
      <c r="V61" s="7"/>
      <c r="W61" s="7"/>
      <c r="X61" s="7"/>
      <c r="Y61" s="46">
        <f t="shared" ref="Y61:AA61" si="77">Y57+Y60</f>
        <v>2655.7440000000011</v>
      </c>
      <c r="Z61" s="46">
        <f t="shared" si="77"/>
        <v>63.400000000000034</v>
      </c>
      <c r="AA61" s="46">
        <f t="shared" si="77"/>
        <v>-2913.8300000000004</v>
      </c>
      <c r="AC61" s="46">
        <f>12630/186</f>
        <v>67.903225806451616</v>
      </c>
    </row>
    <row r="62" spans="1:30">
      <c r="A62" s="6" t="s">
        <v>197</v>
      </c>
      <c r="B62" s="564"/>
      <c r="C62" s="96">
        <f t="shared" ref="C62:R62" si="78">C61/C12</f>
        <v>0.10159362549800798</v>
      </c>
      <c r="D62" s="96" t="e">
        <f t="shared" si="78"/>
        <v>#DIV/0!</v>
      </c>
      <c r="E62" s="1288">
        <f t="shared" si="78"/>
        <v>5.9553025298425717E-2</v>
      </c>
      <c r="F62" s="564">
        <f t="shared" si="78"/>
        <v>8.6872998932764137E-2</v>
      </c>
      <c r="G62" s="96">
        <f t="shared" si="78"/>
        <v>0.12700320512820512</v>
      </c>
      <c r="H62" s="96">
        <f t="shared" ref="H62:I62" si="79">H61/H12</f>
        <v>0.12703360271170266</v>
      </c>
      <c r="I62" s="96">
        <f t="shared" si="79"/>
        <v>0.13794787668560463</v>
      </c>
      <c r="J62" s="564">
        <f t="shared" si="78"/>
        <v>0.13796330962186448</v>
      </c>
      <c r="K62" s="96" t="e">
        <f t="shared" si="78"/>
        <v>#DIV/0!</v>
      </c>
      <c r="L62" s="96" t="e">
        <f t="shared" si="78"/>
        <v>#DIV/0!</v>
      </c>
      <c r="M62" s="1288" t="e">
        <f t="shared" si="78"/>
        <v>#DIV/0!</v>
      </c>
      <c r="N62" s="564" t="e">
        <f t="shared" si="78"/>
        <v>#DIV/0!</v>
      </c>
      <c r="O62" s="96" t="e">
        <f t="shared" si="78"/>
        <v>#DIV/0!</v>
      </c>
      <c r="P62" s="96" t="e">
        <f t="shared" si="78"/>
        <v>#DIV/0!</v>
      </c>
      <c r="Q62" s="1288" t="e">
        <f t="shared" si="78"/>
        <v>#DIV/0!</v>
      </c>
      <c r="R62" s="96">
        <f t="shared" si="78"/>
        <v>8.0254379462369782E-2</v>
      </c>
      <c r="S62" s="6"/>
      <c r="T62" s="7"/>
      <c r="U62" s="7"/>
      <c r="V62" s="11"/>
      <c r="W62" s="11"/>
      <c r="X62" s="11"/>
      <c r="Y62" s="97">
        <f t="shared" ref="Y62:AA62" si="80">Y61/Y12</f>
        <v>0.13183954395006417</v>
      </c>
      <c r="Z62" s="97">
        <f t="shared" si="80"/>
        <v>1.1868214152003001E-2</v>
      </c>
      <c r="AA62" s="97" t="e">
        <f t="shared" si="80"/>
        <v>#DIV/0!</v>
      </c>
    </row>
    <row r="63" spans="1:30">
      <c r="A63" s="4" t="s">
        <v>179</v>
      </c>
      <c r="B63" s="460"/>
      <c r="C63" s="36" t="e">
        <f>C61/B61-1</f>
        <v>#DIV/0!</v>
      </c>
      <c r="D63" s="36">
        <f t="shared" ref="D63:Q63" si="81">D61/C61-1</f>
        <v>-1</v>
      </c>
      <c r="E63" s="1258" t="e">
        <f t="shared" si="81"/>
        <v>#DIV/0!</v>
      </c>
      <c r="F63" s="460">
        <f t="shared" si="81"/>
        <v>0.49991892330144383</v>
      </c>
      <c r="G63" s="36">
        <f>G61/F61-1</f>
        <v>0.55773955773955763</v>
      </c>
      <c r="H63" s="36">
        <f>H61/G61-1</f>
        <v>3.4700315457413256E-2</v>
      </c>
      <c r="I63" s="36">
        <f>I61/H61-1</f>
        <v>0.11510060975609804</v>
      </c>
      <c r="J63" s="460">
        <f t="shared" si="81"/>
        <v>7.5105330646634272E-3</v>
      </c>
      <c r="K63" s="36">
        <f t="shared" si="81"/>
        <v>-0.84151967435549524</v>
      </c>
      <c r="L63" s="36">
        <f t="shared" si="81"/>
        <v>0</v>
      </c>
      <c r="M63" s="1258">
        <f t="shared" si="81"/>
        <v>0</v>
      </c>
      <c r="N63" s="460">
        <f t="shared" si="81"/>
        <v>0</v>
      </c>
      <c r="O63" s="36">
        <f t="shared" si="81"/>
        <v>0</v>
      </c>
      <c r="P63" s="36">
        <f t="shared" si="81"/>
        <v>0</v>
      </c>
      <c r="Q63" s="1258">
        <f t="shared" si="81"/>
        <v>0</v>
      </c>
      <c r="R63" s="36">
        <f>R61/Q61-1</f>
        <v>16.611301369863014</v>
      </c>
      <c r="S63" s="17"/>
      <c r="V63" s="35"/>
      <c r="W63" s="35"/>
      <c r="X63" s="35"/>
      <c r="Y63" s="37" t="e">
        <f t="shared" ref="Y63:AA63" si="82">Y61/X61-1</f>
        <v>#DIV/0!</v>
      </c>
      <c r="Z63" s="37">
        <f t="shared" si="82"/>
        <v>-0.97612721708116446</v>
      </c>
      <c r="AA63" s="37">
        <f t="shared" si="82"/>
        <v>-46.959463722397459</v>
      </c>
    </row>
    <row r="64" spans="1:30">
      <c r="B64" s="281"/>
      <c r="E64" s="1243"/>
      <c r="F64" s="281"/>
      <c r="J64" s="281"/>
      <c r="M64" s="1115"/>
      <c r="N64" s="281"/>
      <c r="Q64" s="1115"/>
      <c r="S64" s="13"/>
      <c r="T64" s="13"/>
      <c r="U64" s="13"/>
      <c r="V64" s="368"/>
      <c r="W64" s="368"/>
      <c r="X64" s="368"/>
      <c r="Y64" s="40"/>
      <c r="Z64" s="40"/>
      <c r="AA64" s="40"/>
    </row>
    <row r="65" spans="1:28">
      <c r="A65" s="4" t="s">
        <v>198</v>
      </c>
      <c r="B65" s="285"/>
      <c r="C65" s="576"/>
      <c r="D65" s="59"/>
      <c r="E65" s="1263"/>
      <c r="F65" s="285"/>
      <c r="G65" s="576"/>
      <c r="H65" s="576"/>
      <c r="I65" s="576"/>
      <c r="J65" s="285"/>
      <c r="K65" s="59"/>
      <c r="L65" s="59"/>
      <c r="M65" s="1263"/>
      <c r="N65" s="285"/>
      <c r="O65" s="59"/>
      <c r="P65" s="59"/>
      <c r="Q65" s="1263"/>
      <c r="R65" s="576"/>
      <c r="T65" s="13"/>
      <c r="U65" s="13"/>
      <c r="V65" s="13"/>
      <c r="W65" s="13"/>
      <c r="X65" s="13"/>
      <c r="Y65" s="51" t="e">
        <f>AVERAGE(F65:I65)</f>
        <v>#DIV/0!</v>
      </c>
      <c r="Z65" s="51" t="e">
        <f>AVERAGE(J65:M65)</f>
        <v>#DIV/0!</v>
      </c>
      <c r="AA65" s="51" t="e">
        <f>AVERAGE(N65:Q65)</f>
        <v>#DIV/0!</v>
      </c>
    </row>
    <row r="66" spans="1:28">
      <c r="A66" s="4" t="s">
        <v>199</v>
      </c>
      <c r="B66" s="285"/>
      <c r="C66" s="576"/>
      <c r="D66" s="59"/>
      <c r="E66" s="1289"/>
      <c r="F66" s="285"/>
      <c r="G66" s="576"/>
      <c r="H66" s="576"/>
      <c r="I66" s="576"/>
      <c r="J66" s="285"/>
      <c r="K66" s="59"/>
      <c r="L66" s="59"/>
      <c r="M66" s="1263"/>
      <c r="N66" s="285"/>
      <c r="O66" s="59"/>
      <c r="P66" s="59"/>
      <c r="Q66" s="1263"/>
      <c r="R66" s="576"/>
      <c r="T66" s="13"/>
      <c r="U66" s="13"/>
      <c r="V66" s="13"/>
      <c r="W66" s="14"/>
      <c r="X66" s="14"/>
      <c r="Y66" s="540" t="e">
        <f>AVERAGE(F66:I66)</f>
        <v>#DIV/0!</v>
      </c>
      <c r="Z66" s="51" t="e">
        <f>AVERAGE(J66:M66)</f>
        <v>#DIV/0!</v>
      </c>
      <c r="AA66" s="51" t="e">
        <f>AVERAGE(N66:Q66)</f>
        <v>#DIV/0!</v>
      </c>
    </row>
    <row r="67" spans="1:28">
      <c r="A67" s="4" t="s">
        <v>200</v>
      </c>
      <c r="B67" s="565"/>
      <c r="C67" s="100"/>
      <c r="D67" s="100"/>
      <c r="E67" s="100"/>
      <c r="F67" s="565"/>
      <c r="G67" s="100"/>
      <c r="H67" s="100"/>
      <c r="I67" s="100"/>
      <c r="J67" s="1254"/>
      <c r="K67" s="101"/>
      <c r="L67" s="600"/>
      <c r="M67" s="1290"/>
      <c r="N67" s="1291"/>
      <c r="O67" s="600"/>
      <c r="P67" s="101"/>
      <c r="Q67" s="1292"/>
      <c r="R67" s="100"/>
      <c r="S67" s="13"/>
      <c r="T67" s="13"/>
      <c r="U67" s="13"/>
      <c r="V67" s="102"/>
      <c r="W67" s="102"/>
      <c r="X67" s="102"/>
      <c r="Y67" s="103" t="e">
        <f t="shared" ref="Y67:AA67" si="83">Y61/Y65</f>
        <v>#DIV/0!</v>
      </c>
      <c r="Z67" s="103" t="e">
        <f t="shared" si="83"/>
        <v>#DIV/0!</v>
      </c>
      <c r="AA67" s="103" t="e">
        <f t="shared" si="83"/>
        <v>#DIV/0!</v>
      </c>
    </row>
    <row r="68" spans="1:28">
      <c r="A68" s="4" t="s">
        <v>41</v>
      </c>
      <c r="B68" s="565"/>
      <c r="C68" s="100"/>
      <c r="D68" s="100"/>
      <c r="E68" s="100"/>
      <c r="F68" s="565"/>
      <c r="G68" s="100"/>
      <c r="H68" s="100"/>
      <c r="I68" s="100"/>
      <c r="J68" s="1254"/>
      <c r="K68" s="101"/>
      <c r="L68" s="101"/>
      <c r="M68" s="1292"/>
      <c r="N68" s="1254"/>
      <c r="O68" s="101"/>
      <c r="P68" s="101"/>
      <c r="Q68" s="1292"/>
      <c r="R68" s="100"/>
      <c r="S68" s="13"/>
      <c r="T68" s="13"/>
      <c r="U68" s="13"/>
      <c r="V68" s="102"/>
      <c r="W68" s="102"/>
      <c r="X68" s="102"/>
      <c r="Y68" s="103" t="e">
        <f t="shared" ref="Y68:AA68" si="84">Y61/Y66</f>
        <v>#DIV/0!</v>
      </c>
      <c r="Z68" s="103" t="e">
        <f t="shared" si="84"/>
        <v>#DIV/0!</v>
      </c>
      <c r="AA68" s="103" t="e">
        <f t="shared" si="84"/>
        <v>#DIV/0!</v>
      </c>
    </row>
    <row r="69" spans="1:28">
      <c r="B69" s="281"/>
      <c r="E69" s="1115"/>
      <c r="F69" s="281"/>
      <c r="J69" s="281"/>
      <c r="M69" s="1115"/>
      <c r="N69" s="281"/>
      <c r="Q69" s="1115"/>
      <c r="S69" s="13"/>
      <c r="T69" s="13"/>
      <c r="U69" s="13"/>
      <c r="Y69" s="40"/>
      <c r="Z69" s="40"/>
      <c r="AA69" s="40"/>
    </row>
    <row r="70" spans="1:28">
      <c r="A70" s="4" t="s">
        <v>201</v>
      </c>
      <c r="B70" s="281"/>
      <c r="E70" s="1115"/>
      <c r="F70" s="281"/>
      <c r="J70" s="281"/>
      <c r="M70" s="1115"/>
      <c r="N70" s="281"/>
      <c r="Q70" s="1115"/>
      <c r="T70" s="20"/>
      <c r="U70" s="20"/>
      <c r="V70" s="19"/>
      <c r="W70" s="19"/>
      <c r="X70" s="19"/>
      <c r="Y70" s="47" t="e">
        <f t="shared" ref="Y70:AA71" si="85">Y67/X67-1</f>
        <v>#DIV/0!</v>
      </c>
      <c r="Z70" s="47" t="e">
        <f t="shared" si="85"/>
        <v>#DIV/0!</v>
      </c>
      <c r="AA70" s="47" t="e">
        <f t="shared" si="85"/>
        <v>#DIV/0!</v>
      </c>
    </row>
    <row r="71" spans="1:28">
      <c r="A71" s="4" t="s">
        <v>202</v>
      </c>
      <c r="B71" s="281"/>
      <c r="E71" s="1115"/>
      <c r="F71" s="281"/>
      <c r="J71" s="281"/>
      <c r="M71" s="1115"/>
      <c r="N71" s="281"/>
      <c r="Q71" s="1115"/>
      <c r="T71" s="20"/>
      <c r="U71" s="20"/>
      <c r="V71" s="19"/>
      <c r="W71" s="19"/>
      <c r="X71" s="19"/>
      <c r="Y71" s="47" t="e">
        <f t="shared" si="85"/>
        <v>#DIV/0!</v>
      </c>
      <c r="Z71" s="47" t="e">
        <f t="shared" si="85"/>
        <v>#DIV/0!</v>
      </c>
      <c r="AA71" s="47" t="e">
        <f t="shared" si="85"/>
        <v>#DIV/0!</v>
      </c>
    </row>
    <row r="72" spans="1:28">
      <c r="B72" s="281"/>
      <c r="F72" s="281"/>
      <c r="J72" s="281"/>
      <c r="M72" s="1115"/>
      <c r="N72" s="281"/>
      <c r="Q72" s="1115"/>
      <c r="T72" s="20"/>
      <c r="U72" s="20"/>
      <c r="V72" s="19"/>
      <c r="W72" s="19"/>
      <c r="X72" s="19"/>
      <c r="Y72" s="47"/>
      <c r="Z72" s="47"/>
      <c r="AA72" s="47"/>
    </row>
    <row r="73" spans="1:28">
      <c r="A73" s="4" t="s">
        <v>203</v>
      </c>
      <c r="B73" s="288"/>
      <c r="C73" s="38"/>
      <c r="D73" s="38"/>
      <c r="E73" s="38"/>
      <c r="F73" s="288">
        <f t="shared" ref="F73:R73" si="86">(F12-F15)/F12</f>
        <v>0.20896478121664888</v>
      </c>
      <c r="G73" s="38">
        <f t="shared" si="86"/>
        <v>0.2535961538461538</v>
      </c>
      <c r="H73" s="38">
        <f t="shared" ref="H73:I73" si="87">(H12-H15)/H12</f>
        <v>0.26029630587832508</v>
      </c>
      <c r="I73" s="38">
        <f t="shared" si="87"/>
        <v>0.25769376048862003</v>
      </c>
      <c r="J73" s="288">
        <f t="shared" si="86"/>
        <v>0.27892175215275178</v>
      </c>
      <c r="K73" s="38" t="e">
        <f t="shared" si="86"/>
        <v>#DIV/0!</v>
      </c>
      <c r="L73" s="38" t="e">
        <f t="shared" si="86"/>
        <v>#DIV/0!</v>
      </c>
      <c r="M73" s="1243" t="e">
        <f t="shared" si="86"/>
        <v>#DIV/0!</v>
      </c>
      <c r="N73" s="288" t="e">
        <f t="shared" si="86"/>
        <v>#DIV/0!</v>
      </c>
      <c r="O73" s="38" t="e">
        <f t="shared" si="86"/>
        <v>#DIV/0!</v>
      </c>
      <c r="P73" s="38" t="e">
        <f t="shared" si="86"/>
        <v>#DIV/0!</v>
      </c>
      <c r="Q73" s="1243" t="e">
        <f t="shared" si="86"/>
        <v>#DIV/0!</v>
      </c>
      <c r="R73" s="38">
        <f t="shared" si="86"/>
        <v>0.32399999999999995</v>
      </c>
      <c r="S73" s="13"/>
      <c r="T73" s="13"/>
      <c r="U73" s="13"/>
      <c r="V73" s="19"/>
      <c r="W73" s="19"/>
      <c r="X73" s="19"/>
      <c r="Y73" s="47">
        <f t="shared" ref="Y73:AA73" si="88">(Y12-Y15)/Y12</f>
        <v>0.24601217677395765</v>
      </c>
      <c r="Z73" s="47">
        <f t="shared" si="88"/>
        <v>0.27892175215275178</v>
      </c>
      <c r="AA73" s="47" t="e">
        <f t="shared" si="88"/>
        <v>#DIV/0!</v>
      </c>
      <c r="AB73" s="355" t="e">
        <f>(V73-#REF!)*100</f>
        <v>#REF!</v>
      </c>
    </row>
    <row r="74" spans="1:28">
      <c r="A74" s="4" t="s">
        <v>178</v>
      </c>
      <c r="B74" s="288"/>
      <c r="C74" s="38"/>
      <c r="D74" s="38"/>
      <c r="E74" s="38"/>
      <c r="F74" s="288">
        <f t="shared" ref="F74:R74" si="89">(F12-F15-F18)/F12</f>
        <v>0.10608324439701174</v>
      </c>
      <c r="G74" s="38">
        <f t="shared" si="89"/>
        <v>0.13009635416666662</v>
      </c>
      <c r="H74" s="38">
        <f t="shared" ref="H74:I74" si="90">(H12-H15-H18)/H12</f>
        <v>0.16458403853765738</v>
      </c>
      <c r="I74" s="38">
        <f t="shared" si="90"/>
        <v>0.16873706218880657</v>
      </c>
      <c r="J74" s="288">
        <f t="shared" si="89"/>
        <v>0.16641707225758143</v>
      </c>
      <c r="K74" s="38" t="e">
        <f t="shared" si="89"/>
        <v>#DIV/0!</v>
      </c>
      <c r="L74" s="38" t="e">
        <f t="shared" si="89"/>
        <v>#DIV/0!</v>
      </c>
      <c r="M74" s="1243" t="e">
        <f t="shared" si="89"/>
        <v>#DIV/0!</v>
      </c>
      <c r="N74" s="288" t="e">
        <f t="shared" si="89"/>
        <v>#DIV/0!</v>
      </c>
      <c r="O74" s="38" t="e">
        <f t="shared" si="89"/>
        <v>#DIV/0!</v>
      </c>
      <c r="P74" s="38" t="e">
        <f t="shared" si="89"/>
        <v>#DIV/0!</v>
      </c>
      <c r="Q74" s="1243" t="e">
        <f t="shared" si="89"/>
        <v>#DIV/0!</v>
      </c>
      <c r="R74" s="38">
        <f t="shared" si="89"/>
        <v>0.16592999999999997</v>
      </c>
      <c r="S74" s="13"/>
      <c r="T74" s="13"/>
      <c r="U74" s="13"/>
      <c r="V74" s="19"/>
      <c r="W74" s="19"/>
      <c r="X74" s="19"/>
      <c r="Y74" s="47">
        <f t="shared" ref="Y74:AA74" si="91">(Y12-Y15-Y18)/Y12</f>
        <v>0.14352460233464867</v>
      </c>
      <c r="Z74" s="47">
        <f t="shared" si="91"/>
        <v>0.16641707225758143</v>
      </c>
      <c r="AA74" s="47" t="e">
        <f t="shared" si="91"/>
        <v>#DIV/0!</v>
      </c>
      <c r="AB74" s="355" t="e">
        <f>(V74-#REF!)*100</f>
        <v>#REF!</v>
      </c>
    </row>
    <row r="75" spans="1:28">
      <c r="A75" s="4" t="s">
        <v>51</v>
      </c>
      <c r="B75" s="288"/>
      <c r="C75" s="38"/>
      <c r="D75" s="38"/>
      <c r="E75" s="38"/>
      <c r="F75" s="288">
        <f t="shared" ref="F75:R75" si="92">F26</f>
        <v>0.10608324439701174</v>
      </c>
      <c r="G75" s="38">
        <f t="shared" si="92"/>
        <v>0.13009635416666662</v>
      </c>
      <c r="H75" s="38">
        <f t="shared" ref="H75:I75" si="93">H26</f>
        <v>0.16458403853765746</v>
      </c>
      <c r="I75" s="38">
        <f t="shared" si="93"/>
        <v>0.16873706218880663</v>
      </c>
      <c r="J75" s="288">
        <f t="shared" si="92"/>
        <v>0.16641707225758143</v>
      </c>
      <c r="K75" s="38" t="e">
        <f t="shared" si="92"/>
        <v>#DIV/0!</v>
      </c>
      <c r="L75" s="38" t="e">
        <f t="shared" si="92"/>
        <v>#DIV/0!</v>
      </c>
      <c r="M75" s="1243" t="e">
        <f t="shared" si="92"/>
        <v>#DIV/0!</v>
      </c>
      <c r="N75" s="288" t="e">
        <f t="shared" si="92"/>
        <v>#DIV/0!</v>
      </c>
      <c r="O75" s="38" t="e">
        <f t="shared" si="92"/>
        <v>#DIV/0!</v>
      </c>
      <c r="P75" s="38" t="e">
        <f t="shared" si="92"/>
        <v>#DIV/0!</v>
      </c>
      <c r="Q75" s="1243" t="e">
        <f t="shared" si="92"/>
        <v>#DIV/0!</v>
      </c>
      <c r="R75" s="38">
        <f t="shared" si="92"/>
        <v>0.16592999999999994</v>
      </c>
      <c r="S75" s="13"/>
      <c r="T75" s="13"/>
      <c r="U75" s="13"/>
      <c r="V75" s="19"/>
      <c r="W75" s="19"/>
      <c r="X75" s="19"/>
      <c r="Y75" s="47">
        <f t="shared" ref="Y75:AA75" si="94">Y26</f>
        <v>0.14352460233464864</v>
      </c>
      <c r="Z75" s="47">
        <f t="shared" si="94"/>
        <v>0.16641707225758143</v>
      </c>
      <c r="AA75" s="47" t="e">
        <f t="shared" si="94"/>
        <v>#DIV/0!</v>
      </c>
      <c r="AB75" s="355" t="e">
        <f>(V75-#REF!)*100</f>
        <v>#REF!</v>
      </c>
    </row>
    <row r="76" spans="1:28">
      <c r="A76" s="4" t="s">
        <v>204</v>
      </c>
      <c r="B76" s="288"/>
      <c r="C76" s="38"/>
      <c r="D76" s="38"/>
      <c r="E76" s="38"/>
      <c r="F76" s="288">
        <f t="shared" ref="F76:R76" si="95">F36</f>
        <v>8.8367129135538958E-2</v>
      </c>
      <c r="G76" s="38">
        <f t="shared" si="95"/>
        <v>0.10906270032051278</v>
      </c>
      <c r="H76" s="38">
        <f t="shared" ref="H76:I76" si="96">H36</f>
        <v>0.14846084073007154</v>
      </c>
      <c r="I76" s="38">
        <f t="shared" si="96"/>
        <v>0.15324440749939991</v>
      </c>
      <c r="J76" s="288">
        <f t="shared" si="95"/>
        <v>0.15237738674653689</v>
      </c>
      <c r="K76" s="38" t="e">
        <f t="shared" si="95"/>
        <v>#DIV/0!</v>
      </c>
      <c r="L76" s="38" t="e">
        <f t="shared" si="95"/>
        <v>#DIV/0!</v>
      </c>
      <c r="M76" s="1243" t="e">
        <f t="shared" si="95"/>
        <v>#DIV/0!</v>
      </c>
      <c r="N76" s="288" t="e">
        <f t="shared" si="95"/>
        <v>#DIV/0!</v>
      </c>
      <c r="O76" s="38" t="e">
        <f t="shared" si="95"/>
        <v>#DIV/0!</v>
      </c>
      <c r="P76" s="38" t="e">
        <f t="shared" si="95"/>
        <v>#DIV/0!</v>
      </c>
      <c r="Q76" s="1243" t="e">
        <f t="shared" si="95"/>
        <v>#DIV/0!</v>
      </c>
      <c r="R76" s="38">
        <f t="shared" si="95"/>
        <v>0.12980187390269587</v>
      </c>
      <c r="S76" s="13"/>
      <c r="T76" s="13"/>
      <c r="U76" s="13"/>
      <c r="V76" s="19"/>
      <c r="W76" s="19"/>
      <c r="X76" s="19"/>
      <c r="Y76" s="47">
        <f t="shared" ref="Y76:AA76" si="97">Y36</f>
        <v>0.12598001197293912</v>
      </c>
      <c r="Z76" s="47">
        <f t="shared" si="97"/>
        <v>0.15237738674653689</v>
      </c>
      <c r="AA76" s="47" t="e">
        <f t="shared" si="97"/>
        <v>#DIV/0!</v>
      </c>
      <c r="AB76" s="355" t="e">
        <f>(V76-#REF!)*100</f>
        <v>#REF!</v>
      </c>
    </row>
    <row r="77" spans="1:28">
      <c r="A77" s="4" t="s">
        <v>197</v>
      </c>
      <c r="B77" s="288"/>
      <c r="C77" s="38"/>
      <c r="D77" s="38"/>
      <c r="E77" s="38"/>
      <c r="F77" s="288">
        <f t="shared" ref="F77:R77" si="98">F62</f>
        <v>8.6872998932764137E-2</v>
      </c>
      <c r="G77" s="38">
        <f t="shared" si="98"/>
        <v>0.12700320512820512</v>
      </c>
      <c r="H77" s="38">
        <f t="shared" ref="H77:I77" si="99">H62</f>
        <v>0.12703360271170266</v>
      </c>
      <c r="I77" s="38">
        <f t="shared" si="99"/>
        <v>0.13794787668560463</v>
      </c>
      <c r="J77" s="288">
        <f t="shared" si="98"/>
        <v>0.13796330962186448</v>
      </c>
      <c r="K77" s="38" t="e">
        <f t="shared" si="98"/>
        <v>#DIV/0!</v>
      </c>
      <c r="L77" s="38" t="e">
        <f t="shared" si="98"/>
        <v>#DIV/0!</v>
      </c>
      <c r="M77" s="1243" t="e">
        <f t="shared" si="98"/>
        <v>#DIV/0!</v>
      </c>
      <c r="N77" s="288" t="e">
        <f t="shared" si="98"/>
        <v>#DIV/0!</v>
      </c>
      <c r="O77" s="38" t="e">
        <f t="shared" si="98"/>
        <v>#DIV/0!</v>
      </c>
      <c r="P77" s="38" t="e">
        <f t="shared" si="98"/>
        <v>#DIV/0!</v>
      </c>
      <c r="Q77" s="1243" t="e">
        <f t="shared" si="98"/>
        <v>#DIV/0!</v>
      </c>
      <c r="R77" s="38">
        <f t="shared" si="98"/>
        <v>8.0254379462369782E-2</v>
      </c>
      <c r="S77" s="13"/>
      <c r="T77" s="13"/>
      <c r="U77" s="13"/>
      <c r="V77" s="19"/>
      <c r="W77" s="19"/>
      <c r="X77" s="19"/>
      <c r="Y77" s="47">
        <f t="shared" ref="Y77:AA77" si="100">Y62</f>
        <v>0.13183954395006417</v>
      </c>
      <c r="Z77" s="47">
        <f t="shared" si="100"/>
        <v>1.1868214152003001E-2</v>
      </c>
      <c r="AA77" s="47" t="e">
        <f t="shared" si="100"/>
        <v>#DIV/0!</v>
      </c>
    </row>
    <row r="78" spans="1:28">
      <c r="B78" s="281"/>
      <c r="E78" s="1115"/>
      <c r="F78" s="281">
        <f>E74-F74</f>
        <v>-0.10608324439701174</v>
      </c>
      <c r="G78" s="4">
        <f>F74-G74</f>
        <v>-2.4013109769654886E-2</v>
      </c>
      <c r="H78" s="4">
        <f>G74-H74</f>
        <v>-3.4487684370990757E-2</v>
      </c>
      <c r="I78" s="4">
        <f>H74-I74</f>
        <v>-4.1530236511491958E-3</v>
      </c>
      <c r="J78" s="281"/>
      <c r="M78" s="1115"/>
      <c r="N78" s="281"/>
      <c r="Q78" s="1115"/>
      <c r="R78" s="4" t="e">
        <f>Q74-R74</f>
        <v>#DIV/0!</v>
      </c>
      <c r="S78" s="13"/>
      <c r="T78" s="13"/>
      <c r="U78" s="13"/>
      <c r="Y78" s="40"/>
      <c r="Z78" s="40"/>
      <c r="AA78" s="40"/>
    </row>
    <row r="79" spans="1:28">
      <c r="B79" s="281"/>
      <c r="C79" s="259">
        <f>C73-B73</f>
        <v>0</v>
      </c>
      <c r="D79" s="259"/>
      <c r="E79" s="1115">
        <f>16.8+2</f>
        <v>18.8</v>
      </c>
      <c r="F79" s="281"/>
      <c r="G79" s="259">
        <f>G73-F73</f>
        <v>4.4631372629504923E-2</v>
      </c>
      <c r="H79" s="259">
        <f>H73-G73</f>
        <v>6.7001520321712804E-3</v>
      </c>
      <c r="I79" s="259">
        <f>I73-H73</f>
        <v>-2.6025453897050577E-3</v>
      </c>
      <c r="J79" s="281"/>
      <c r="M79" s="1115"/>
      <c r="N79" s="281"/>
      <c r="Q79" s="1115"/>
      <c r="R79" s="259" t="e">
        <f>R73-Q73</f>
        <v>#DIV/0!</v>
      </c>
      <c r="S79" s="13"/>
      <c r="T79" s="13"/>
      <c r="U79" s="13"/>
      <c r="Y79" s="40"/>
      <c r="Z79" s="40"/>
      <c r="AA79" s="40"/>
    </row>
    <row r="80" spans="1:28">
      <c r="B80" s="281"/>
      <c r="C80" s="259"/>
      <c r="D80" s="259"/>
      <c r="E80" s="1115"/>
      <c r="F80" s="281"/>
      <c r="G80" s="259"/>
      <c r="H80" s="259"/>
      <c r="I80" s="259"/>
      <c r="J80" s="281"/>
      <c r="M80" s="1115"/>
      <c r="N80" s="281"/>
      <c r="Q80" s="1115"/>
      <c r="R80" s="259"/>
      <c r="S80" s="13"/>
      <c r="T80" s="13"/>
      <c r="U80" s="13"/>
      <c r="Y80" s="40"/>
      <c r="Z80" s="40"/>
      <c r="AA80" s="40"/>
    </row>
    <row r="81" spans="1:27">
      <c r="B81" s="281"/>
      <c r="C81" s="259"/>
      <c r="D81" s="259"/>
      <c r="E81" s="1115"/>
      <c r="F81" s="281"/>
      <c r="G81" s="259"/>
      <c r="H81" s="259"/>
      <c r="I81" s="259"/>
      <c r="J81" s="281"/>
      <c r="M81" s="1115"/>
      <c r="N81" s="281"/>
      <c r="Q81" s="1115"/>
      <c r="R81" s="259"/>
      <c r="S81" s="13"/>
      <c r="T81" s="13"/>
      <c r="U81" s="13"/>
      <c r="Y81" s="40"/>
      <c r="Z81" s="40"/>
      <c r="AA81" s="40"/>
    </row>
    <row r="82" spans="1:27" ht="15" thickBot="1">
      <c r="A82" s="116" t="s">
        <v>362</v>
      </c>
      <c r="B82" s="119"/>
      <c r="C82" s="116"/>
      <c r="D82" s="116"/>
      <c r="E82" s="118"/>
      <c r="F82" s="119"/>
      <c r="G82" s="116"/>
      <c r="H82" s="116"/>
      <c r="I82" s="116"/>
      <c r="J82" s="119"/>
      <c r="K82" s="116"/>
      <c r="L82" s="116"/>
      <c r="M82" s="118"/>
      <c r="N82" s="119"/>
      <c r="O82" s="116"/>
      <c r="P82" s="116"/>
      <c r="Q82" s="118"/>
      <c r="R82" s="116"/>
      <c r="S82" s="116"/>
      <c r="T82" s="120"/>
      <c r="U82" s="120"/>
      <c r="V82"/>
      <c r="W82"/>
      <c r="X82"/>
      <c r="Y82"/>
      <c r="Z82"/>
      <c r="AA82"/>
    </row>
    <row r="83" spans="1:27" ht="15" thickBot="1">
      <c r="A83" s="397" t="s">
        <v>611</v>
      </c>
      <c r="B83" s="400"/>
      <c r="C83" s="401">
        <f>C84*$C$5</f>
        <v>8.8998000000000008</v>
      </c>
      <c r="D83" s="401"/>
      <c r="E83" s="401"/>
      <c r="F83" s="401">
        <f>F84*$F$5</f>
        <v>10.453200000000001</v>
      </c>
      <c r="G83" s="401">
        <f>G84*$G$5</f>
        <v>11.5624</v>
      </c>
      <c r="H83" s="401">
        <f>H84*H$5</f>
        <v>12.545399999999999</v>
      </c>
      <c r="I83" s="401">
        <f>I84*I$5</f>
        <v>0</v>
      </c>
      <c r="J83" s="403">
        <f t="shared" ref="J83:Q83" si="101">I83*(1+J85%)</f>
        <v>0</v>
      </c>
      <c r="K83" s="402">
        <f t="shared" si="101"/>
        <v>0</v>
      </c>
      <c r="L83" s="402">
        <f t="shared" si="101"/>
        <v>0</v>
      </c>
      <c r="M83" s="1232">
        <f t="shared" si="101"/>
        <v>0</v>
      </c>
      <c r="N83" s="403">
        <f t="shared" si="101"/>
        <v>0</v>
      </c>
      <c r="O83" s="402">
        <f t="shared" si="101"/>
        <v>0</v>
      </c>
      <c r="P83" s="402">
        <f t="shared" si="101"/>
        <v>0</v>
      </c>
      <c r="Q83" s="1232">
        <f t="shared" si="101"/>
        <v>0</v>
      </c>
      <c r="R83" s="121"/>
      <c r="S83" s="110"/>
      <c r="V83" s="404" t="e">
        <f>SUM(#REF!)</f>
        <v>#REF!</v>
      </c>
      <c r="W83" s="404" t="e">
        <f>SUM(#REF!)</f>
        <v>#REF!</v>
      </c>
      <c r="X83" s="404">
        <f>SUM(B83:E83)</f>
        <v>8.8998000000000008</v>
      </c>
      <c r="Y83" s="404">
        <f>SUM(F83:I83)</f>
        <v>34.561</v>
      </c>
      <c r="Z83" s="404">
        <f>SUM(J83:M83)</f>
        <v>0</v>
      </c>
      <c r="AA83" s="404">
        <f>SUM(N83:Q83)</f>
        <v>0</v>
      </c>
    </row>
    <row r="84" spans="1:27">
      <c r="A84" s="147" t="s">
        <v>941</v>
      </c>
      <c r="B84" s="631"/>
      <c r="C84" s="631">
        <v>0.16300000000000001</v>
      </c>
      <c r="D84" s="631"/>
      <c r="E84" s="631"/>
      <c r="F84" s="631">
        <v>0.186</v>
      </c>
      <c r="G84" s="647">
        <v>0.19400000000000001</v>
      </c>
      <c r="H84" s="647">
        <v>0.20599999999999999</v>
      </c>
      <c r="I84" s="647">
        <v>0.20599999999999999</v>
      </c>
      <c r="J84" s="633"/>
      <c r="K84" s="632"/>
      <c r="L84" s="632"/>
      <c r="M84" s="1293"/>
      <c r="N84" s="633"/>
      <c r="O84" s="632"/>
      <c r="P84" s="632"/>
      <c r="Q84" s="1293"/>
      <c r="R84" s="407"/>
      <c r="S84" s="110"/>
      <c r="V84" s="634"/>
      <c r="W84" s="634"/>
      <c r="X84" s="634"/>
      <c r="Y84" s="634"/>
      <c r="Z84" s="634"/>
      <c r="AA84" s="634"/>
    </row>
    <row r="85" spans="1:27">
      <c r="A85" s="405" t="s">
        <v>363</v>
      </c>
      <c r="B85" s="408"/>
      <c r="C85" s="409"/>
      <c r="D85" s="409"/>
      <c r="E85" s="409"/>
      <c r="F85" s="409" t="e">
        <f>(F83/E83-1)*100</f>
        <v>#DIV/0!</v>
      </c>
      <c r="G85" s="409">
        <f>(G83/F83-1)*100</f>
        <v>10.611104733478749</v>
      </c>
      <c r="H85" s="409">
        <f>(H83/G83-1)*100</f>
        <v>8.5016951497958857</v>
      </c>
      <c r="I85" s="409">
        <f>(I83/H83-1)*100</f>
        <v>-100</v>
      </c>
      <c r="J85" s="411">
        <v>7</v>
      </c>
      <c r="K85" s="410">
        <v>8</v>
      </c>
      <c r="L85" s="410">
        <v>5</v>
      </c>
      <c r="M85" s="1233">
        <v>9</v>
      </c>
      <c r="N85" s="411">
        <v>6</v>
      </c>
      <c r="O85" s="410">
        <v>5</v>
      </c>
      <c r="P85" s="410">
        <v>4</v>
      </c>
      <c r="Q85" s="1233">
        <v>4</v>
      </c>
      <c r="R85" s="407"/>
      <c r="S85" s="110"/>
      <c r="V85" s="57" t="e">
        <f>V83/#REF!-1</f>
        <v>#REF!</v>
      </c>
      <c r="W85" s="57" t="e">
        <f t="shared" ref="W85:AA85" si="102">W83/V83-1</f>
        <v>#REF!</v>
      </c>
      <c r="X85" s="57" t="e">
        <f t="shared" si="102"/>
        <v>#REF!</v>
      </c>
      <c r="Y85" s="57">
        <f t="shared" si="102"/>
        <v>2.8833456931616439</v>
      </c>
      <c r="Z85" s="57">
        <f t="shared" si="102"/>
        <v>-1</v>
      </c>
      <c r="AA85" s="57" t="e">
        <f t="shared" si="102"/>
        <v>#DIV/0!</v>
      </c>
    </row>
    <row r="86" spans="1:27">
      <c r="A86" s="405" t="s">
        <v>339</v>
      </c>
      <c r="B86" s="408"/>
      <c r="C86" s="409"/>
      <c r="D86" s="409"/>
      <c r="E86" s="409"/>
      <c r="F86" s="409" t="e">
        <f t="shared" ref="F86:Q86" si="103">(F83/B83-1)*100</f>
        <v>#DIV/0!</v>
      </c>
      <c r="G86" s="409">
        <f t="shared" si="103"/>
        <v>29.917526236544624</v>
      </c>
      <c r="H86" s="409" t="e">
        <f t="shared" si="103"/>
        <v>#DIV/0!</v>
      </c>
      <c r="I86" s="409" t="e">
        <f t="shared" si="103"/>
        <v>#DIV/0!</v>
      </c>
      <c r="J86" s="414">
        <f t="shared" si="103"/>
        <v>-100</v>
      </c>
      <c r="K86" s="413">
        <f t="shared" si="103"/>
        <v>-100</v>
      </c>
      <c r="L86" s="413">
        <f t="shared" si="103"/>
        <v>-100</v>
      </c>
      <c r="M86" s="1041" t="e">
        <f t="shared" si="103"/>
        <v>#DIV/0!</v>
      </c>
      <c r="N86" s="414" t="e">
        <f t="shared" si="103"/>
        <v>#DIV/0!</v>
      </c>
      <c r="O86" s="413" t="e">
        <f t="shared" si="103"/>
        <v>#DIV/0!</v>
      </c>
      <c r="P86" s="413" t="e">
        <f t="shared" si="103"/>
        <v>#DIV/0!</v>
      </c>
      <c r="Q86" s="1041" t="e">
        <f t="shared" si="103"/>
        <v>#DIV/0!</v>
      </c>
      <c r="R86" s="407"/>
      <c r="S86" s="110"/>
      <c r="T86" s="412"/>
      <c r="U86" s="412"/>
      <c r="V86"/>
      <c r="W86"/>
      <c r="X86"/>
      <c r="Y86"/>
      <c r="Z86"/>
      <c r="AA86"/>
    </row>
    <row r="87" spans="1:27">
      <c r="A87" s="405" t="s">
        <v>364</v>
      </c>
      <c r="B87" s="408"/>
      <c r="C87" s="409"/>
      <c r="D87" s="409"/>
      <c r="E87" s="409"/>
      <c r="F87" s="408"/>
      <c r="G87" s="409"/>
      <c r="H87" s="409"/>
      <c r="I87" s="409"/>
      <c r="J87" s="414" t="e">
        <f t="shared" ref="J87:Q87" si="104">J83/J$124*100</f>
        <v>#DIV/0!</v>
      </c>
      <c r="K87" s="413" t="e">
        <f t="shared" si="104"/>
        <v>#DIV/0!</v>
      </c>
      <c r="L87" s="413" t="e">
        <f t="shared" si="104"/>
        <v>#DIV/0!</v>
      </c>
      <c r="M87" s="1041" t="e">
        <f t="shared" si="104"/>
        <v>#DIV/0!</v>
      </c>
      <c r="N87" s="414" t="e">
        <f t="shared" si="104"/>
        <v>#DIV/0!</v>
      </c>
      <c r="O87" s="413" t="e">
        <f t="shared" si="104"/>
        <v>#DIV/0!</v>
      </c>
      <c r="P87" s="413" t="e">
        <f t="shared" si="104"/>
        <v>#DIV/0!</v>
      </c>
      <c r="Q87" s="1041" t="e">
        <f t="shared" si="104"/>
        <v>#DIV/0!</v>
      </c>
      <c r="R87" s="407"/>
      <c r="S87" s="110"/>
      <c r="T87" s="412"/>
      <c r="U87" s="412"/>
      <c r="V87"/>
      <c r="W87"/>
      <c r="X87"/>
      <c r="Y87"/>
      <c r="Z87"/>
      <c r="AA87"/>
    </row>
    <row r="88" spans="1:27">
      <c r="A88" s="405" t="s">
        <v>365</v>
      </c>
      <c r="B88" s="408"/>
      <c r="C88" s="409"/>
      <c r="D88" s="413"/>
      <c r="E88" s="413"/>
      <c r="F88" s="408"/>
      <c r="G88" s="413">
        <v>346</v>
      </c>
      <c r="H88" s="413">
        <v>346</v>
      </c>
      <c r="I88" s="413">
        <v>346</v>
      </c>
      <c r="J88" s="414"/>
      <c r="K88" s="413"/>
      <c r="L88" s="413"/>
      <c r="M88" s="1041"/>
      <c r="N88" s="414"/>
      <c r="O88" s="413"/>
      <c r="P88" s="413"/>
      <c r="Q88" s="1041"/>
      <c r="R88" s="407"/>
      <c r="S88" s="110"/>
      <c r="T88" s="412"/>
      <c r="U88" s="412"/>
      <c r="V88"/>
      <c r="W88"/>
      <c r="X88"/>
      <c r="Y88"/>
      <c r="Z88"/>
      <c r="AA88"/>
    </row>
    <row r="89" spans="1:27">
      <c r="A89" s="110"/>
      <c r="B89" s="406"/>
      <c r="C89" s="407"/>
      <c r="D89" s="407"/>
      <c r="E89" s="407"/>
      <c r="F89" s="406"/>
      <c r="G89" s="407"/>
      <c r="H89" s="407"/>
      <c r="I89" s="407"/>
      <c r="J89" s="406"/>
      <c r="K89" s="407"/>
      <c r="L89" s="407"/>
      <c r="M89" s="1234"/>
      <c r="N89" s="406"/>
      <c r="O89" s="407"/>
      <c r="P89" s="407"/>
      <c r="Q89" s="1234"/>
      <c r="R89" s="407"/>
      <c r="S89" s="110"/>
      <c r="T89" s="412"/>
      <c r="U89" s="412"/>
      <c r="V89"/>
      <c r="W89"/>
      <c r="X89"/>
      <c r="Y89"/>
      <c r="Z89"/>
      <c r="AA89"/>
    </row>
    <row r="90" spans="1:27" ht="15" thickBot="1">
      <c r="A90" s="397" t="s">
        <v>360</v>
      </c>
      <c r="B90" s="400"/>
      <c r="C90" s="401">
        <f>C91*$C$5</f>
        <v>3.1668000000000003</v>
      </c>
      <c r="D90" s="401"/>
      <c r="E90" s="401"/>
      <c r="F90" s="401">
        <f>F91*$F$5</f>
        <v>2.9786000000000001</v>
      </c>
      <c r="G90" s="401">
        <f>G91*$G$5</f>
        <v>2.9800000000000004</v>
      </c>
      <c r="H90" s="401">
        <f>H91*H$5</f>
        <v>3.1667999999999998</v>
      </c>
      <c r="I90" s="401">
        <f>I91*I$5</f>
        <v>0</v>
      </c>
      <c r="J90" s="403">
        <f t="shared" ref="J90:Q90" si="105">I90*(1+J92%)</f>
        <v>0</v>
      </c>
      <c r="K90" s="402">
        <f t="shared" si="105"/>
        <v>0</v>
      </c>
      <c r="L90" s="402">
        <f t="shared" si="105"/>
        <v>0</v>
      </c>
      <c r="M90" s="1232">
        <f t="shared" si="105"/>
        <v>0</v>
      </c>
      <c r="N90" s="403">
        <f t="shared" si="105"/>
        <v>0</v>
      </c>
      <c r="O90" s="402">
        <f t="shared" si="105"/>
        <v>0</v>
      </c>
      <c r="P90" s="402">
        <f t="shared" si="105"/>
        <v>0</v>
      </c>
      <c r="Q90" s="1232">
        <f t="shared" si="105"/>
        <v>0</v>
      </c>
      <c r="R90" s="121"/>
      <c r="S90" s="110"/>
      <c r="V90" s="404" t="e">
        <f>SUM(#REF!)</f>
        <v>#REF!</v>
      </c>
      <c r="W90" s="404" t="e">
        <f>SUM(#REF!)</f>
        <v>#REF!</v>
      </c>
      <c r="X90" s="404">
        <f>SUM(B90:E90)</f>
        <v>3.1668000000000003</v>
      </c>
      <c r="Y90" s="404">
        <f>SUM(F90:I90)</f>
        <v>9.1254000000000008</v>
      </c>
      <c r="Z90" s="404">
        <f>SUM(J90:M90)</f>
        <v>0</v>
      </c>
      <c r="AA90" s="404">
        <f>SUM(N90:Q90)</f>
        <v>0</v>
      </c>
    </row>
    <row r="91" spans="1:27">
      <c r="A91" s="147" t="s">
        <v>941</v>
      </c>
      <c r="B91" s="631"/>
      <c r="C91" s="631">
        <v>5.8000000000000003E-2</v>
      </c>
      <c r="D91" s="631"/>
      <c r="E91" s="631"/>
      <c r="F91" s="631">
        <v>5.2999999999999999E-2</v>
      </c>
      <c r="G91" s="647">
        <v>0.05</v>
      </c>
      <c r="H91" s="647">
        <v>5.1999999999999998E-2</v>
      </c>
      <c r="I91" s="647">
        <v>5.1999999999999998E-2</v>
      </c>
      <c r="J91" s="633"/>
      <c r="K91" s="632"/>
      <c r="L91" s="632"/>
      <c r="M91" s="1293"/>
      <c r="N91" s="633"/>
      <c r="O91" s="632"/>
      <c r="P91" s="632"/>
      <c r="Q91" s="1293"/>
      <c r="R91" s="407"/>
      <c r="S91" s="110"/>
      <c r="V91" s="634"/>
      <c r="W91" s="634"/>
      <c r="X91" s="634"/>
      <c r="Y91" s="634"/>
      <c r="Z91" s="634"/>
      <c r="AA91" s="634"/>
    </row>
    <row r="92" spans="1:27">
      <c r="A92" s="405" t="s">
        <v>363</v>
      </c>
      <c r="B92" s="408"/>
      <c r="C92" s="409"/>
      <c r="D92" s="409"/>
      <c r="E92" s="409"/>
      <c r="F92" s="408"/>
      <c r="G92" s="409">
        <f>(G90/F90-1)*100</f>
        <v>4.7001947223535012E-2</v>
      </c>
      <c r="H92" s="409">
        <f>(H90/G90-1)*100</f>
        <v>6.2684563758389045</v>
      </c>
      <c r="I92" s="409">
        <f>(I90/H90-1)*100</f>
        <v>-100</v>
      </c>
      <c r="J92" s="411">
        <v>7</v>
      </c>
      <c r="K92" s="410">
        <v>6</v>
      </c>
      <c r="L92" s="410">
        <v>3</v>
      </c>
      <c r="M92" s="1233">
        <v>5</v>
      </c>
      <c r="N92" s="411">
        <v>2</v>
      </c>
      <c r="O92" s="410">
        <v>2</v>
      </c>
      <c r="P92" s="410">
        <v>1</v>
      </c>
      <c r="Q92" s="1233">
        <v>1.5</v>
      </c>
      <c r="R92" s="407"/>
      <c r="S92" s="110"/>
      <c r="V92" s="57" t="e">
        <f>V90/#REF!-1</f>
        <v>#REF!</v>
      </c>
      <c r="W92" s="57" t="e">
        <f t="shared" ref="W92:AA92" si="106">W90/V90-1</f>
        <v>#REF!</v>
      </c>
      <c r="X92" s="57" t="e">
        <f t="shared" si="106"/>
        <v>#REF!</v>
      </c>
      <c r="Y92" s="57">
        <f t="shared" si="106"/>
        <v>1.8815839333080713</v>
      </c>
      <c r="Z92" s="57">
        <f t="shared" si="106"/>
        <v>-1</v>
      </c>
      <c r="AA92" s="57" t="e">
        <f t="shared" si="106"/>
        <v>#DIV/0!</v>
      </c>
    </row>
    <row r="93" spans="1:27">
      <c r="A93" s="405" t="s">
        <v>339</v>
      </c>
      <c r="B93" s="408"/>
      <c r="C93" s="409"/>
      <c r="D93" s="409"/>
      <c r="E93" s="409"/>
      <c r="F93" s="408"/>
      <c r="G93" s="409">
        <f t="shared" ref="G93:Q93" si="107">(G90/C90-1)*100</f>
        <v>-5.8986990021472678</v>
      </c>
      <c r="H93" s="409" t="e">
        <f t="shared" si="107"/>
        <v>#DIV/0!</v>
      </c>
      <c r="I93" s="409" t="e">
        <f t="shared" si="107"/>
        <v>#DIV/0!</v>
      </c>
      <c r="J93" s="414">
        <f t="shared" si="107"/>
        <v>-100</v>
      </c>
      <c r="K93" s="413">
        <f t="shared" si="107"/>
        <v>-100</v>
      </c>
      <c r="L93" s="413">
        <f t="shared" si="107"/>
        <v>-100</v>
      </c>
      <c r="M93" s="1041" t="e">
        <f t="shared" si="107"/>
        <v>#DIV/0!</v>
      </c>
      <c r="N93" s="414" t="e">
        <f t="shared" si="107"/>
        <v>#DIV/0!</v>
      </c>
      <c r="O93" s="413" t="e">
        <f t="shared" si="107"/>
        <v>#DIV/0!</v>
      </c>
      <c r="P93" s="413" t="e">
        <f t="shared" si="107"/>
        <v>#DIV/0!</v>
      </c>
      <c r="Q93" s="1041" t="e">
        <f t="shared" si="107"/>
        <v>#DIV/0!</v>
      </c>
      <c r="R93" s="407"/>
      <c r="S93" s="110"/>
      <c r="V93" s="412"/>
      <c r="W93" s="412"/>
      <c r="X93" s="415"/>
      <c r="Y93" s="415"/>
      <c r="Z93" s="415"/>
      <c r="AA93" s="415"/>
    </row>
    <row r="94" spans="1:27">
      <c r="A94" s="110"/>
      <c r="B94" s="383"/>
      <c r="C94" s="110"/>
      <c r="D94" s="110"/>
      <c r="E94" s="110"/>
      <c r="F94" s="383"/>
      <c r="G94" s="110"/>
      <c r="H94" s="110"/>
      <c r="I94" s="110"/>
      <c r="J94" s="383"/>
      <c r="K94" s="110"/>
      <c r="L94" s="110"/>
      <c r="M94" s="1171"/>
      <c r="N94" s="383"/>
      <c r="O94" s="110"/>
      <c r="P94" s="110"/>
      <c r="Q94" s="1171"/>
      <c r="R94" s="110"/>
      <c r="S94" s="110"/>
      <c r="V94" s="110"/>
      <c r="W94" s="110"/>
      <c r="X94" s="110"/>
      <c r="Y94" s="110"/>
      <c r="Z94" s="110"/>
      <c r="AA94" s="110"/>
    </row>
    <row r="95" spans="1:27" ht="15" thickBot="1">
      <c r="A95" s="397" t="s">
        <v>612</v>
      </c>
      <c r="B95" s="400"/>
      <c r="C95" s="401">
        <f>C96*$C$5</f>
        <v>8.9544000000000015</v>
      </c>
      <c r="D95" s="401"/>
      <c r="E95" s="401"/>
      <c r="F95" s="401">
        <f>F96*$F$5</f>
        <v>10.284600000000001</v>
      </c>
      <c r="G95" s="401">
        <f>G96*$G$5</f>
        <v>11.324</v>
      </c>
      <c r="H95" s="401">
        <f>H96*H$5</f>
        <v>11.266499999999999</v>
      </c>
      <c r="I95" s="401">
        <f>I96*I$5</f>
        <v>0</v>
      </c>
      <c r="J95" s="403">
        <f t="shared" ref="J95:Q95" si="108">I95*(1+J97%)</f>
        <v>0</v>
      </c>
      <c r="K95" s="402">
        <f t="shared" si="108"/>
        <v>0</v>
      </c>
      <c r="L95" s="402">
        <f t="shared" si="108"/>
        <v>0</v>
      </c>
      <c r="M95" s="1232">
        <f t="shared" si="108"/>
        <v>0</v>
      </c>
      <c r="N95" s="403">
        <f t="shared" si="108"/>
        <v>0</v>
      </c>
      <c r="O95" s="402">
        <f t="shared" si="108"/>
        <v>0</v>
      </c>
      <c r="P95" s="402">
        <f t="shared" si="108"/>
        <v>0</v>
      </c>
      <c r="Q95" s="1232">
        <f t="shared" si="108"/>
        <v>0</v>
      </c>
      <c r="R95" s="121"/>
      <c r="S95" s="110"/>
      <c r="V95" s="404" t="e">
        <f>SUM(#REF!)</f>
        <v>#REF!</v>
      </c>
      <c r="W95" s="404" t="e">
        <f>SUM(#REF!)</f>
        <v>#REF!</v>
      </c>
      <c r="X95" s="404">
        <f>SUM(B95:E95)</f>
        <v>8.9544000000000015</v>
      </c>
      <c r="Y95" s="404">
        <f>SUM(F95:I95)</f>
        <v>32.875100000000003</v>
      </c>
      <c r="Z95" s="404">
        <f>SUM(J95:M95)</f>
        <v>0</v>
      </c>
      <c r="AA95" s="404">
        <f>SUM(N95:Q95)</f>
        <v>0</v>
      </c>
    </row>
    <row r="96" spans="1:27">
      <c r="A96" s="147" t="s">
        <v>941</v>
      </c>
      <c r="B96" s="631"/>
      <c r="C96" s="631">
        <v>0.16400000000000001</v>
      </c>
      <c r="D96" s="631"/>
      <c r="E96" s="631"/>
      <c r="F96" s="631">
        <v>0.183</v>
      </c>
      <c r="G96" s="647">
        <v>0.19</v>
      </c>
      <c r="H96" s="647">
        <v>0.185</v>
      </c>
      <c r="I96" s="647">
        <v>0.185</v>
      </c>
      <c r="J96" s="633"/>
      <c r="K96" s="632"/>
      <c r="L96" s="632"/>
      <c r="M96" s="1293"/>
      <c r="N96" s="633"/>
      <c r="O96" s="632"/>
      <c r="P96" s="632"/>
      <c r="Q96" s="1293"/>
      <c r="R96" s="407"/>
      <c r="S96" s="110"/>
      <c r="V96" s="634"/>
      <c r="W96" s="634"/>
      <c r="X96" s="634"/>
      <c r="Y96" s="634"/>
      <c r="Z96" s="634"/>
      <c r="AA96" s="634"/>
    </row>
    <row r="97" spans="1:27">
      <c r="A97" s="405" t="s">
        <v>363</v>
      </c>
      <c r="B97" s="408"/>
      <c r="C97" s="409"/>
      <c r="D97" s="409"/>
      <c r="E97" s="409"/>
      <c r="F97" s="408"/>
      <c r="G97" s="409">
        <f>(G95/F95-1)*100</f>
        <v>10.106372634813198</v>
      </c>
      <c r="H97" s="409">
        <f>(H95/G95-1)*100</f>
        <v>-0.50777110561639471</v>
      </c>
      <c r="I97" s="409">
        <f>(I95/H95-1)*100</f>
        <v>-100</v>
      </c>
      <c r="J97" s="411">
        <v>7</v>
      </c>
      <c r="K97" s="410">
        <v>6</v>
      </c>
      <c r="L97" s="410">
        <v>4</v>
      </c>
      <c r="M97" s="1233">
        <v>5</v>
      </c>
      <c r="N97" s="411">
        <v>3</v>
      </c>
      <c r="O97" s="410">
        <v>3</v>
      </c>
      <c r="P97" s="410">
        <v>2</v>
      </c>
      <c r="Q97" s="1233">
        <v>3.5</v>
      </c>
      <c r="R97" s="407"/>
      <c r="S97" s="110"/>
      <c r="V97" s="57" t="e">
        <f>V95/#REF!-1</f>
        <v>#REF!</v>
      </c>
      <c r="W97" s="57" t="e">
        <f t="shared" ref="W97:AA97" si="109">W95/V95-1</f>
        <v>#REF!</v>
      </c>
      <c r="X97" s="57" t="e">
        <f t="shared" si="109"/>
        <v>#REF!</v>
      </c>
      <c r="Y97" s="57">
        <f t="shared" si="109"/>
        <v>2.6713906012686497</v>
      </c>
      <c r="Z97" s="57">
        <f t="shared" si="109"/>
        <v>-1</v>
      </c>
      <c r="AA97" s="57" t="e">
        <f t="shared" si="109"/>
        <v>#DIV/0!</v>
      </c>
    </row>
    <row r="98" spans="1:27">
      <c r="A98" s="405" t="s">
        <v>339</v>
      </c>
      <c r="B98" s="408"/>
      <c r="C98" s="409"/>
      <c r="D98" s="409"/>
      <c r="E98" s="409"/>
      <c r="F98" s="408"/>
      <c r="G98" s="409">
        <f t="shared" ref="G98:Q98" si="110">(G95/C95-1)*100</f>
        <v>26.462967926382539</v>
      </c>
      <c r="H98" s="409" t="e">
        <f t="shared" si="110"/>
        <v>#DIV/0!</v>
      </c>
      <c r="I98" s="409" t="e">
        <f t="shared" si="110"/>
        <v>#DIV/0!</v>
      </c>
      <c r="J98" s="414">
        <f t="shared" si="110"/>
        <v>-100</v>
      </c>
      <c r="K98" s="413">
        <f t="shared" si="110"/>
        <v>-100</v>
      </c>
      <c r="L98" s="413">
        <f t="shared" si="110"/>
        <v>-100</v>
      </c>
      <c r="M98" s="1041" t="e">
        <f t="shared" si="110"/>
        <v>#DIV/0!</v>
      </c>
      <c r="N98" s="414" t="e">
        <f t="shared" si="110"/>
        <v>#DIV/0!</v>
      </c>
      <c r="O98" s="413" t="e">
        <f t="shared" si="110"/>
        <v>#DIV/0!</v>
      </c>
      <c r="P98" s="413" t="e">
        <f t="shared" si="110"/>
        <v>#DIV/0!</v>
      </c>
      <c r="Q98" s="1041" t="e">
        <f t="shared" si="110"/>
        <v>#DIV/0!</v>
      </c>
      <c r="R98" s="407"/>
      <c r="S98" s="110"/>
      <c r="V98" s="412"/>
      <c r="W98" s="412"/>
      <c r="X98" s="415"/>
      <c r="Y98" s="415"/>
      <c r="Z98" s="415"/>
      <c r="AA98" s="415"/>
    </row>
    <row r="99" spans="1:27">
      <c r="A99" s="110"/>
      <c r="B99" s="383"/>
      <c r="C99" s="110"/>
      <c r="D99" s="110"/>
      <c r="E99" s="110"/>
      <c r="F99" s="383"/>
      <c r="G99" s="110"/>
      <c r="H99" s="110"/>
      <c r="I99" s="110"/>
      <c r="J99" s="383"/>
      <c r="K99" s="110"/>
      <c r="L99" s="110"/>
      <c r="M99" s="1171"/>
      <c r="N99" s="383"/>
      <c r="O99" s="110"/>
      <c r="P99" s="110"/>
      <c r="Q99" s="1171"/>
      <c r="R99" s="110"/>
      <c r="S99" s="110"/>
      <c r="V99" s="110"/>
      <c r="W99" s="110"/>
      <c r="X99" s="110"/>
      <c r="Y99" s="110"/>
      <c r="Z99" s="110"/>
      <c r="AA99" s="110"/>
    </row>
    <row r="100" spans="1:27" ht="15" thickBot="1">
      <c r="A100" s="397" t="s">
        <v>942</v>
      </c>
      <c r="B100" s="400"/>
      <c r="C100" s="401">
        <f>C101*$C$5</f>
        <v>4.4226000000000001</v>
      </c>
      <c r="D100" s="401"/>
      <c r="E100" s="401"/>
      <c r="F100" s="401">
        <f>F101*$F$5</f>
        <v>3.9901999999999997</v>
      </c>
      <c r="G100" s="401">
        <f>G101*$G$5</f>
        <v>3.7547999999999999</v>
      </c>
      <c r="H100" s="401">
        <f>H101*H$5</f>
        <v>3.4104000000000001</v>
      </c>
      <c r="I100" s="401">
        <f>I101*I$5</f>
        <v>0</v>
      </c>
      <c r="J100" s="403">
        <f t="shared" ref="J100:Q100" si="111">I100*(1+J102%)</f>
        <v>0</v>
      </c>
      <c r="K100" s="402">
        <f t="shared" si="111"/>
        <v>0</v>
      </c>
      <c r="L100" s="402">
        <f t="shared" si="111"/>
        <v>0</v>
      </c>
      <c r="M100" s="1232">
        <f t="shared" si="111"/>
        <v>0</v>
      </c>
      <c r="N100" s="403">
        <f t="shared" si="111"/>
        <v>0</v>
      </c>
      <c r="O100" s="402">
        <f t="shared" si="111"/>
        <v>0</v>
      </c>
      <c r="P100" s="402">
        <f t="shared" si="111"/>
        <v>0</v>
      </c>
      <c r="Q100" s="1232">
        <f t="shared" si="111"/>
        <v>0</v>
      </c>
      <c r="R100" s="121"/>
      <c r="S100" s="110"/>
      <c r="V100" s="404" t="e">
        <f>SUM(#REF!)</f>
        <v>#REF!</v>
      </c>
      <c r="W100" s="404" t="e">
        <f>SUM(#REF!)</f>
        <v>#REF!</v>
      </c>
      <c r="X100" s="404">
        <f>SUM(B100:E100)</f>
        <v>4.4226000000000001</v>
      </c>
      <c r="Y100" s="404">
        <f>SUM(F100:I100)</f>
        <v>11.1554</v>
      </c>
      <c r="Z100" s="404">
        <f>SUM(J100:M100)</f>
        <v>0</v>
      </c>
      <c r="AA100" s="404">
        <f>SUM(N100:Q100)</f>
        <v>0</v>
      </c>
    </row>
    <row r="101" spans="1:27">
      <c r="A101" s="147" t="s">
        <v>941</v>
      </c>
      <c r="B101" s="631"/>
      <c r="C101" s="631">
        <v>8.1000000000000003E-2</v>
      </c>
      <c r="D101" s="631"/>
      <c r="E101" s="631"/>
      <c r="F101" s="631">
        <v>7.0999999999999994E-2</v>
      </c>
      <c r="G101" s="647">
        <v>6.3E-2</v>
      </c>
      <c r="H101" s="647">
        <v>5.6000000000000001E-2</v>
      </c>
      <c r="I101" s="647">
        <v>5.6000000000000001E-2</v>
      </c>
      <c r="J101" s="633"/>
      <c r="K101" s="632"/>
      <c r="L101" s="632"/>
      <c r="M101" s="1293"/>
      <c r="N101" s="633"/>
      <c r="O101" s="632"/>
      <c r="P101" s="632"/>
      <c r="Q101" s="1293"/>
      <c r="R101" s="407"/>
      <c r="S101" s="110"/>
      <c r="V101" s="634"/>
      <c r="W101" s="634"/>
      <c r="X101" s="634"/>
      <c r="Y101" s="634"/>
      <c r="Z101" s="634"/>
      <c r="AA101" s="634"/>
    </row>
    <row r="102" spans="1:27">
      <c r="A102" s="405" t="s">
        <v>363</v>
      </c>
      <c r="B102" s="408"/>
      <c r="C102" s="409"/>
      <c r="D102" s="409"/>
      <c r="E102" s="409"/>
      <c r="F102" s="408"/>
      <c r="G102" s="409">
        <f>(G100/F100-1)*100</f>
        <v>-5.8994536614705995</v>
      </c>
      <c r="H102" s="409">
        <f>(H100/G100-1)*100</f>
        <v>-9.1722595078299722</v>
      </c>
      <c r="I102" s="409">
        <f>(I100/H100-1)*100</f>
        <v>-100</v>
      </c>
      <c r="J102" s="411">
        <v>2</v>
      </c>
      <c r="K102" s="410">
        <v>2</v>
      </c>
      <c r="L102" s="410">
        <v>2</v>
      </c>
      <c r="M102" s="1233">
        <v>2</v>
      </c>
      <c r="N102" s="411">
        <v>4</v>
      </c>
      <c r="O102" s="410">
        <v>4</v>
      </c>
      <c r="P102" s="410">
        <v>1</v>
      </c>
      <c r="Q102" s="1233">
        <v>1</v>
      </c>
      <c r="R102" s="407"/>
      <c r="S102" s="110"/>
      <c r="V102" s="57" t="e">
        <f>V100/#REF!-1</f>
        <v>#REF!</v>
      </c>
      <c r="W102" s="57" t="e">
        <f t="shared" ref="W102:AA102" si="112">W100/V100-1</f>
        <v>#REF!</v>
      </c>
      <c r="X102" s="57" t="e">
        <f t="shared" si="112"/>
        <v>#REF!</v>
      </c>
      <c r="Y102" s="57">
        <f t="shared" si="112"/>
        <v>1.5223624112513003</v>
      </c>
      <c r="Z102" s="57">
        <f t="shared" si="112"/>
        <v>-1</v>
      </c>
      <c r="AA102" s="57" t="e">
        <f t="shared" si="112"/>
        <v>#DIV/0!</v>
      </c>
    </row>
    <row r="103" spans="1:27">
      <c r="A103" s="405" t="s">
        <v>339</v>
      </c>
      <c r="B103" s="408"/>
      <c r="C103" s="409"/>
      <c r="D103" s="409"/>
      <c r="E103" s="409"/>
      <c r="F103" s="408"/>
      <c r="G103" s="409">
        <f>(G100/C100-1)*100</f>
        <v>-15.099715099715105</v>
      </c>
      <c r="H103" s="409" t="e">
        <f>(H100/D100-1)*100</f>
        <v>#DIV/0!</v>
      </c>
      <c r="I103" s="409" t="e">
        <f>(I100/E100-1)*100</f>
        <v>#DIV/0!</v>
      </c>
      <c r="J103" s="414">
        <f t="shared" ref="J103:Q103" si="113">(J100/F100-1)*100</f>
        <v>-100</v>
      </c>
      <c r="K103" s="413">
        <f t="shared" si="113"/>
        <v>-100</v>
      </c>
      <c r="L103" s="413">
        <f t="shared" si="113"/>
        <v>-100</v>
      </c>
      <c r="M103" s="1041" t="e">
        <f t="shared" si="113"/>
        <v>#DIV/0!</v>
      </c>
      <c r="N103" s="414" t="e">
        <f t="shared" si="113"/>
        <v>#DIV/0!</v>
      </c>
      <c r="O103" s="413" t="e">
        <f t="shared" si="113"/>
        <v>#DIV/0!</v>
      </c>
      <c r="P103" s="413" t="e">
        <f t="shared" si="113"/>
        <v>#DIV/0!</v>
      </c>
      <c r="Q103" s="1041" t="e">
        <f t="shared" si="113"/>
        <v>#DIV/0!</v>
      </c>
      <c r="R103" s="407"/>
      <c r="S103" s="110"/>
      <c r="V103" s="412"/>
      <c r="W103" s="412"/>
      <c r="X103" s="415"/>
      <c r="Y103" s="415"/>
      <c r="Z103" s="415"/>
      <c r="AA103" s="415"/>
    </row>
    <row r="104" spans="1:27">
      <c r="A104" s="110"/>
      <c r="B104" s="383"/>
      <c r="C104" s="110"/>
      <c r="D104" s="110"/>
      <c r="E104" s="110"/>
      <c r="F104" s="383"/>
      <c r="G104" s="110"/>
      <c r="H104" s="110"/>
      <c r="I104" s="110"/>
      <c r="J104" s="383"/>
      <c r="K104" s="110"/>
      <c r="L104" s="110"/>
      <c r="M104" s="1171"/>
      <c r="N104" s="383"/>
      <c r="O104" s="110"/>
      <c r="P104" s="110"/>
      <c r="Q104" s="1171"/>
      <c r="R104" s="110"/>
      <c r="S104" s="110"/>
      <c r="V104" s="110"/>
      <c r="W104" s="110"/>
      <c r="X104" s="110"/>
      <c r="Y104" s="110"/>
      <c r="Z104" s="110"/>
      <c r="AA104" s="110"/>
    </row>
    <row r="105" spans="1:27" ht="15" thickBot="1">
      <c r="A105" s="397" t="s">
        <v>943</v>
      </c>
      <c r="B105" s="400"/>
      <c r="C105" s="401">
        <f>C106*$C$5</f>
        <v>29.156400000000001</v>
      </c>
      <c r="D105" s="401"/>
      <c r="E105" s="401"/>
      <c r="F105" s="401">
        <f>F106*$F$5</f>
        <v>28.549600000000002</v>
      </c>
      <c r="G105" s="401">
        <f>G106*$G$5</f>
        <v>29.9788</v>
      </c>
      <c r="H105" s="401">
        <f>H106*H$5</f>
        <v>30.5718</v>
      </c>
      <c r="I105" s="401">
        <f>I106*I$5</f>
        <v>0</v>
      </c>
      <c r="J105" s="403">
        <f t="shared" ref="J105:Q105" si="114">I105*(1+J107%)</f>
        <v>0</v>
      </c>
      <c r="K105" s="402">
        <f t="shared" si="114"/>
        <v>0</v>
      </c>
      <c r="L105" s="402">
        <f t="shared" si="114"/>
        <v>0</v>
      </c>
      <c r="M105" s="1232">
        <f t="shared" si="114"/>
        <v>0</v>
      </c>
      <c r="N105" s="403">
        <f t="shared" si="114"/>
        <v>0</v>
      </c>
      <c r="O105" s="402">
        <f t="shared" si="114"/>
        <v>0</v>
      </c>
      <c r="P105" s="402">
        <f t="shared" si="114"/>
        <v>0</v>
      </c>
      <c r="Q105" s="1232">
        <f t="shared" si="114"/>
        <v>0</v>
      </c>
      <c r="R105" s="121"/>
      <c r="S105" s="110"/>
      <c r="V105" s="404" t="e">
        <f>SUM(#REF!)</f>
        <v>#REF!</v>
      </c>
      <c r="W105" s="404" t="e">
        <f>SUM(#REF!)</f>
        <v>#REF!</v>
      </c>
      <c r="X105" s="404">
        <f>SUM(B105:E105)</f>
        <v>29.156400000000001</v>
      </c>
      <c r="Y105" s="404">
        <f>SUM(F105:I105)</f>
        <v>89.100200000000001</v>
      </c>
      <c r="Z105" s="404">
        <f>SUM(J105:M105)</f>
        <v>0</v>
      </c>
      <c r="AA105" s="404">
        <f>SUM(N105:Q105)</f>
        <v>0</v>
      </c>
    </row>
    <row r="106" spans="1:27">
      <c r="A106" s="147" t="s">
        <v>941</v>
      </c>
      <c r="B106" s="631"/>
      <c r="C106" s="631">
        <v>0.53400000000000003</v>
      </c>
      <c r="D106" s="631"/>
      <c r="E106" s="631"/>
      <c r="F106" s="631">
        <v>0.50800000000000001</v>
      </c>
      <c r="G106" s="647">
        <v>0.503</v>
      </c>
      <c r="H106" s="647">
        <v>0.502</v>
      </c>
      <c r="I106" s="647">
        <v>0.502</v>
      </c>
      <c r="J106" s="633"/>
      <c r="K106" s="632"/>
      <c r="L106" s="632"/>
      <c r="M106" s="1293"/>
      <c r="N106" s="633"/>
      <c r="O106" s="632"/>
      <c r="P106" s="632"/>
      <c r="Q106" s="1293"/>
      <c r="R106" s="407"/>
      <c r="S106" s="110"/>
      <c r="V106" s="634"/>
      <c r="W106" s="634"/>
      <c r="X106" s="634"/>
      <c r="Y106" s="634"/>
      <c r="Z106" s="634"/>
      <c r="AA106" s="634"/>
    </row>
    <row r="107" spans="1:27">
      <c r="A107" s="405" t="s">
        <v>363</v>
      </c>
      <c r="B107" s="408"/>
      <c r="C107" s="409"/>
      <c r="D107" s="409"/>
      <c r="E107" s="409"/>
      <c r="F107" s="408"/>
      <c r="G107" s="409">
        <f>(G105/F105-1)*100</f>
        <v>5.0060246027965327</v>
      </c>
      <c r="H107" s="409">
        <f>(H105/G105-1)*100</f>
        <v>1.9780644989125573</v>
      </c>
      <c r="I107" s="409">
        <f>(I105/H105-1)*100</f>
        <v>-100</v>
      </c>
      <c r="J107" s="411">
        <v>7.4</v>
      </c>
      <c r="K107" s="410">
        <v>5</v>
      </c>
      <c r="L107" s="410">
        <v>3</v>
      </c>
      <c r="M107" s="1233">
        <v>5</v>
      </c>
      <c r="N107" s="411">
        <v>4</v>
      </c>
      <c r="O107" s="410">
        <v>4</v>
      </c>
      <c r="P107" s="410">
        <v>3</v>
      </c>
      <c r="Q107" s="1233">
        <v>3</v>
      </c>
      <c r="R107" s="407"/>
      <c r="S107" s="110"/>
      <c r="V107" s="57" t="e">
        <f>V105/#REF!-1</f>
        <v>#REF!</v>
      </c>
      <c r="W107" s="57" t="e">
        <f t="shared" ref="W107:AA107" si="115">W105/V105-1</f>
        <v>#REF!</v>
      </c>
      <c r="X107" s="57" t="e">
        <f t="shared" si="115"/>
        <v>#REF!</v>
      </c>
      <c r="Y107" s="57">
        <f t="shared" si="115"/>
        <v>2.0559396907711514</v>
      </c>
      <c r="Z107" s="57">
        <f t="shared" si="115"/>
        <v>-1</v>
      </c>
      <c r="AA107" s="57" t="e">
        <f t="shared" si="115"/>
        <v>#DIV/0!</v>
      </c>
    </row>
    <row r="108" spans="1:27">
      <c r="A108" s="405" t="s">
        <v>339</v>
      </c>
      <c r="B108" s="408"/>
      <c r="C108" s="409"/>
      <c r="D108" s="409"/>
      <c r="E108" s="409"/>
      <c r="F108" s="408"/>
      <c r="G108" s="409">
        <f t="shared" ref="G108:Q108" si="116">(G105/C105-1)*100</f>
        <v>2.8206500116612521</v>
      </c>
      <c r="H108" s="409" t="e">
        <f t="shared" si="116"/>
        <v>#DIV/0!</v>
      </c>
      <c r="I108" s="409" t="e">
        <f t="shared" si="116"/>
        <v>#DIV/0!</v>
      </c>
      <c r="J108" s="414">
        <f t="shared" si="116"/>
        <v>-100</v>
      </c>
      <c r="K108" s="413">
        <f t="shared" si="116"/>
        <v>-100</v>
      </c>
      <c r="L108" s="413">
        <f t="shared" si="116"/>
        <v>-100</v>
      </c>
      <c r="M108" s="1041" t="e">
        <f t="shared" si="116"/>
        <v>#DIV/0!</v>
      </c>
      <c r="N108" s="414" t="e">
        <f t="shared" si="116"/>
        <v>#DIV/0!</v>
      </c>
      <c r="O108" s="413" t="e">
        <f t="shared" si="116"/>
        <v>#DIV/0!</v>
      </c>
      <c r="P108" s="413" t="e">
        <f t="shared" si="116"/>
        <v>#DIV/0!</v>
      </c>
      <c r="Q108" s="1041" t="e">
        <f t="shared" si="116"/>
        <v>#DIV/0!</v>
      </c>
      <c r="R108" s="407"/>
      <c r="S108" s="110"/>
      <c r="V108" s="412"/>
      <c r="W108" s="412"/>
      <c r="X108" s="415"/>
      <c r="Y108" s="415"/>
      <c r="Z108" s="415"/>
      <c r="AA108" s="415"/>
    </row>
    <row r="109" spans="1:27">
      <c r="A109" s="110"/>
      <c r="B109" s="383"/>
      <c r="C109" s="110"/>
      <c r="D109" s="110"/>
      <c r="E109" s="110"/>
      <c r="F109" s="383"/>
      <c r="G109" s="110"/>
      <c r="H109" s="110"/>
      <c r="I109" s="110"/>
      <c r="J109" s="383"/>
      <c r="K109" s="110"/>
      <c r="L109" s="110"/>
      <c r="M109" s="1171"/>
      <c r="N109" s="383"/>
      <c r="O109" s="110"/>
      <c r="P109" s="110"/>
      <c r="Q109" s="1171"/>
      <c r="R109" s="110"/>
      <c r="S109" s="110"/>
      <c r="V109" s="110"/>
      <c r="W109" s="110"/>
      <c r="X109" s="110"/>
      <c r="Y109" s="110"/>
      <c r="Z109" s="110"/>
      <c r="AA109" s="110"/>
    </row>
    <row r="110" spans="1:27" ht="15" thickBot="1">
      <c r="A110" s="416" t="s">
        <v>279</v>
      </c>
      <c r="B110" s="422">
        <f t="shared" ref="B110:Q110" si="117">B105+B100+B95+B90+B83</f>
        <v>0</v>
      </c>
      <c r="C110" s="422">
        <f t="shared" si="117"/>
        <v>54.6</v>
      </c>
      <c r="D110" s="422">
        <f t="shared" si="117"/>
        <v>0</v>
      </c>
      <c r="E110" s="422">
        <f t="shared" si="117"/>
        <v>0</v>
      </c>
      <c r="F110" s="422">
        <f t="shared" si="117"/>
        <v>56.2562</v>
      </c>
      <c r="G110" s="422">
        <f t="shared" si="117"/>
        <v>59.599999999999994</v>
      </c>
      <c r="H110" s="422">
        <f t="shared" ref="H110:I110" si="118">H105+H100+H95+H90+H83</f>
        <v>60.960900000000002</v>
      </c>
      <c r="I110" s="422">
        <f t="shared" si="118"/>
        <v>0</v>
      </c>
      <c r="J110" s="424">
        <f t="shared" si="117"/>
        <v>0</v>
      </c>
      <c r="K110" s="422">
        <f t="shared" si="117"/>
        <v>0</v>
      </c>
      <c r="L110" s="422">
        <f t="shared" si="117"/>
        <v>0</v>
      </c>
      <c r="M110" s="423">
        <f t="shared" si="117"/>
        <v>0</v>
      </c>
      <c r="N110" s="424">
        <f t="shared" si="117"/>
        <v>0</v>
      </c>
      <c r="O110" s="422">
        <f t="shared" si="117"/>
        <v>0</v>
      </c>
      <c r="P110" s="422">
        <f t="shared" si="117"/>
        <v>0</v>
      </c>
      <c r="Q110" s="423">
        <f t="shared" si="117"/>
        <v>0</v>
      </c>
      <c r="R110" s="110"/>
      <c r="S110" s="110"/>
      <c r="V110" s="425" t="e">
        <f>SUM(#REF!)</f>
        <v>#REF!</v>
      </c>
      <c r="W110" s="425" t="e">
        <f>SUM(#REF!)</f>
        <v>#REF!</v>
      </c>
      <c r="X110" s="425">
        <f>SUM(B110:E110)</f>
        <v>54.6</v>
      </c>
      <c r="Y110" s="425">
        <f>SUM(F110:I110)</f>
        <v>176.81710000000001</v>
      </c>
      <c r="Z110" s="425">
        <f>SUM(J110:M110)</f>
        <v>0</v>
      </c>
      <c r="AA110" s="425">
        <f>SUM(N110:Q110)</f>
        <v>0</v>
      </c>
    </row>
    <row r="111" spans="1:27">
      <c r="A111" s="405" t="s">
        <v>363</v>
      </c>
      <c r="B111" s="171" t="e">
        <f>B110/#REF!-1</f>
        <v>#REF!</v>
      </c>
      <c r="C111" s="171" t="e">
        <f t="shared" ref="C111:Q111" si="119">C110/B110-1</f>
        <v>#DIV/0!</v>
      </c>
      <c r="D111" s="171">
        <f t="shared" si="119"/>
        <v>-1</v>
      </c>
      <c r="E111" s="171" t="e">
        <f t="shared" si="119"/>
        <v>#DIV/0!</v>
      </c>
      <c r="F111" s="171" t="e">
        <f t="shared" si="119"/>
        <v>#DIV/0!</v>
      </c>
      <c r="G111" s="171">
        <f>G110/F110-1</f>
        <v>5.9438781858710543E-2</v>
      </c>
      <c r="H111" s="171">
        <f>H110/G110-1</f>
        <v>2.2833892617449836E-2</v>
      </c>
      <c r="I111" s="171">
        <f>I110/H110-1</f>
        <v>-1</v>
      </c>
      <c r="J111" s="379" t="e">
        <f t="shared" si="119"/>
        <v>#DIV/0!</v>
      </c>
      <c r="K111" s="171" t="e">
        <f t="shared" si="119"/>
        <v>#DIV/0!</v>
      </c>
      <c r="L111" s="171" t="e">
        <f t="shared" si="119"/>
        <v>#DIV/0!</v>
      </c>
      <c r="M111" s="426" t="e">
        <f t="shared" si="119"/>
        <v>#DIV/0!</v>
      </c>
      <c r="N111" s="379" t="e">
        <f t="shared" si="119"/>
        <v>#DIV/0!</v>
      </c>
      <c r="O111" s="171" t="e">
        <f t="shared" si="119"/>
        <v>#DIV/0!</v>
      </c>
      <c r="P111" s="171" t="e">
        <f t="shared" si="119"/>
        <v>#DIV/0!</v>
      </c>
      <c r="Q111" s="426" t="e">
        <f t="shared" si="119"/>
        <v>#DIV/0!</v>
      </c>
      <c r="R111" s="110"/>
      <c r="S111" s="110"/>
      <c r="V111" s="57" t="e">
        <f>V110/#REF!-1</f>
        <v>#REF!</v>
      </c>
      <c r="W111" s="57" t="e">
        <f t="shared" ref="W111:AA111" si="120">W110/V110-1</f>
        <v>#REF!</v>
      </c>
      <c r="X111" s="57" t="e">
        <f t="shared" si="120"/>
        <v>#REF!</v>
      </c>
      <c r="Y111" s="57">
        <f t="shared" si="120"/>
        <v>2.2384084249084251</v>
      </c>
      <c r="Z111" s="57">
        <f t="shared" si="120"/>
        <v>-1</v>
      </c>
      <c r="AA111" s="57" t="e">
        <f t="shared" si="120"/>
        <v>#DIV/0!</v>
      </c>
    </row>
    <row r="112" spans="1:27">
      <c r="A112" s="405" t="s">
        <v>339</v>
      </c>
      <c r="B112" s="171" t="e">
        <f>B110/#REF!-1</f>
        <v>#REF!</v>
      </c>
      <c r="C112" s="171" t="e">
        <f>C110/#REF!-1</f>
        <v>#REF!</v>
      </c>
      <c r="D112" s="171" t="e">
        <f>D110/#REF!-1</f>
        <v>#REF!</v>
      </c>
      <c r="E112" s="171" t="e">
        <f>E110/#REF!-1</f>
        <v>#REF!</v>
      </c>
      <c r="F112" s="171" t="e">
        <f t="shared" ref="F112:Q112" si="121">F110/B110-1</f>
        <v>#DIV/0!</v>
      </c>
      <c r="G112" s="171">
        <f>G110/C110-1</f>
        <v>9.1575091575091472E-2</v>
      </c>
      <c r="H112" s="171" t="e">
        <f>H110/D110-1</f>
        <v>#DIV/0!</v>
      </c>
      <c r="I112" s="171" t="e">
        <f>I110/E110-1</f>
        <v>#DIV/0!</v>
      </c>
      <c r="J112" s="379">
        <f t="shared" si="121"/>
        <v>-1</v>
      </c>
      <c r="K112" s="171">
        <f t="shared" si="121"/>
        <v>-1</v>
      </c>
      <c r="L112" s="171">
        <f t="shared" si="121"/>
        <v>-1</v>
      </c>
      <c r="M112" s="1223" t="e">
        <f t="shared" si="121"/>
        <v>#DIV/0!</v>
      </c>
      <c r="N112" s="379" t="e">
        <f t="shared" si="121"/>
        <v>#DIV/0!</v>
      </c>
      <c r="O112" s="171" t="e">
        <f t="shared" si="121"/>
        <v>#DIV/0!</v>
      </c>
      <c r="P112" s="171" t="e">
        <f t="shared" si="121"/>
        <v>#DIV/0!</v>
      </c>
      <c r="Q112" s="1223" t="e">
        <f t="shared" si="121"/>
        <v>#DIV/0!</v>
      </c>
      <c r="R112" s="110"/>
      <c r="S112" s="110"/>
      <c r="T112" s="110"/>
      <c r="U112" s="110"/>
      <c r="V112"/>
      <c r="W112"/>
      <c r="X112"/>
      <c r="Y112">
        <v>117</v>
      </c>
      <c r="Z112"/>
      <c r="AA112"/>
    </row>
    <row r="113" spans="1:27">
      <c r="A113" s="110"/>
      <c r="B113" s="383"/>
      <c r="C113" s="110"/>
      <c r="D113" s="110"/>
      <c r="E113" s="110"/>
      <c r="F113" s="383"/>
      <c r="G113" s="110"/>
      <c r="H113" s="110"/>
      <c r="I113" s="110"/>
      <c r="J113" s="383"/>
      <c r="K113" s="110"/>
      <c r="L113" s="110"/>
      <c r="M113" s="1171"/>
      <c r="N113" s="383"/>
      <c r="O113" s="110"/>
      <c r="P113" s="110"/>
      <c r="Q113" s="1171"/>
      <c r="R113" s="110"/>
      <c r="S113" s="110"/>
      <c r="T113" s="110"/>
      <c r="U113" s="110"/>
      <c r="V113"/>
      <c r="W113"/>
      <c r="X113"/>
      <c r="Y113" s="213">
        <f>Y112+G110</f>
        <v>176.6</v>
      </c>
      <c r="Z113"/>
      <c r="AA113"/>
    </row>
    <row r="114" spans="1:27">
      <c r="A114" s="110"/>
      <c r="B114" s="383"/>
      <c r="C114" s="110"/>
      <c r="D114" s="110"/>
      <c r="E114" s="1171"/>
      <c r="F114" s="383"/>
      <c r="G114" s="110"/>
      <c r="H114" s="110"/>
      <c r="I114" s="110"/>
      <c r="J114" s="383"/>
      <c r="K114" s="110"/>
      <c r="L114" s="110"/>
      <c r="M114" s="1171"/>
      <c r="N114" s="383"/>
      <c r="O114" s="110"/>
      <c r="P114" s="110"/>
      <c r="Q114" s="1171"/>
      <c r="R114" s="110"/>
      <c r="S114" s="110"/>
      <c r="T114" s="110"/>
      <c r="U114" s="110"/>
      <c r="V114"/>
      <c r="W114"/>
      <c r="X114"/>
      <c r="Y114"/>
      <c r="Z114">
        <v>264</v>
      </c>
      <c r="AA114">
        <v>276</v>
      </c>
    </row>
    <row r="115" spans="1:27">
      <c r="A115" s="93" t="s">
        <v>367</v>
      </c>
      <c r="B115" s="93"/>
      <c r="C115" s="93"/>
      <c r="D115" s="93"/>
      <c r="E115" s="179">
        <f>SUM(B110:E110)</f>
        <v>54.6</v>
      </c>
      <c r="F115" s="93"/>
      <c r="G115" s="93"/>
      <c r="H115" s="93"/>
      <c r="I115" s="93"/>
      <c r="J115" s="93"/>
      <c r="K115" s="93"/>
      <c r="L115" s="93"/>
      <c r="M115" s="179">
        <f>SUM(J110:M110)</f>
        <v>0</v>
      </c>
      <c r="N115" s="93"/>
      <c r="O115" s="93"/>
      <c r="P115" s="93"/>
      <c r="Q115" s="179">
        <f>SUM(N110:Q110)</f>
        <v>0</v>
      </c>
      <c r="V115"/>
      <c r="W115"/>
      <c r="X115"/>
      <c r="Y115"/>
      <c r="Z115"/>
      <c r="AA115" s="267">
        <f>AA114/Z114-1</f>
        <v>4.5454545454545414E-2</v>
      </c>
    </row>
    <row r="116" spans="1:27">
      <c r="A116" s="4" t="s">
        <v>368</v>
      </c>
      <c r="E116" s="19" t="e">
        <f>E115/#REF!-1</f>
        <v>#REF!</v>
      </c>
      <c r="M116" s="19" t="e">
        <f>M115/I115-1</f>
        <v>#DIV/0!</v>
      </c>
      <c r="Q116" s="19" t="e">
        <f>Q115/M115-1</f>
        <v>#DIV/0!</v>
      </c>
      <c r="V116"/>
      <c r="W116"/>
      <c r="X116"/>
      <c r="Y116"/>
      <c r="Z116"/>
      <c r="AA116"/>
    </row>
    <row r="117" spans="1:27">
      <c r="E117" s="19"/>
      <c r="M117" s="19"/>
      <c r="Q117" s="19"/>
      <c r="V117"/>
      <c r="W117"/>
      <c r="X117"/>
      <c r="Y117"/>
      <c r="Z117"/>
      <c r="AA117"/>
    </row>
    <row r="118" spans="1:27">
      <c r="A118" s="4" t="s">
        <v>369</v>
      </c>
      <c r="E118" s="243">
        <v>221</v>
      </c>
      <c r="J118" s="19">
        <f>I118/E118-1</f>
        <v>-1</v>
      </c>
      <c r="M118" s="244">
        <f>SUM(J119:M119)</f>
        <v>276.67729698160036</v>
      </c>
      <c r="N118" s="19" t="e">
        <f>M118/I118-1</f>
        <v>#DIV/0!</v>
      </c>
      <c r="Q118" s="244">
        <f>SUM(N119:Q119)</f>
        <v>313.12585085040814</v>
      </c>
      <c r="R118" s="19">
        <f>Q118/M118-1</f>
        <v>0.13173669927544385</v>
      </c>
      <c r="V118"/>
      <c r="W118"/>
      <c r="X118"/>
      <c r="Y118"/>
      <c r="Z118"/>
      <c r="AA118"/>
    </row>
    <row r="119" spans="1:27">
      <c r="A119" s="180" t="s">
        <v>69</v>
      </c>
      <c r="B119" s="180"/>
      <c r="C119" s="180"/>
      <c r="D119" s="180"/>
      <c r="E119" s="595">
        <f>4556/83</f>
        <v>54.891566265060241</v>
      </c>
      <c r="F119" s="595">
        <v>56.2</v>
      </c>
      <c r="G119" s="593">
        <f>F119*(1+G120)</f>
        <v>57.661200000000001</v>
      </c>
      <c r="H119" s="593">
        <f>G119*(1+H120)</f>
        <v>59.160391199999999</v>
      </c>
      <c r="I119" s="593">
        <f>H119*(1+I120)</f>
        <v>60.6985613712</v>
      </c>
      <c r="J119" s="595">
        <f>I119*(1+J120)</f>
        <v>64.036982246615992</v>
      </c>
      <c r="K119" s="593">
        <f>J119*(1+K120)</f>
        <v>67.559016270179868</v>
      </c>
      <c r="L119" s="594">
        <f t="shared" ref="L119:M119" si="122">K119*(1+L120)</f>
        <v>70.599172002337951</v>
      </c>
      <c r="M119" s="594">
        <f t="shared" si="122"/>
        <v>74.482126462466539</v>
      </c>
      <c r="N119" s="595">
        <f>M119*(1+N120)</f>
        <v>75.971768991715876</v>
      </c>
      <c r="O119" s="593">
        <f>N119*(1+O120)</f>
        <v>77.491204371550197</v>
      </c>
      <c r="P119" s="594">
        <f t="shared" ref="P119:Q119" si="123">O119*(1+P120)</f>
        <v>79.041028458981202</v>
      </c>
      <c r="Q119" s="594">
        <f t="shared" si="123"/>
        <v>80.621849028160824</v>
      </c>
      <c r="R119" s="180"/>
      <c r="V119"/>
      <c r="W119"/>
      <c r="X119"/>
      <c r="Y119"/>
      <c r="Z119"/>
      <c r="AA119"/>
    </row>
    <row r="120" spans="1:27">
      <c r="A120" s="180" t="s">
        <v>633</v>
      </c>
      <c r="B120" s="180"/>
      <c r="C120" s="180"/>
      <c r="D120" s="180"/>
      <c r="E120" s="180"/>
      <c r="F120" s="596"/>
      <c r="G120" s="596">
        <v>2.5999999999999999E-2</v>
      </c>
      <c r="H120" s="596">
        <v>2.5999999999999999E-2</v>
      </c>
      <c r="I120" s="596">
        <v>2.5999999999999999E-2</v>
      </c>
      <c r="J120" s="596">
        <v>5.5E-2</v>
      </c>
      <c r="K120" s="596">
        <v>5.5E-2</v>
      </c>
      <c r="L120" s="596">
        <v>4.4999999999999998E-2</v>
      </c>
      <c r="M120" s="596">
        <v>5.5E-2</v>
      </c>
      <c r="N120" s="596">
        <v>0.02</v>
      </c>
      <c r="O120" s="596">
        <v>0.02</v>
      </c>
      <c r="P120" s="596">
        <v>0.02</v>
      </c>
      <c r="Q120" s="596">
        <v>0.02</v>
      </c>
      <c r="R120" s="180"/>
      <c r="V120"/>
      <c r="W120"/>
      <c r="X120"/>
      <c r="Y120"/>
      <c r="Z120"/>
      <c r="AA120"/>
    </row>
    <row r="121" spans="1:27">
      <c r="A121" s="181" t="s">
        <v>944</v>
      </c>
      <c r="B121" s="180"/>
      <c r="C121" s="180"/>
      <c r="D121" s="180"/>
      <c r="E121" s="180"/>
      <c r="F121" s="180"/>
      <c r="G121" s="180"/>
      <c r="H121" s="180"/>
      <c r="I121" s="180"/>
      <c r="J121" s="180"/>
      <c r="K121" s="180"/>
      <c r="L121" s="180"/>
      <c r="M121" s="180"/>
      <c r="N121" s="180"/>
      <c r="O121" s="180"/>
      <c r="P121" s="180"/>
      <c r="Q121" s="180"/>
      <c r="V121"/>
      <c r="W121"/>
      <c r="X121"/>
      <c r="Y121"/>
      <c r="Z121"/>
      <c r="AA121"/>
    </row>
    <row r="122" spans="1:27">
      <c r="A122" s="181" t="s">
        <v>945</v>
      </c>
      <c r="B122" s="180"/>
      <c r="C122" s="180"/>
      <c r="D122" s="180"/>
      <c r="E122" s="180"/>
      <c r="F122" s="180"/>
      <c r="G122" s="180"/>
      <c r="H122" s="180"/>
      <c r="I122" s="180"/>
      <c r="J122" s="180"/>
      <c r="K122" s="180"/>
      <c r="L122" s="180"/>
      <c r="M122" s="180"/>
      <c r="N122" s="180"/>
      <c r="O122" s="180"/>
      <c r="P122" s="180"/>
      <c r="Q122" s="180"/>
      <c r="V122"/>
      <c r="W122"/>
      <c r="X122"/>
      <c r="Y122"/>
      <c r="Z122"/>
      <c r="AA122"/>
    </row>
    <row r="123" spans="1:27">
      <c r="A123" s="4" t="s">
        <v>177</v>
      </c>
      <c r="V123"/>
      <c r="W123"/>
      <c r="X123"/>
      <c r="Y123"/>
      <c r="Z123"/>
      <c r="AA123"/>
    </row>
    <row r="124" spans="1:27">
      <c r="B124" s="281"/>
      <c r="E124" s="1115"/>
      <c r="F124" s="281"/>
      <c r="J124" s="281"/>
      <c r="M124" s="1115"/>
      <c r="N124" s="281"/>
      <c r="Q124" s="1115"/>
      <c r="V124"/>
      <c r="W124"/>
      <c r="X124"/>
      <c r="Y124"/>
      <c r="Z124"/>
      <c r="AA124"/>
    </row>
    <row r="125" spans="1:27">
      <c r="A125" s="175" t="s">
        <v>372</v>
      </c>
      <c r="B125" s="284"/>
      <c r="C125" s="104"/>
      <c r="D125" s="104"/>
      <c r="E125" s="1239"/>
      <c r="F125" s="284"/>
      <c r="G125" s="104"/>
      <c r="H125" s="104"/>
      <c r="I125" s="104"/>
      <c r="J125" s="284"/>
      <c r="K125" s="104"/>
      <c r="L125" s="104"/>
      <c r="M125" s="1239"/>
      <c r="N125" s="284"/>
      <c r="O125" s="104"/>
      <c r="P125" s="104"/>
      <c r="Q125" s="1239"/>
      <c r="V125"/>
      <c r="W125"/>
      <c r="X125"/>
      <c r="Y125"/>
      <c r="Z125"/>
      <c r="AA125"/>
    </row>
    <row r="126" spans="1:27">
      <c r="B126" s="281"/>
      <c r="E126" s="1115"/>
      <c r="F126" s="281"/>
      <c r="J126" s="281"/>
      <c r="M126" s="1115"/>
      <c r="N126" s="281"/>
      <c r="Q126" s="1115"/>
      <c r="V126"/>
      <c r="W126"/>
      <c r="X126"/>
      <c r="Y126"/>
      <c r="Z126"/>
      <c r="AA126"/>
    </row>
    <row r="127" spans="1:27">
      <c r="A127" s="6" t="s">
        <v>373</v>
      </c>
      <c r="B127" s="566"/>
      <c r="C127" s="325"/>
      <c r="E127" s="1115"/>
      <c r="F127" s="281"/>
      <c r="J127" s="281"/>
      <c r="M127" s="1115"/>
      <c r="N127" s="281"/>
      <c r="Q127" s="1115"/>
      <c r="V127"/>
      <c r="W127"/>
      <c r="X127"/>
      <c r="Y127"/>
      <c r="Z127"/>
      <c r="AA127"/>
    </row>
    <row r="128" spans="1:27">
      <c r="A128" s="4" t="s">
        <v>374</v>
      </c>
      <c r="B128" s="288"/>
      <c r="C128" s="19"/>
      <c r="E128" s="1115"/>
      <c r="F128" s="281"/>
      <c r="J128" s="281"/>
      <c r="M128" s="1115"/>
      <c r="N128" s="281"/>
      <c r="Q128" s="1115"/>
      <c r="V128"/>
      <c r="W128"/>
      <c r="X128"/>
      <c r="Y128"/>
      <c r="Z128"/>
      <c r="AA128"/>
    </row>
    <row r="129" spans="1:27">
      <c r="B129" s="281"/>
      <c r="E129" s="1115"/>
      <c r="F129" s="281"/>
      <c r="J129" s="281"/>
      <c r="M129" s="1115"/>
      <c r="N129" s="281"/>
      <c r="Q129" s="1115"/>
      <c r="V129"/>
      <c r="W129"/>
      <c r="X129"/>
      <c r="Y129"/>
      <c r="Z129"/>
      <c r="AA129"/>
    </row>
    <row r="130" spans="1:27">
      <c r="A130" s="6" t="s">
        <v>375</v>
      </c>
      <c r="B130" s="106"/>
      <c r="C130" s="106"/>
      <c r="D130" s="106"/>
      <c r="E130" s="106"/>
      <c r="F130" s="106">
        <f>F15</f>
        <v>3706</v>
      </c>
      <c r="G130" s="106">
        <f>G15</f>
        <v>3726.0480000000002</v>
      </c>
      <c r="H130" s="106">
        <f>H15</f>
        <v>3819.8209999999999</v>
      </c>
      <c r="I130" s="106">
        <f>I15</f>
        <v>3936.2799999999997</v>
      </c>
      <c r="J130" s="286">
        <f t="shared" ref="J130:Q130" si="124">J12*J131</f>
        <v>3392.17</v>
      </c>
      <c r="K130" s="106">
        <f t="shared" si="124"/>
        <v>0</v>
      </c>
      <c r="L130" s="106">
        <f t="shared" si="124"/>
        <v>0</v>
      </c>
      <c r="M130" s="1241">
        <f t="shared" si="124"/>
        <v>0</v>
      </c>
      <c r="N130" s="286">
        <f t="shared" si="124"/>
        <v>0</v>
      </c>
      <c r="O130" s="106">
        <f t="shared" si="124"/>
        <v>0</v>
      </c>
      <c r="P130" s="106">
        <f t="shared" si="124"/>
        <v>0</v>
      </c>
      <c r="Q130" s="1241">
        <f t="shared" si="124"/>
        <v>0</v>
      </c>
      <c r="V130"/>
      <c r="W130"/>
      <c r="X130"/>
      <c r="Y130"/>
      <c r="Z130"/>
      <c r="AA130"/>
    </row>
    <row r="131" spans="1:27">
      <c r="A131" s="4" t="s">
        <v>374</v>
      </c>
      <c r="B131" s="573"/>
      <c r="C131" s="573"/>
      <c r="D131" s="573"/>
      <c r="E131" s="573"/>
      <c r="F131" s="573">
        <f>F130/F12</f>
        <v>0.79103521878335115</v>
      </c>
      <c r="G131" s="573">
        <f>G130/G12</f>
        <v>0.74640384615384625</v>
      </c>
      <c r="H131" s="573">
        <f>H130/H12</f>
        <v>0.73970369412167492</v>
      </c>
      <c r="I131" s="573">
        <f>I130/I12</f>
        <v>0.74230623951137997</v>
      </c>
      <c r="J131" s="1294">
        <v>0.63500000000000001</v>
      </c>
      <c r="K131" s="559">
        <v>0.64</v>
      </c>
      <c r="L131" s="559">
        <v>0.63</v>
      </c>
      <c r="M131" s="1295">
        <v>0.63500000000000001</v>
      </c>
      <c r="N131" s="1294">
        <v>0.63</v>
      </c>
      <c r="O131" s="559">
        <v>0.63500000000000001</v>
      </c>
      <c r="P131" s="559">
        <v>0.628</v>
      </c>
      <c r="Q131" s="1295">
        <v>0.63</v>
      </c>
      <c r="V131"/>
      <c r="W131"/>
      <c r="X131"/>
      <c r="Y131"/>
      <c r="Z131"/>
      <c r="AA131"/>
    </row>
    <row r="132" spans="1:27">
      <c r="B132" s="281"/>
      <c r="C132" s="567"/>
      <c r="F132" s="281"/>
      <c r="J132" s="281"/>
      <c r="M132" s="1115"/>
      <c r="N132" s="281"/>
      <c r="Q132" s="1115"/>
      <c r="V132"/>
      <c r="W132"/>
      <c r="X132"/>
      <c r="Y132"/>
      <c r="Z132"/>
      <c r="AA132"/>
    </row>
    <row r="133" spans="1:27">
      <c r="B133" s="281"/>
      <c r="F133" s="281"/>
      <c r="J133" s="281"/>
      <c r="M133" s="1115"/>
      <c r="N133" s="281"/>
      <c r="Q133" s="1115"/>
      <c r="V133"/>
      <c r="W133"/>
      <c r="X133"/>
      <c r="Y133"/>
      <c r="Z133"/>
      <c r="AA133"/>
    </row>
    <row r="134" spans="1:27">
      <c r="A134" s="6" t="s">
        <v>382</v>
      </c>
      <c r="B134" s="1240"/>
      <c r="C134" s="176"/>
      <c r="D134" s="176"/>
      <c r="E134" s="176"/>
      <c r="F134" s="1240">
        <f>F18</f>
        <v>482</v>
      </c>
      <c r="G134" s="176">
        <f>G18</f>
        <v>616.51099999999997</v>
      </c>
      <c r="H134" s="176">
        <f>H18</f>
        <v>494.25700000000001</v>
      </c>
      <c r="I134" s="176">
        <f>I18</f>
        <v>471.71699999999998</v>
      </c>
      <c r="J134" s="1244">
        <f t="shared" ref="J134:Q134" si="125">J12*J135</f>
        <v>988.27</v>
      </c>
      <c r="K134" s="23">
        <f t="shared" si="125"/>
        <v>0</v>
      </c>
      <c r="L134" s="23">
        <f t="shared" si="125"/>
        <v>0</v>
      </c>
      <c r="M134" s="1250">
        <f t="shared" si="125"/>
        <v>0</v>
      </c>
      <c r="N134" s="1244">
        <f t="shared" si="125"/>
        <v>0</v>
      </c>
      <c r="O134" s="23">
        <f t="shared" si="125"/>
        <v>0</v>
      </c>
      <c r="P134" s="23">
        <f t="shared" si="125"/>
        <v>0</v>
      </c>
      <c r="Q134" s="1250">
        <f t="shared" si="125"/>
        <v>0</v>
      </c>
      <c r="V134"/>
      <c r="W134"/>
      <c r="X134"/>
      <c r="Y134"/>
      <c r="Z134"/>
      <c r="AA134"/>
    </row>
    <row r="135" spans="1:27">
      <c r="A135" s="4" t="s">
        <v>374</v>
      </c>
      <c r="B135" s="288"/>
      <c r="C135" s="38"/>
      <c r="D135" s="38"/>
      <c r="E135" s="38"/>
      <c r="F135" s="288">
        <f>F134/F12</f>
        <v>0.10288153681963715</v>
      </c>
      <c r="G135" s="38">
        <f>G134/G12</f>
        <v>0.12349979967948717</v>
      </c>
      <c r="H135" s="38">
        <f>H134/H12</f>
        <v>9.5712267340667706E-2</v>
      </c>
      <c r="I135" s="38">
        <f>I134/I12</f>
        <v>8.8956698299813439E-2</v>
      </c>
      <c r="J135" s="1251">
        <v>0.185</v>
      </c>
      <c r="K135" s="105">
        <v>0.182</v>
      </c>
      <c r="L135" s="105">
        <v>0.18</v>
      </c>
      <c r="M135" s="1245">
        <v>0.18</v>
      </c>
      <c r="N135" s="1251">
        <v>0.185</v>
      </c>
      <c r="O135" s="105">
        <v>0.182</v>
      </c>
      <c r="P135" s="105">
        <v>0.18</v>
      </c>
      <c r="Q135" s="1245">
        <v>0.18</v>
      </c>
      <c r="V135"/>
      <c r="W135"/>
      <c r="X135"/>
      <c r="Y135"/>
      <c r="Z135"/>
      <c r="AA135"/>
    </row>
    <row r="136" spans="1:27">
      <c r="E136" s="19"/>
      <c r="F136" s="19" t="e">
        <f t="shared" ref="F136:I136" si="126">F134/E134-1</f>
        <v>#DIV/0!</v>
      </c>
      <c r="G136" s="19">
        <f t="shared" si="126"/>
        <v>0.27906846473029034</v>
      </c>
      <c r="H136" s="19">
        <f t="shared" si="126"/>
        <v>-0.19829978702731987</v>
      </c>
      <c r="I136" s="19">
        <f t="shared" si="126"/>
        <v>-4.5603805307764977E-2</v>
      </c>
      <c r="J136" s="19">
        <f t="shared" ref="J136:Q136" si="127">J134/I134-1</f>
        <v>1.0950485142574893</v>
      </c>
      <c r="K136" s="19">
        <f t="shared" si="127"/>
        <v>-1</v>
      </c>
      <c r="L136" s="19" t="e">
        <f t="shared" si="127"/>
        <v>#DIV/0!</v>
      </c>
      <c r="M136" s="19" t="e">
        <f t="shared" si="127"/>
        <v>#DIV/0!</v>
      </c>
      <c r="N136" s="19" t="e">
        <f t="shared" si="127"/>
        <v>#DIV/0!</v>
      </c>
      <c r="O136" s="19" t="e">
        <f t="shared" si="127"/>
        <v>#DIV/0!</v>
      </c>
      <c r="P136" s="19" t="e">
        <f t="shared" si="127"/>
        <v>#DIV/0!</v>
      </c>
      <c r="Q136" s="19" t="e">
        <f t="shared" si="127"/>
        <v>#DIV/0!</v>
      </c>
      <c r="V136"/>
      <c r="W136"/>
      <c r="X136"/>
      <c r="Y136"/>
      <c r="Z136"/>
      <c r="AA136"/>
    </row>
    <row r="137" spans="1:27">
      <c r="E137" s="20"/>
      <c r="M137" s="20"/>
      <c r="Q137" s="20"/>
      <c r="V137"/>
      <c r="W137"/>
      <c r="X137"/>
      <c r="Y137"/>
      <c r="Z137"/>
      <c r="AA137"/>
    </row>
    <row r="138" spans="1:27">
      <c r="A138" s="93" t="s">
        <v>384</v>
      </c>
      <c r="B138" s="382">
        <f>'P&amp;L consol'!AD13*100</f>
        <v>0</v>
      </c>
      <c r="C138" s="382">
        <f>'P&amp;L consol'!AE13*100</f>
        <v>0</v>
      </c>
      <c r="D138" s="382">
        <f>'P&amp;L consol'!AF13*100</f>
        <v>0</v>
      </c>
      <c r="E138" s="382">
        <f>'P&amp;L consol'!AG13*100</f>
        <v>0</v>
      </c>
      <c r="F138" s="382">
        <f>F36*100</f>
        <v>8.836712913553896</v>
      </c>
      <c r="G138" s="635">
        <f t="shared" ref="G138:Q138" si="128">G36*100</f>
        <v>10.906270032051278</v>
      </c>
      <c r="H138" s="635">
        <f t="shared" ref="H138:I138" si="129">H36*100</f>
        <v>14.846084073007153</v>
      </c>
      <c r="I138" s="635">
        <f t="shared" si="129"/>
        <v>15.32444074993999</v>
      </c>
      <c r="J138" s="635">
        <f t="shared" si="128"/>
        <v>15.23773867465369</v>
      </c>
      <c r="K138" s="635" t="e">
        <f t="shared" si="128"/>
        <v>#DIV/0!</v>
      </c>
      <c r="L138" s="635" t="e">
        <f t="shared" si="128"/>
        <v>#DIV/0!</v>
      </c>
      <c r="M138" s="635" t="e">
        <f t="shared" si="128"/>
        <v>#DIV/0!</v>
      </c>
      <c r="N138" s="635" t="e">
        <f t="shared" si="128"/>
        <v>#DIV/0!</v>
      </c>
      <c r="O138" s="635" t="e">
        <f t="shared" si="128"/>
        <v>#DIV/0!</v>
      </c>
      <c r="P138" s="635" t="e">
        <f t="shared" si="128"/>
        <v>#DIV/0!</v>
      </c>
      <c r="Q138" s="635" t="e">
        <f t="shared" si="128"/>
        <v>#DIV/0!</v>
      </c>
      <c r="V138"/>
      <c r="W138"/>
      <c r="X138"/>
      <c r="Y138"/>
      <c r="Z138"/>
      <c r="AA138"/>
    </row>
    <row r="139" spans="1:27">
      <c r="E139" s="244"/>
      <c r="M139" s="244"/>
      <c r="Q139" s="244"/>
      <c r="V139"/>
      <c r="W139"/>
      <c r="X139"/>
      <c r="Y139"/>
      <c r="Z139"/>
      <c r="AA139"/>
    </row>
    <row r="140" spans="1:27">
      <c r="A140" s="93" t="s">
        <v>385</v>
      </c>
      <c r="B140" s="382"/>
      <c r="C140" s="382"/>
      <c r="D140" s="382"/>
      <c r="E140" s="382"/>
      <c r="F140" s="382"/>
      <c r="G140" s="185"/>
      <c r="H140" s="185"/>
      <c r="I140" s="185"/>
      <c r="J140" s="185"/>
      <c r="K140" s="185"/>
      <c r="L140" s="185"/>
      <c r="M140" s="184"/>
      <c r="N140" s="184"/>
      <c r="O140" s="184"/>
      <c r="P140" s="184"/>
      <c r="Q140" s="184"/>
      <c r="V140"/>
      <c r="W140"/>
      <c r="X140"/>
      <c r="Y140"/>
      <c r="Z140"/>
      <c r="AA140"/>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7FE5-5810-4072-9702-B20EB7D2CA3E}">
  <dimension ref="A1:L39"/>
  <sheetViews>
    <sheetView zoomScale="64" workbookViewId="0">
      <selection activeCell="T22" sqref="T22"/>
    </sheetView>
  </sheetViews>
  <sheetFormatPr defaultRowHeight="14.45"/>
  <cols>
    <col min="1" max="1" width="29.42578125" customWidth="1"/>
    <col min="2" max="12" width="20" customWidth="1"/>
  </cols>
  <sheetData>
    <row r="1" spans="1:5" ht="18.600000000000001">
      <c r="A1" s="1108" t="s">
        <v>946</v>
      </c>
      <c r="B1" s="1108"/>
    </row>
    <row r="2" spans="1:5">
      <c r="A2" s="1109" t="s">
        <v>947</v>
      </c>
      <c r="B2" s="1109"/>
      <c r="C2" s="1109"/>
    </row>
    <row r="4" spans="1:5">
      <c r="A4" s="1045" t="s">
        <v>948</v>
      </c>
      <c r="D4" s="1059" t="s">
        <v>949</v>
      </c>
    </row>
    <row r="5" spans="1:5">
      <c r="A5" s="1046" t="s">
        <v>950</v>
      </c>
      <c r="B5" s="1047">
        <v>-5.0000000000000001E-3</v>
      </c>
      <c r="D5" s="1046" t="s">
        <v>951</v>
      </c>
      <c r="E5" s="1060">
        <f>Valuation!C4</f>
        <v>442.67154599999998</v>
      </c>
    </row>
    <row r="6" spans="1:5">
      <c r="A6" s="1048" t="s">
        <v>952</v>
      </c>
      <c r="B6" s="1049">
        <f>B5/4</f>
        <v>-1.25E-3</v>
      </c>
      <c r="D6" s="1046" t="s">
        <v>953</v>
      </c>
      <c r="E6" s="1061">
        <f>Valuation!D9</f>
        <v>24</v>
      </c>
    </row>
    <row r="7" spans="1:5">
      <c r="D7" s="1046" t="s">
        <v>954</v>
      </c>
      <c r="E7" s="1060">
        <f ca="1">Valuation!C3</f>
        <v>1445.9</v>
      </c>
    </row>
    <row r="8" spans="1:5">
      <c r="A8" s="1045" t="s">
        <v>955</v>
      </c>
      <c r="D8" s="1046" t="s">
        <v>956</v>
      </c>
      <c r="E8" s="1062">
        <f>'P&amp;L consol'!BN57</f>
        <v>0.25199999999999967</v>
      </c>
    </row>
    <row r="9" spans="1:5">
      <c r="A9" t="s">
        <v>957</v>
      </c>
      <c r="B9" s="1050">
        <f>'Revenue and Cost model'!AK137</f>
        <v>2651.4423471521386</v>
      </c>
    </row>
    <row r="10" spans="1:5">
      <c r="A10" t="s">
        <v>958</v>
      </c>
      <c r="B10" s="1050">
        <f>B9*'P&amp;L consol'!BN40</f>
        <v>408.47899892562839</v>
      </c>
    </row>
    <row r="11" spans="1:5">
      <c r="A11" t="s">
        <v>959</v>
      </c>
      <c r="B11" s="1051">
        <f>'P&amp;L consol'!BN40</f>
        <v>0.15405916683965146</v>
      </c>
    </row>
    <row r="12" spans="1:5">
      <c r="A12" t="s">
        <v>960</v>
      </c>
      <c r="B12" s="1050">
        <f>'Revenue and Cost model'!AO137</f>
        <v>3141.8802054244888</v>
      </c>
    </row>
    <row r="13" spans="1:5">
      <c r="A13" t="s">
        <v>961</v>
      </c>
      <c r="B13" s="1050">
        <f>B12*'P&amp;L consol'!BO40</f>
        <v>486.32981061718237</v>
      </c>
    </row>
    <row r="14" spans="1:5">
      <c r="A14" t="s">
        <v>962</v>
      </c>
      <c r="B14" s="1051">
        <f>'P&amp;L consol'!BO40</f>
        <v>0.154789418698246</v>
      </c>
    </row>
    <row r="16" spans="1:5">
      <c r="A16" s="1052" t="s">
        <v>963</v>
      </c>
      <c r="C16" s="1053" t="s">
        <v>964</v>
      </c>
    </row>
    <row r="17" spans="1:12">
      <c r="A17" t="s">
        <v>957</v>
      </c>
      <c r="B17" s="210">
        <f>B9*(1+B6*2.5)</f>
        <v>2643.156589817288</v>
      </c>
    </row>
    <row r="18" spans="1:12">
      <c r="A18" t="s">
        <v>958</v>
      </c>
      <c r="B18" s="210">
        <f>B10-(B9-B17)</f>
        <v>400.1932415907778</v>
      </c>
    </row>
    <row r="19" spans="1:12">
      <c r="A19" t="s">
        <v>959</v>
      </c>
      <c r="B19" s="355">
        <f>B18/B17</f>
        <v>0.15140731469808291</v>
      </c>
    </row>
    <row r="20" spans="1:12">
      <c r="A20" t="s">
        <v>960</v>
      </c>
      <c r="B20" s="210">
        <f>B12*(1+B6*6.5)</f>
        <v>3116.3524287554146</v>
      </c>
    </row>
    <row r="21" spans="1:12">
      <c r="A21" t="s">
        <v>961</v>
      </c>
      <c r="B21" s="210">
        <f>B13-(B12-B20)</f>
        <v>460.80203394810815</v>
      </c>
    </row>
    <row r="22" spans="1:12">
      <c r="A22" t="s">
        <v>962</v>
      </c>
      <c r="B22" s="355">
        <f>B21/B20</f>
        <v>0.1478658285552574</v>
      </c>
    </row>
    <row r="24" spans="1:12">
      <c r="A24" s="1045" t="s">
        <v>965</v>
      </c>
    </row>
    <row r="25" spans="1:12">
      <c r="A25" s="1054" t="s">
        <v>966</v>
      </c>
      <c r="B25" s="1054" t="s">
        <v>967</v>
      </c>
      <c r="C25" s="1054" t="s">
        <v>968</v>
      </c>
      <c r="D25" s="1054" t="s">
        <v>958</v>
      </c>
      <c r="E25" s="1054" t="s">
        <v>969</v>
      </c>
      <c r="F25" s="1054" t="s">
        <v>970</v>
      </c>
      <c r="G25" s="1054" t="s">
        <v>961</v>
      </c>
      <c r="H25" s="1054" t="s">
        <v>971</v>
      </c>
      <c r="I25" s="1069" t="s">
        <v>972</v>
      </c>
      <c r="J25" s="1069" t="s">
        <v>973</v>
      </c>
      <c r="K25" s="1069" t="s">
        <v>974</v>
      </c>
      <c r="L25" s="1069" t="s">
        <v>975</v>
      </c>
    </row>
    <row r="26" spans="1:12">
      <c r="A26" s="1052" t="s">
        <v>976</v>
      </c>
      <c r="B26" s="1055">
        <v>0</v>
      </c>
      <c r="C26" s="1056">
        <f>$B$9</f>
        <v>2651.4423471521386</v>
      </c>
      <c r="D26" s="1056">
        <f>$B$10</f>
        <v>408.47899892562839</v>
      </c>
      <c r="E26" s="1057">
        <f>$B$11</f>
        <v>0.15405916683965146</v>
      </c>
      <c r="F26" s="1056">
        <f>$B$12</f>
        <v>3141.8802054244888</v>
      </c>
      <c r="G26" s="1056">
        <f>$B$13</f>
        <v>486.32981061718237</v>
      </c>
      <c r="H26" s="1057">
        <f>$B$14</f>
        <v>0.154789418698246</v>
      </c>
      <c r="I26" s="1070">
        <f>'P&amp;L consol'!BN73*(1+$B26*0.00625*'P&amp;L consol'!BN12*(1-$E$8)/'P&amp;L consol'!BN66)</f>
        <v>56.034926105302205</v>
      </c>
      <c r="J26" s="1070">
        <f>'P&amp;L consol'!BO73*(1+$B26*0.01625*'P&amp;L consol'!BO12*(1-$E$8)/'P&amp;L consol'!BO66)</f>
        <v>69.673781214771125</v>
      </c>
      <c r="K26" s="1071">
        <f>J26*$E$6</f>
        <v>1672.1707491545071</v>
      </c>
      <c r="L26" s="1072">
        <f ca="1">K26/$E$7-1</f>
        <v>0.1564912851196536</v>
      </c>
    </row>
    <row r="27" spans="1:12">
      <c r="A27" t="s">
        <v>977</v>
      </c>
      <c r="B27" s="1058">
        <v>-5.0000000000000001E-3</v>
      </c>
      <c r="C27" s="210">
        <f>$B$9*(1+B27/4*2.5)</f>
        <v>2643.156589817288</v>
      </c>
      <c r="D27" s="210">
        <f>$B$10-($B$9-C27)</f>
        <v>400.1932415907778</v>
      </c>
      <c r="E27" s="355">
        <f>D27/C27</f>
        <v>0.15140731469808291</v>
      </c>
      <c r="F27" s="210">
        <f>$B$12*(1+B27/4*6.5)</f>
        <v>3116.3524287554146</v>
      </c>
      <c r="G27" s="210">
        <f>$B$13-($B$12-F27)</f>
        <v>460.80203394810815</v>
      </c>
      <c r="H27" s="355">
        <f>G27/F27</f>
        <v>0.1478658285552574</v>
      </c>
      <c r="I27" s="1065">
        <f>'P&amp;L consol'!BN73*(1+$B27*0.625*'P&amp;L consol'!BN12*(1-$E$8)/'P&amp;L consol'!BN66)</f>
        <v>54.735100774620335</v>
      </c>
      <c r="J27" s="1065">
        <f>'P&amp;L consol'!BO73*(1+$B27*1.625*'P&amp;L consol'!BO12*(1-$E$8)/'P&amp;L consol'!BO66)</f>
        <v>65.583458832483444</v>
      </c>
      <c r="K27" s="1073">
        <f>J27*$E$6</f>
        <v>1574.0030119796027</v>
      </c>
      <c r="L27" s="1074">
        <f ca="1">K27/$E$7-1</f>
        <v>8.8597421660974174E-2</v>
      </c>
    </row>
    <row r="28" spans="1:12">
      <c r="A28" t="s">
        <v>978</v>
      </c>
      <c r="B28" s="1058">
        <v>-0.01</v>
      </c>
      <c r="C28" s="210">
        <f>$B$9*(1+B28/4*2.5)</f>
        <v>2634.8708324824379</v>
      </c>
      <c r="D28" s="210">
        <f>$B$10-($B$9-C28)</f>
        <v>391.90748425592767</v>
      </c>
      <c r="E28" s="355">
        <f>D28/C28</f>
        <v>0.14873878424115874</v>
      </c>
      <c r="F28" s="210">
        <f>$B$12*(1+B28/4*6.5)</f>
        <v>3090.8246520863408</v>
      </c>
      <c r="G28" s="210">
        <f>$B$13-($B$12-F28)</f>
        <v>435.27425727903437</v>
      </c>
      <c r="H28" s="355">
        <f>G28/F28</f>
        <v>0.14082787161194002</v>
      </c>
      <c r="I28" s="1065">
        <f>'P&amp;L consol'!BN73*(1+$B28*0.625*'P&amp;L consol'!BN12*(1-$E$8)/'P&amp;L consol'!BN66)</f>
        <v>53.435275443938465</v>
      </c>
      <c r="J28" s="1065">
        <f>'P&amp;L consol'!BO73*(1+$B28*1.625*'P&amp;L consol'!BO12*(1-$E$8)/'P&amp;L consol'!BO66)</f>
        <v>61.49313645019577</v>
      </c>
      <c r="K28" s="1073">
        <f>J28*$E$6</f>
        <v>1475.8352748046984</v>
      </c>
      <c r="L28" s="1074">
        <f ca="1">K28/$E$7-1</f>
        <v>2.0703558202294969E-2</v>
      </c>
    </row>
    <row r="29" spans="1:12">
      <c r="A29" t="s">
        <v>979</v>
      </c>
      <c r="B29" s="1058">
        <v>-1.4999999999999999E-2</v>
      </c>
      <c r="C29" s="210">
        <f>$B$9*(1+B29/4*2.5)</f>
        <v>2626.5850751475873</v>
      </c>
      <c r="D29" s="210">
        <f>$B$10-($B$9-C29)</f>
        <v>383.62172692107708</v>
      </c>
      <c r="E29" s="355">
        <f>D29/C29</f>
        <v>0.14605341762993207</v>
      </c>
      <c r="F29" s="210">
        <f>$B$12*(1+B29/4*6.5)</f>
        <v>3065.2968754172666</v>
      </c>
      <c r="G29" s="210">
        <f>$B$13-($B$12-F29)</f>
        <v>409.74648060996014</v>
      </c>
      <c r="H29" s="355">
        <f>G29/F29</f>
        <v>0.13367269052991254</v>
      </c>
      <c r="I29" s="1065">
        <f>'P&amp;L consol'!BN73*(1+$B29*0.625*'P&amp;L consol'!BN12*(1-$E$8)/'P&amp;L consol'!BN66)</f>
        <v>52.135450113256582</v>
      </c>
      <c r="J29" s="1065">
        <f>'P&amp;L consol'!BO73*(1+$B29*1.625*'P&amp;L consol'!BO12*(1-$E$8)/'P&amp;L consol'!BO66)</f>
        <v>57.402814067908096</v>
      </c>
      <c r="K29" s="1073">
        <f>J29*$E$6</f>
        <v>1377.6675376297944</v>
      </c>
      <c r="L29" s="1074">
        <f ca="1">K29/$E$7-1</f>
        <v>-4.7190305256384013E-2</v>
      </c>
    </row>
    <row r="30" spans="1:12">
      <c r="A30" t="s">
        <v>979</v>
      </c>
      <c r="B30" s="1058">
        <v>-0.02</v>
      </c>
      <c r="C30" s="210">
        <f>$B$9*(1+B30/4*2.5)</f>
        <v>2618.2993178127372</v>
      </c>
      <c r="D30" s="210">
        <f>$B$10-($B$9-C30)</f>
        <v>375.33596958622695</v>
      </c>
      <c r="E30" s="355">
        <f>D30/C30</f>
        <v>0.14335105502749523</v>
      </c>
      <c r="F30" s="210">
        <f>$B$12*(1+B30/4*6.5)</f>
        <v>3039.7690987481928</v>
      </c>
      <c r="G30" s="210">
        <f>$B$13-($B$12-F30)</f>
        <v>384.21870394088637</v>
      </c>
      <c r="H30" s="355">
        <f>G30/F30</f>
        <v>0.12639733198785114</v>
      </c>
      <c r="I30" s="1065">
        <f>'P&amp;L consol'!BN73*(1+$B30*0.625*'P&amp;L consol'!BN12*(1-$E$8)/'P&amp;L consol'!BN66)</f>
        <v>50.835624782574712</v>
      </c>
      <c r="J30" s="1065">
        <f>'P&amp;L consol'!BO73*(1+$B30*1.625*'P&amp;L consol'!BO12*(1-$E$8)/'P&amp;L consol'!BO66)</f>
        <v>53.312491685620415</v>
      </c>
      <c r="K30" s="1073">
        <f>J30*$E$6</f>
        <v>1279.49980045489</v>
      </c>
      <c r="L30" s="1074">
        <f ca="1">K30/$E$7-1</f>
        <v>-0.11508416871506333</v>
      </c>
    </row>
    <row r="31" spans="1:12">
      <c r="A31" s="1053" t="s">
        <v>980</v>
      </c>
    </row>
    <row r="33" spans="1:2">
      <c r="A33" s="1063" t="s">
        <v>981</v>
      </c>
    </row>
    <row r="34" spans="1:2">
      <c r="A34" t="s">
        <v>982</v>
      </c>
      <c r="B34" s="1064">
        <f>'P&amp;L consol'!BN66+'P&amp;L consol'!BN12*(B17/B9-1)*(1-$E$8)</f>
        <v>24402.051792811748</v>
      </c>
    </row>
    <row r="35" spans="1:2">
      <c r="A35" t="s">
        <v>972</v>
      </c>
      <c r="B35" s="1065">
        <f>'P&amp;L consol'!BN73*(1+(B17/B9-1)*'P&amp;L consol'!BN12*(1-$E$8)/'P&amp;L consol'!BN66)</f>
        <v>54.735100774620314</v>
      </c>
    </row>
    <row r="36" spans="1:2">
      <c r="A36" t="s">
        <v>983</v>
      </c>
      <c r="B36" s="1064">
        <f>'P&amp;L consol'!BO66+'P&amp;L consol'!BO12*(B20/B12-1)*(1-$E$8)</f>
        <v>29238.476526639755</v>
      </c>
    </row>
    <row r="37" spans="1:2">
      <c r="A37" t="s">
        <v>973</v>
      </c>
      <c r="B37" s="1066">
        <f>'P&amp;L consol'!BO73*(1+(B20/B12-1)*'P&amp;L consol'!BO12*(1-$E$8)/'P&amp;L consol'!BO66)</f>
        <v>65.583458832483416</v>
      </c>
    </row>
    <row r="38" spans="1:2">
      <c r="A38" t="s">
        <v>974</v>
      </c>
      <c r="B38" s="1067">
        <f>B37*$E$6</f>
        <v>1574.003011979602</v>
      </c>
    </row>
    <row r="39" spans="1:2">
      <c r="A39" t="s">
        <v>975</v>
      </c>
      <c r="B39" s="1068">
        <f ca="1">B38/$E$7-1</f>
        <v>8.859742166097373E-2</v>
      </c>
    </row>
  </sheetData>
  <mergeCells count="2">
    <mergeCell ref="A1:B1"/>
    <mergeCell ref="A2:C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2006-09-16T00:00:00Z</dcterms:created>
  <dcterms:modified xsi:type="dcterms:W3CDTF">2026-07-13T06:19:40Z</dcterms:modified>
  <cp:category/>
  <cp:contentStatus/>
</cp:coreProperties>
</file>